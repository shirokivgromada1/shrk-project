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БЮДЖЕТ на 2025 рік\ПРОЄКТ бюджету на 2025 рік\"/>
    </mc:Choice>
  </mc:AlternateContent>
  <xr:revisionPtr revIDLastSave="0" documentId="13_ncr:1_{5EC864BF-84C1-407A-81E4-A45260D2466C}" xr6:coauthVersionLast="46" xr6:coauthVersionMax="46" xr10:uidLastSave="{00000000-0000-0000-0000-000000000000}"/>
  <bookViews>
    <workbookView xWindow="-120" yWindow="-120" windowWidth="29040" windowHeight="15840" activeTab="3" xr2:uid="{0B349945-7D9F-4BED-AC19-AA8284BC7BD0}"/>
  </bookViews>
  <sheets>
    <sheet name="додаток 1" sheetId="6" r:id="rId1"/>
    <sheet name="додаток 3" sheetId="7" r:id="rId2"/>
    <sheet name="додаток 5" sheetId="2" r:id="rId3"/>
    <sheet name="додаток 7" sheetId="3" r:id="rId4"/>
    <sheet name="аналіз доходів" sheetId="8" r:id="rId5"/>
    <sheet name="аналіз видатків" sheetId="9" r:id="rId6"/>
  </sheets>
  <externalReferences>
    <externalReference r:id="rId7"/>
  </externalReferences>
  <definedNames>
    <definedName name="_xlnm._FilterDatabase" localSheetId="3" hidden="1">'додаток 7'!$B$12:$B$26</definedName>
    <definedName name="CREXPORT">#REF!</definedName>
    <definedName name="n" localSheetId="5" hidden="1">{#N/A,#N/A,FALSE,"Лист4"}</definedName>
    <definedName name="n" hidden="1">{#N/A,#N/A,FALSE,"Лист4"}</definedName>
    <definedName name="wrn.Інструкція." localSheetId="5" hidden="1">{#N/A,#N/A,FALSE,"Лист4"}</definedName>
    <definedName name="wrn.Інструкція." hidden="1">{#N/A,#N/A,FALSE,"Лист4"}</definedName>
    <definedName name="аа" localSheetId="5" hidden="1">{#N/A,#N/A,FALSE,"Лист4"}</definedName>
    <definedName name="аа" hidden="1">{#N/A,#N/A,FALSE,"Лист4"}</definedName>
    <definedName name="аааа" localSheetId="5" hidden="1">{#N/A,#N/A,FALSE,"Лист4"}</definedName>
    <definedName name="аааа" hidden="1">{#N/A,#N/A,FALSE,"Лист4"}</definedName>
    <definedName name="ааааа" localSheetId="5" hidden="1">{#N/A,#N/A,FALSE,"Лист4"}</definedName>
    <definedName name="ааааа" hidden="1">{#N/A,#N/A,FALSE,"Лист4"}</definedName>
    <definedName name="аааг" localSheetId="5" hidden="1">{#N/A,#N/A,FALSE,"Лист4"}</definedName>
    <definedName name="аааг" hidden="1">{#N/A,#N/A,FALSE,"Лист4"}</definedName>
    <definedName name="ааао" localSheetId="5" hidden="1">{#N/A,#N/A,FALSE,"Лист4"}</definedName>
    <definedName name="ааао" hidden="1">{#N/A,#N/A,FALSE,"Лист4"}</definedName>
    <definedName name="аааоркк" localSheetId="5" hidden="1">{#N/A,#N/A,FALSE,"Лист4"}</definedName>
    <definedName name="аааоркк" hidden="1">{#N/A,#N/A,FALSE,"Лист4"}</definedName>
    <definedName name="аарр" localSheetId="5" hidden="1">{#N/A,#N/A,FALSE,"Лист4"}</definedName>
    <definedName name="аарр" hidden="1">{#N/A,#N/A,FALSE,"Лист4"}</definedName>
    <definedName name="амп" localSheetId="5" hidden="1">{#N/A,#N/A,FALSE,"Лист4"}</definedName>
    <definedName name="амп" hidden="1">{#N/A,#N/A,FALSE,"Лист4"}</definedName>
    <definedName name="ап" localSheetId="5" hidden="1">{#N/A,#N/A,FALSE,"Лист4"}</definedName>
    <definedName name="ап" hidden="1">{#N/A,#N/A,FALSE,"Лист4"}</definedName>
    <definedName name="апро" localSheetId="5" hidden="1">{#N/A,#N/A,FALSE,"Лист4"}</definedName>
    <definedName name="апро" hidden="1">{#N/A,#N/A,FALSE,"Лист4"}</definedName>
    <definedName name="аунуну" localSheetId="5" hidden="1">{#N/A,#N/A,FALSE,"Лист4"}</definedName>
    <definedName name="аунуну" hidden="1">{#N/A,#N/A,FALSE,"Лист4"}</definedName>
    <definedName name="бб" localSheetId="5" hidden="1">{#N/A,#N/A,FALSE,"Лист4"}</definedName>
    <definedName name="бб" hidden="1">{#N/A,#N/A,FALSE,"Лист4"}</definedName>
    <definedName name="вап" localSheetId="5" hidden="1">{#N/A,#N/A,FALSE,"Лист4"}</definedName>
    <definedName name="вап" hidden="1">{#N/A,#N/A,FALSE,"Лист4"}</definedName>
    <definedName name="вапа" localSheetId="5" hidden="1">{#N/A,#N/A,FALSE,"Лист4"}</definedName>
    <definedName name="вапа" hidden="1">{#N/A,#N/A,FALSE,"Лист4"}</definedName>
    <definedName name="вапро" localSheetId="5" hidden="1">{#N/A,#N/A,FALSE,"Лист4"}</definedName>
    <definedName name="вапро" hidden="1">{#N/A,#N/A,FALSE,"Лист4"}</definedName>
    <definedName name="вау" localSheetId="5" hidden="1">{#N/A,#N/A,FALSE,"Лист4"}</definedName>
    <definedName name="вау" hidden="1">{#N/A,#N/A,FALSE,"Лист4"}</definedName>
    <definedName name="вв" localSheetId="5" hidden="1">{#N/A,#N/A,FALSE,"Лист4"}</definedName>
    <definedName name="вв" hidden="1">{#N/A,#N/A,FALSE,"Лист4"}</definedName>
    <definedName name="вмр" localSheetId="5" hidden="1">{#N/A,#N/A,FALSE,"Лист4"}</definedName>
    <definedName name="вмр" hidden="1">{#N/A,#N/A,FALSE,"Лист4"}</definedName>
    <definedName name="вруу" localSheetId="5" hidden="1">{#N/A,#N/A,FALSE,"Лист4"}</definedName>
    <definedName name="вруу" hidden="1">{#N/A,#N/A,FALSE,"Лист4"}</definedName>
    <definedName name="врууунуууу" localSheetId="5" hidden="1">{#N/A,#N/A,FALSE,"Лист4"}</definedName>
    <definedName name="врууунуууу" hidden="1">{#N/A,#N/A,FALSE,"Лист4"}</definedName>
    <definedName name="гг" localSheetId="5" hidden="1">{#N/A,#N/A,FALSE,"Лист4"}</definedName>
    <definedName name="гг" hidden="1">{#N/A,#N/A,FALSE,"Лист4"}</definedName>
    <definedName name="ггг" localSheetId="5" hidden="1">{#N/A,#N/A,FALSE,"Лист4"}</definedName>
    <definedName name="ггг" hidden="1">{#N/A,#N/A,FALSE,"Лист4"}</definedName>
    <definedName name="гго" localSheetId="5" hidden="1">{#N/A,#N/A,FALSE,"Лист4"}</definedName>
    <definedName name="гго" hidden="1">{#N/A,#N/A,FALSE,"Лист4"}</definedName>
    <definedName name="ггшшз" localSheetId="5" hidden="1">{#N/A,#N/A,FALSE,"Лист4"}</definedName>
    <definedName name="ггшшз" hidden="1">{#N/A,#N/A,FALSE,"Лист4"}</definedName>
    <definedName name="гр" localSheetId="5" hidden="1">{#N/A,#N/A,FALSE,"Лист4"}</definedName>
    <definedName name="гр" hidden="1">{#N/A,#N/A,FALSE,"Лист4"}</definedName>
    <definedName name="ддд" localSheetId="5" hidden="1">{#N/A,#N/A,FALSE,"Лист4"}</definedName>
    <definedName name="ддд" hidden="1">{#N/A,#N/A,FALSE,"Лист4"}</definedName>
    <definedName name="е" localSheetId="5" hidden="1">{#N/A,#N/A,FALSE,"Лист4"}</definedName>
    <definedName name="е" hidden="1">{#N/A,#N/A,FALSE,"Лист4"}</definedName>
    <definedName name="ее" localSheetId="5" hidden="1">{#N/A,#N/A,FALSE,"Лист4"}</definedName>
    <definedName name="ее" hidden="1">{#N/A,#N/A,FALSE,"Лист4"}</definedName>
    <definedName name="ееге" localSheetId="5" hidden="1">{#N/A,#N/A,FALSE,"Лист4"}</definedName>
    <definedName name="ееге" hidden="1">{#N/A,#N/A,FALSE,"Лист4"}</definedName>
    <definedName name="еегше" localSheetId="5" hidden="1">{#N/A,#N/A,FALSE,"Лист4"}</definedName>
    <definedName name="еегше" hidden="1">{#N/A,#N/A,FALSE,"Лист4"}</definedName>
    <definedName name="еее" localSheetId="5" hidden="1">{#N/A,#N/A,FALSE,"Лист4"}</definedName>
    <definedName name="еее" hidden="1">{#N/A,#N/A,FALSE,"Лист4"}</definedName>
    <definedName name="ееее" localSheetId="5" hidden="1">{#N/A,#N/A,FALSE,"Лист4"}</definedName>
    <definedName name="ееее" hidden="1">{#N/A,#N/A,FALSE,"Лист4"}</definedName>
    <definedName name="ееекк" localSheetId="5" hidden="1">{#N/A,#N/A,FALSE,"Лист4"}</definedName>
    <definedName name="ееекк" hidden="1">{#N/A,#N/A,FALSE,"Лист4"}</definedName>
    <definedName name="еепке" localSheetId="5" hidden="1">{#N/A,#N/A,FALSE,"Лист4"}</definedName>
    <definedName name="еепке" hidden="1">{#N/A,#N/A,FALSE,"Лист4"}</definedName>
    <definedName name="еешгег" localSheetId="5" hidden="1">{#N/A,#N/A,FALSE,"Лист4"}</definedName>
    <definedName name="еешгег" hidden="1">{#N/A,#N/A,FALSE,"Лист4"}</definedName>
    <definedName name="екуц" localSheetId="5" hidden="1">{#N/A,#N/A,FALSE,"Лист4"}</definedName>
    <definedName name="екуц" hidden="1">{#N/A,#N/A,FALSE,"Лист4"}</definedName>
    <definedName name="енг" localSheetId="5" hidden="1">{#N/A,#N/A,FALSE,"Лист4"}</definedName>
    <definedName name="енг" hidden="1">{#N/A,#N/A,FALSE,"Лист4"}</definedName>
    <definedName name="епи" localSheetId="5" hidden="1">{#N/A,#N/A,FALSE,"Лист4"}</definedName>
    <definedName name="епи" hidden="1">{#N/A,#N/A,FALSE,"Лист4"}</definedName>
    <definedName name="ешгееуу" localSheetId="5" hidden="1">{#N/A,#N/A,FALSE,"Лист4"}</definedName>
    <definedName name="ешгееуу" hidden="1">{#N/A,#N/A,FALSE,"Лист4"}</definedName>
    <definedName name="є" localSheetId="5" hidden="1">{#N/A,#N/A,FALSE,"Лист4"}</definedName>
    <definedName name="є" hidden="1">{#N/A,#N/A,FALSE,"Лист4"}</definedName>
    <definedName name="єєє" localSheetId="5" hidden="1">{#N/A,#N/A,FALSE,"Лист4"}</definedName>
    <definedName name="єєє" hidden="1">{#N/A,#N/A,FALSE,"Лист4"}</definedName>
    <definedName name="єєєєєє" localSheetId="5" hidden="1">{#N/A,#N/A,FALSE,"Лист4"}</definedName>
    <definedName name="єєєєєє" hidden="1">{#N/A,#N/A,FALSE,"Лист4"}</definedName>
    <definedName name="єєєєєєє" localSheetId="5" hidden="1">{#N/A,#N/A,FALSE,"Лист4"}</definedName>
    <definedName name="єєєєєєє" hidden="1">{#N/A,#N/A,FALSE,"Лист4"}</definedName>
    <definedName name="єєєєєєє." localSheetId="5" hidden="1">{#N/A,#N/A,FALSE,"Лист4"}</definedName>
    <definedName name="єєєєєєє." hidden="1">{#N/A,#N/A,FALSE,"Лист4"}</definedName>
    <definedName name="єж" localSheetId="5" hidden="1">{#N/A,#N/A,FALSE,"Лист4"}</definedName>
    <definedName name="єж" hidden="1">{#N/A,#N/A,FALSE,"Лист4"}</definedName>
    <definedName name="жж" localSheetId="5" hidden="1">{#N/A,#N/A,FALSE,"Лист4"}</definedName>
    <definedName name="жж" hidden="1">{#N/A,#N/A,FALSE,"Лист4"}</definedName>
    <definedName name="житлове" localSheetId="5" hidden="1">{#N/A,#N/A,FALSE,"Лист4"}</definedName>
    <definedName name="житлове" hidden="1">{#N/A,#N/A,FALSE,"Лист4"}</definedName>
    <definedName name="_xlnm.Print_Titles" localSheetId="5">'аналіз видатків'!$6:$7</definedName>
    <definedName name="_xlnm.Print_Titles" localSheetId="4">'аналіз доходів'!$A:$B</definedName>
    <definedName name="_xlnm.Print_Titles" localSheetId="0">'додаток 1'!$8:$11</definedName>
    <definedName name="_xlnm.Print_Titles" localSheetId="1">'додаток 3'!$9:$13</definedName>
    <definedName name="_xlnm.Print_Titles" localSheetId="3">'додаток 7'!$9:$11</definedName>
    <definedName name="здоровя" localSheetId="5" hidden="1">{#N/A,#N/A,FALSE,"Лист4"}</definedName>
    <definedName name="здоровя" hidden="1">{#N/A,#N/A,FALSE,"Лист4"}</definedName>
    <definedName name="зз" localSheetId="5" hidden="1">{#N/A,#N/A,FALSE,"Лист4"}</definedName>
    <definedName name="зз" hidden="1">{#N/A,#N/A,FALSE,"Лист4"}</definedName>
    <definedName name="ззз" localSheetId="5" hidden="1">{#N/A,#N/A,FALSE,"Лист4"}</definedName>
    <definedName name="ззз" hidden="1">{#N/A,#N/A,FALSE,"Лист4"}</definedName>
    <definedName name="зззз" localSheetId="5" hidden="1">{#N/A,#N/A,FALSE,"Лист4"}</definedName>
    <definedName name="зззз" hidden="1">{#N/A,#N/A,FALSE,"Лист4"}</definedName>
    <definedName name="ип" localSheetId="5" hidden="1">{#N/A,#N/A,FALSE,"Лист4"}</definedName>
    <definedName name="ип" hidden="1">{#N/A,#N/A,FALSE,"Лист4"}</definedName>
    <definedName name="ить" localSheetId="5" hidden="1">{#N/A,#N/A,FALSE,"Лист4"}</definedName>
    <definedName name="ить" hidden="1">{#N/A,#N/A,FALSE,"Лист4"}</definedName>
    <definedName name="іваа" localSheetId="5" hidden="1">{#N/A,#N/A,FALSE,"Лист4"}</definedName>
    <definedName name="іваа" hidden="1">{#N/A,#N/A,FALSE,"Лист4"}</definedName>
    <definedName name="івап" localSheetId="5" hidden="1">{#N/A,#N/A,FALSE,"Лист4"}</definedName>
    <definedName name="івап" hidden="1">{#N/A,#N/A,FALSE,"Лист4"}</definedName>
    <definedName name="івпа" localSheetId="5" hidden="1">{#N/A,#N/A,FALSE,"Лист4"}</definedName>
    <definedName name="івпа" hidden="1">{#N/A,#N/A,FALSE,"Лист4"}</definedName>
    <definedName name="іі" localSheetId="5" hidden="1">{#N/A,#N/A,FALSE,"Лист4"}</definedName>
    <definedName name="іі" hidden="1">{#N/A,#N/A,FALSE,"Лист4"}</definedName>
    <definedName name="ііі" localSheetId="5" hidden="1">{#N/A,#N/A,FALSE,"Лист4"}</definedName>
    <definedName name="ііі" hidden="1">{#N/A,#N/A,FALSE,"Лист4"}</definedName>
    <definedName name="іііі" localSheetId="5" hidden="1">{#N/A,#N/A,FALSE,"Лист4"}</definedName>
    <definedName name="іііі" hidden="1">{#N/A,#N/A,FALSE,"Лист4"}</definedName>
    <definedName name="ін" localSheetId="5" hidden="1">{#N/A,#N/A,FALSE,"Лист4"}</definedName>
    <definedName name="ін" hidden="1">{#N/A,#N/A,FALSE,"Лист4"}</definedName>
    <definedName name="інші" localSheetId="5" hidden="1">{#N/A,#N/A,FALSE,"Лист4"}</definedName>
    <definedName name="інші" hidden="1">{#N/A,#N/A,FALSE,"Лист4"}</definedName>
    <definedName name="іук" localSheetId="5" hidden="1">{#N/A,#N/A,FALSE,"Лист4"}</definedName>
    <definedName name="іук" hidden="1">{#N/A,#N/A,FALSE,"Лист4"}</definedName>
    <definedName name="їжд" localSheetId="5" hidden="1">{#N/A,#N/A,FALSE,"Лист4"}</definedName>
    <definedName name="їжд" hidden="1">{#N/A,#N/A,FALSE,"Лист4"}</definedName>
    <definedName name="ййй" localSheetId="5" hidden="1">{#N/A,#N/A,FALSE,"Лист4"}</definedName>
    <definedName name="ййй" hidden="1">{#N/A,#N/A,FALSE,"Лист4"}</definedName>
    <definedName name="йййй" localSheetId="5" hidden="1">{#N/A,#N/A,FALSE,"Лист4"}</definedName>
    <definedName name="йййй" hidden="1">{#N/A,#N/A,FALSE,"Лист4"}</definedName>
    <definedName name="кгккг" localSheetId="5" hidden="1">{#N/A,#N/A,FALSE,"Лист4"}</definedName>
    <definedName name="кгккг" hidden="1">{#N/A,#N/A,FALSE,"Лист4"}</definedName>
    <definedName name="кгкккк" localSheetId="5" hidden="1">{#N/A,#N/A,FALSE,"Лист4"}</definedName>
    <definedName name="кгкккк" hidden="1">{#N/A,#N/A,FALSE,"Лист4"}</definedName>
    <definedName name="кеуц" localSheetId="5" hidden="1">{#N/A,#N/A,FALSE,"Лист4"}</definedName>
    <definedName name="кеуц" hidden="1">{#N/A,#N/A,FALSE,"Лист4"}</definedName>
    <definedName name="кк" localSheetId="5" hidden="1">{#N/A,#N/A,FALSE,"Лист4"}</definedName>
    <definedName name="кк" hidden="1">{#N/A,#N/A,FALSE,"Лист4"}</definedName>
    <definedName name="ккгкг" localSheetId="5" hidden="1">{#N/A,#N/A,FALSE,"Лист4"}</definedName>
    <definedName name="ккгкг" hidden="1">{#N/A,#N/A,FALSE,"Лист4"}</definedName>
    <definedName name="ккк" localSheetId="5" hidden="1">{#N/A,#N/A,FALSE,"Лист4"}</definedName>
    <definedName name="ккк" hidden="1">{#N/A,#N/A,FALSE,"Лист4"}</definedName>
    <definedName name="кккну" localSheetId="5" hidden="1">{#N/A,#N/A,FALSE,"Лист4"}</definedName>
    <definedName name="кккну" hidden="1">{#N/A,#N/A,FALSE,"Лист4"}</definedName>
    <definedName name="кккокк" localSheetId="5" hidden="1">{#N/A,#N/A,FALSE,"Лист4"}</definedName>
    <definedName name="кккокк" hidden="1">{#N/A,#N/A,FALSE,"Лист4"}</definedName>
    <definedName name="комунальне" localSheetId="5" hidden="1">{#N/A,#N/A,FALSE,"Лист4"}</definedName>
    <definedName name="комунальне" hidden="1">{#N/A,#N/A,FALSE,"Лист4"}</definedName>
    <definedName name="кот" localSheetId="5" hidden="1">{#N/A,#N/A,FALSE,"Лист4"}</definedName>
    <definedName name="кот" hidden="1">{#N/A,#N/A,FALSE,"Лист4"}</definedName>
    <definedName name="кр" localSheetId="5" hidden="1">{#N/A,#N/A,FALSE,"Лист4"}</definedName>
    <definedName name="кр" hidden="1">{#N/A,#N/A,FALSE,"Лист4"}</definedName>
    <definedName name="культура" localSheetId="5" hidden="1">{#N/A,#N/A,FALSE,"Лист4"}</definedName>
    <definedName name="культура" hidden="1">{#N/A,#N/A,FALSE,"Лист4"}</definedName>
    <definedName name="л" localSheetId="5" hidden="1">{#N/A,#N/A,FALSE,"Лист4"}</definedName>
    <definedName name="л" hidden="1">{#N/A,#N/A,FALSE,"Лист4"}</definedName>
    <definedName name="лд" localSheetId="5" hidden="1">{#N/A,#N/A,FALSE,"Лист4"}</definedName>
    <definedName name="лд" hidden="1">{#N/A,#N/A,FALSE,"Лист4"}</definedName>
    <definedName name="лл" localSheetId="5" hidden="1">{#N/A,#N/A,FALSE,"Лист4"}</definedName>
    <definedName name="лл" hidden="1">{#N/A,#N/A,FALSE,"Лист4"}</definedName>
    <definedName name="ллл" localSheetId="5" hidden="1">{#N/A,#N/A,FALSE,"Лист4"}</definedName>
    <definedName name="ллл" hidden="1">{#N/A,#N/A,FALSE,"Лист4"}</definedName>
    <definedName name="лнпллпл" localSheetId="5" hidden="1">{#N/A,#N/A,FALSE,"Лист4"}</definedName>
    <definedName name="лнпллпл" hidden="1">{#N/A,#N/A,FALSE,"Лист4"}</definedName>
    <definedName name="мак" localSheetId="5" hidden="1">{#N/A,#N/A,FALSE,"Лист4"}</definedName>
    <definedName name="мак" hidden="1">{#N/A,#N/A,FALSE,"Лист4"}</definedName>
    <definedName name="мм" localSheetId="5" hidden="1">{#N/A,#N/A,FALSE,"Лист4"}</definedName>
    <definedName name="мм" hidden="1">{#N/A,#N/A,FALSE,"Лист4"}</definedName>
    <definedName name="мпе" localSheetId="5" hidden="1">{#N/A,#N/A,FALSE,"Лист4"}</definedName>
    <definedName name="мпе" hidden="1">{#N/A,#N/A,FALSE,"Лист4"}</definedName>
    <definedName name="нгнгш" localSheetId="5" hidden="1">{#N/A,#N/A,FALSE,"Лист4"}</definedName>
    <definedName name="нгнгш" hidden="1">{#N/A,#N/A,FALSE,"Лист4"}</definedName>
    <definedName name="ннггг" localSheetId="5" hidden="1">{#N/A,#N/A,FALSE,"Лист4"}</definedName>
    <definedName name="ннггг" hidden="1">{#N/A,#N/A,FALSE,"Лист4"}</definedName>
    <definedName name="ннн" localSheetId="5" hidden="1">{#N/A,#N/A,FALSE,"Лист4"}</definedName>
    <definedName name="ннн" hidden="1">{#N/A,#N/A,FALSE,"Лист4"}</definedName>
    <definedName name="ннннг" localSheetId="5" hidden="1">{#N/A,#N/A,FALSE,"Лист4"}</definedName>
    <definedName name="ннннг" hidden="1">{#N/A,#N/A,FALSE,"Лист4"}</definedName>
    <definedName name="нннннннн" localSheetId="5" hidden="1">{#N/A,#N/A,FALSE,"Лист4"}</definedName>
    <definedName name="нннннннн" hidden="1">{#N/A,#N/A,FALSE,"Лист4"}</definedName>
    <definedName name="ннншенгке" localSheetId="5" hidden="1">{#N/A,#N/A,FALSE,"Лист4"}</definedName>
    <definedName name="ннншенгке" hidden="1">{#N/A,#N/A,FALSE,"Лист4"}</definedName>
    <definedName name="нншекк" localSheetId="5" hidden="1">{#N/A,#N/A,FALSE,"Лист4"}</definedName>
    <definedName name="нншекк" hidden="1">{#N/A,#N/A,FALSE,"Лист4"}</definedName>
    <definedName name="_xlnm.Print_Area" localSheetId="3">'додаток 7'!$A$1:$J$34</definedName>
    <definedName name="оггне" localSheetId="5" hidden="1">{#N/A,#N/A,FALSE,"Лист4"}</definedName>
    <definedName name="оггне" hidden="1">{#N/A,#N/A,FALSE,"Лист4"}</definedName>
    <definedName name="оллд" localSheetId="5" hidden="1">{#N/A,#N/A,FALSE,"Лист4"}</definedName>
    <definedName name="оллд" hidden="1">{#N/A,#N/A,FALSE,"Лист4"}</definedName>
    <definedName name="олол" localSheetId="5" hidden="1">{#N/A,#N/A,FALSE,"Лист4"}</definedName>
    <definedName name="олол" hidden="1">{#N/A,#N/A,FALSE,"Лист4"}</definedName>
    <definedName name="оо" localSheetId="5" hidden="1">{#N/A,#N/A,FALSE,"Лист4"}</definedName>
    <definedName name="оо" hidden="1">{#N/A,#N/A,FALSE,"Лист4"}</definedName>
    <definedName name="ооо" localSheetId="5" hidden="1">{#N/A,#N/A,FALSE,"Лист4"}</definedName>
    <definedName name="ооо" hidden="1">{#N/A,#N/A,FALSE,"Лист4"}</definedName>
    <definedName name="орнг" localSheetId="5" hidden="1">{#N/A,#N/A,FALSE,"Лист4"}</definedName>
    <definedName name="орнг" hidden="1">{#N/A,#N/A,FALSE,"Лист4"}</definedName>
    <definedName name="освіта" localSheetId="5" hidden="1">{#N/A,#N/A,FALSE,"Лист4"}</definedName>
    <definedName name="освіта" hidden="1">{#N/A,#N/A,FALSE,"Лист4"}</definedName>
    <definedName name="ох" localSheetId="5" hidden="1">{#N/A,#N/A,FALSE,"Лист4"}</definedName>
    <definedName name="ох" hidden="1">{#N/A,#N/A,FALSE,"Лист4"}</definedName>
    <definedName name="охорона" localSheetId="5" hidden="1">{#N/A,#N/A,FALSE,"Лист4"}</definedName>
    <definedName name="охорона" hidden="1">{#N/A,#N/A,FALSE,"Лист4"}</definedName>
    <definedName name="плеккккг" localSheetId="5" hidden="1">{#N/A,#N/A,FALSE,"Лист4"}</definedName>
    <definedName name="плеккккг" hidden="1">{#N/A,#N/A,FALSE,"Лист4"}</definedName>
    <definedName name="пллеелш" localSheetId="5" hidden="1">{#N/A,#N/A,FALSE,"Лист4"}</definedName>
    <definedName name="пллеелш" hidden="1">{#N/A,#N/A,FALSE,"Лист4"}</definedName>
    <definedName name="попле" localSheetId="5" hidden="1">{#N/A,#N/A,FALSE,"Лист4"}</definedName>
    <definedName name="попле" hidden="1">{#N/A,#N/A,FALSE,"Лист4"}</definedName>
    <definedName name="пот" localSheetId="5" hidden="1">{#N/A,#N/A,FALSE,"Лист4"}</definedName>
    <definedName name="пот" hidden="1">{#N/A,#N/A,FALSE,"Лист4"}</definedName>
    <definedName name="пп" localSheetId="5" hidden="1">{#N/A,#N/A,FALSE,"Лист4"}</definedName>
    <definedName name="пп" hidden="1">{#N/A,#N/A,FALSE,"Лист4"}</definedName>
    <definedName name="ппше" localSheetId="5" hidden="1">{#N/A,#N/A,FALSE,"Лист4"}</definedName>
    <definedName name="ппше" hidden="1">{#N/A,#N/A,FALSE,"Лист4"}</definedName>
    <definedName name="про" localSheetId="5" hidden="1">{#N/A,#N/A,FALSE,"Лист4"}</definedName>
    <definedName name="про" hidden="1">{#N/A,#N/A,FALSE,"Лист4"}</definedName>
    <definedName name="прое" localSheetId="5" hidden="1">{#N/A,#N/A,FALSE,"Лист4"}</definedName>
    <definedName name="прое" hidden="1">{#N/A,#N/A,FALSE,"Лист4"}</definedName>
    <definedName name="прои" localSheetId="5" hidden="1">{#N/A,#N/A,FALSE,"Лист4"}</definedName>
    <definedName name="прои" hidden="1">{#N/A,#N/A,FALSE,"Лист4"}</definedName>
    <definedName name="рор" localSheetId="5" hidden="1">{#N/A,#N/A,FALSE,"Лист4"}</definedName>
    <definedName name="рор" hidden="1">{#N/A,#N/A,FALSE,"Лист4"}</definedName>
    <definedName name="роро" localSheetId="5" hidden="1">{#N/A,#N/A,FALSE,"Лист4"}</definedName>
    <definedName name="роро" hidden="1">{#N/A,#N/A,FALSE,"Лист4"}</definedName>
    <definedName name="рррр" localSheetId="5" hidden="1">{#N/A,#N/A,FALSE,"Лист4"}</definedName>
    <definedName name="рррр" hidden="1">{#N/A,#N/A,FALSE,"Лист4"}</definedName>
    <definedName name="сми" localSheetId="5" hidden="1">{#N/A,#N/A,FALSE,"Лист4"}</definedName>
    <definedName name="сми" hidden="1">{#N/A,#N/A,FALSE,"Лист4"}</definedName>
    <definedName name="сс" localSheetId="5" hidden="1">{#N/A,#N/A,FALSE,"Лист4"}</definedName>
    <definedName name="сс" hidden="1">{#N/A,#N/A,FALSE,"Лист4"}</definedName>
    <definedName name="сум" localSheetId="5" hidden="1">{#N/A,#N/A,FALSE,"Лист4"}</definedName>
    <definedName name="сум" hidden="1">{#N/A,#N/A,FALSE,"Лист4"}</definedName>
    <definedName name="Суми" localSheetId="5" hidden="1">{#N/A,#N/A,FALSE,"Лист4"}</definedName>
    <definedName name="Суми" hidden="1">{#N/A,#N/A,FALSE,"Лист4"}</definedName>
    <definedName name="счу" localSheetId="5" hidden="1">{#N/A,#N/A,FALSE,"Лист4"}</definedName>
    <definedName name="счу" hidden="1">{#N/A,#N/A,FALSE,"Лист4"}</definedName>
    <definedName name="счя" localSheetId="5" hidden="1">{#N/A,#N/A,FALSE,"Лист4"}</definedName>
    <definedName name="счя" hidden="1">{#N/A,#N/A,FALSE,"Лист4"}</definedName>
    <definedName name="тогн" localSheetId="5" hidden="1">{#N/A,#N/A,FALSE,"Лист4"}</definedName>
    <definedName name="тогн" hidden="1">{#N/A,#N/A,FALSE,"Лист4"}</definedName>
    <definedName name="трн" localSheetId="5" hidden="1">{#N/A,#N/A,FALSE,"Лист4"}</definedName>
    <definedName name="трн" hidden="1">{#N/A,#N/A,FALSE,"Лист4"}</definedName>
    <definedName name="ттт" localSheetId="5" hidden="1">{#N/A,#N/A,FALSE,"Лист4"}</definedName>
    <definedName name="ттт" hidden="1">{#N/A,#N/A,FALSE,"Лист4"}</definedName>
    <definedName name="ть" localSheetId="5" hidden="1">{#N/A,#N/A,FALSE,"Лист4"}</definedName>
    <definedName name="ть" hidden="1">{#N/A,#N/A,FALSE,"Лист4"}</definedName>
    <definedName name="уа" localSheetId="5" hidden="1">{#N/A,#N/A,FALSE,"Лист4"}</definedName>
    <definedName name="уа" hidden="1">{#N/A,#N/A,FALSE,"Лист4"}</definedName>
    <definedName name="увке" localSheetId="5" hidden="1">{#N/A,#N/A,FALSE,"Лист4"}</definedName>
    <definedName name="увке" hidden="1">{#N/A,#N/A,FALSE,"Лист4"}</definedName>
    <definedName name="уеунукнун" localSheetId="5" hidden="1">{#N/A,#N/A,FALSE,"Лист4"}</definedName>
    <definedName name="уеунукнун" hidden="1">{#N/A,#N/A,FALSE,"Лист4"}</definedName>
    <definedName name="уке" localSheetId="5" hidden="1">{#N/A,#N/A,FALSE,"Лист4"}</definedName>
    <definedName name="уке" hidden="1">{#N/A,#N/A,FALSE,"Лист4"}</definedName>
    <definedName name="укй" localSheetId="5" hidden="1">{#N/A,#N/A,FALSE,"Лист4"}</definedName>
    <definedName name="укй" hidden="1">{#N/A,#N/A,FALSE,"Лист4"}</definedName>
    <definedName name="укунн" localSheetId="5" hidden="1">{#N/A,#N/A,FALSE,"Лист4"}</definedName>
    <definedName name="укунн" hidden="1">{#N/A,#N/A,FALSE,"Лист4"}</definedName>
    <definedName name="унунен" localSheetId="5" hidden="1">{#N/A,#N/A,FALSE,"Лист4"}</definedName>
    <definedName name="унунен" hidden="1">{#N/A,#N/A,FALSE,"Лист4"}</definedName>
    <definedName name="унунун" localSheetId="5" hidden="1">{#N/A,#N/A,FALSE,"Лист4"}</definedName>
    <definedName name="унунун" hidden="1">{#N/A,#N/A,FALSE,"Лист4"}</definedName>
    <definedName name="унуу" localSheetId="5" hidden="1">{#N/A,#N/A,FALSE,"Лист4"}</definedName>
    <definedName name="унуу" hidden="1">{#N/A,#N/A,FALSE,"Лист4"}</definedName>
    <definedName name="унуун" localSheetId="5" hidden="1">{#N/A,#N/A,FALSE,"Лист4"}</definedName>
    <definedName name="унуун" hidden="1">{#N/A,#N/A,FALSE,"Лист4"}</definedName>
    <definedName name="унууу" localSheetId="5" hidden="1">{#N/A,#N/A,FALSE,"Лист4"}</definedName>
    <definedName name="унууу" hidden="1">{#N/A,#N/A,FALSE,"Лист4"}</definedName>
    <definedName name="управ" localSheetId="5" hidden="1">{#N/A,#N/A,FALSE,"Лист4"}</definedName>
    <definedName name="управ" hidden="1">{#N/A,#N/A,FALSE,"Лист4"}</definedName>
    <definedName name="управління" localSheetId="5" hidden="1">{#N/A,#N/A,FALSE,"Лист4"}</definedName>
    <definedName name="управління" hidden="1">{#N/A,#N/A,FALSE,"Лист4"}</definedName>
    <definedName name="уукее" localSheetId="5" hidden="1">{#N/A,#N/A,FALSE,"Лист4"}</definedName>
    <definedName name="уукее" hidden="1">{#N/A,#N/A,FALSE,"Лист4"}</definedName>
    <definedName name="ууннну" localSheetId="5" hidden="1">{#N/A,#N/A,FALSE,"Лист4"}</definedName>
    <definedName name="ууннну" hidden="1">{#N/A,#N/A,FALSE,"Лист4"}</definedName>
    <definedName name="ууну" localSheetId="5" hidden="1">{#N/A,#N/A,FALSE,"Лист4"}</definedName>
    <definedName name="ууну" hidden="1">{#N/A,#N/A,FALSE,"Лист4"}</definedName>
    <definedName name="уунунг" localSheetId="5" hidden="1">{#N/A,#N/A,FALSE,"Лист4"}</definedName>
    <definedName name="уунунг" hidden="1">{#N/A,#N/A,FALSE,"Лист4"}</definedName>
    <definedName name="уунунууу" localSheetId="5" hidden="1">{#N/A,#N/A,FALSE,"Лист4"}</definedName>
    <definedName name="уунунууу" hidden="1">{#N/A,#N/A,FALSE,"Лист4"}</definedName>
    <definedName name="уунуурр" localSheetId="5" hidden="1">{#N/A,#N/A,FALSE,"Лист4"}</definedName>
    <definedName name="уунуурр" hidden="1">{#N/A,#N/A,FALSE,"Лист4"}</definedName>
    <definedName name="уунуууу" localSheetId="5" hidden="1">{#N/A,#N/A,FALSE,"Лист4"}</definedName>
    <definedName name="уунуууу" hidden="1">{#N/A,#N/A,FALSE,"Лист4"}</definedName>
    <definedName name="ууу" localSheetId="5" hidden="1">{#N/A,#N/A,FALSE,"Лист4"}</definedName>
    <definedName name="ууу" hidden="1">{#N/A,#N/A,FALSE,"Лист4"}</definedName>
    <definedName name="ууунну" localSheetId="5" hidden="1">{#N/A,#N/A,FALSE,"Лист4"}</definedName>
    <definedName name="ууунну" hidden="1">{#N/A,#N/A,FALSE,"Лист4"}</definedName>
    <definedName name="ууунууууу" localSheetId="5" hidden="1">{#N/A,#N/A,FALSE,"Лист4"}</definedName>
    <definedName name="ууунууууу" hidden="1">{#N/A,#N/A,FALSE,"Лист4"}</definedName>
    <definedName name="уууу" localSheetId="5" hidden="1">{#N/A,#N/A,FALSE,"Лист4"}</definedName>
    <definedName name="уууу" hidden="1">{#N/A,#N/A,FALSE,"Лист4"}</definedName>
    <definedName name="уууу32" localSheetId="5" hidden="1">{#N/A,#N/A,FALSE,"Лист4"}</definedName>
    <definedName name="уууу32" hidden="1">{#N/A,#N/A,FALSE,"Лист4"}</definedName>
    <definedName name="уууун" localSheetId="5" hidden="1">{#N/A,#N/A,FALSE,"Лист4"}</definedName>
    <definedName name="уууун" hidden="1">{#N/A,#N/A,FALSE,"Лист4"}</definedName>
    <definedName name="фф" localSheetId="5" hidden="1">{#N/A,#N/A,FALSE,"Лист4"}</definedName>
    <definedName name="фф" hidden="1">{#N/A,#N/A,FALSE,"Лист4"}</definedName>
    <definedName name="ффф" localSheetId="5" hidden="1">{#N/A,#N/A,FALSE,"Лист4"}</definedName>
    <definedName name="ффф" hidden="1">{#N/A,#N/A,FALSE,"Лист4"}</definedName>
    <definedName name="фффф" localSheetId="5" hidden="1">{#N/A,#N/A,FALSE,"Лист4"}</definedName>
    <definedName name="фффф" hidden="1">{#N/A,#N/A,FALSE,"Лист4"}</definedName>
    <definedName name="ффффф" localSheetId="5" hidden="1">{#N/A,#N/A,FALSE,"Лист4"}</definedName>
    <definedName name="ффффф" hidden="1">{#N/A,#N/A,FALSE,"Лист4"}</definedName>
    <definedName name="хз" localSheetId="5" hidden="1">{#N/A,#N/A,FALSE,"Лист4"}</definedName>
    <definedName name="хз" hidden="1">{#N/A,#N/A,FALSE,"Лист4"}</definedName>
    <definedName name="хїз" localSheetId="5" hidden="1">{#N/A,#N/A,FALSE,"Лист4"}</definedName>
    <definedName name="хїз" hidden="1">{#N/A,#N/A,FALSE,"Лист4"}</definedName>
    <definedName name="ххх" localSheetId="5" hidden="1">{#N/A,#N/A,FALSE,"Лист4"}</definedName>
    <definedName name="ххх" hidden="1">{#N/A,#N/A,FALSE,"Лист4"}</definedName>
    <definedName name="ц" localSheetId="5" hidden="1">{#N/A,#N/A,FALSE,"Лист4"}</definedName>
    <definedName name="ц" hidden="1">{#N/A,#N/A,FALSE,"Лист4"}</definedName>
    <definedName name="цва" localSheetId="5" hidden="1">{#N/A,#N/A,FALSE,"Лист4"}</definedName>
    <definedName name="цва" hidden="1">{#N/A,#N/A,FALSE,"Лист4"}</definedName>
    <definedName name="цекццецце" localSheetId="5" hidden="1">{#N/A,#N/A,FALSE,"Лист4"}</definedName>
    <definedName name="цекццецце" hidden="1">{#N/A,#N/A,FALSE,"Лист4"}</definedName>
    <definedName name="цеце" localSheetId="5" hidden="1">{#N/A,#N/A,FALSE,"Лист4"}</definedName>
    <definedName name="цеце" hidden="1">{#N/A,#N/A,FALSE,"Лист4"}</definedName>
    <definedName name="цецеце" localSheetId="5" hidden="1">{#N/A,#N/A,FALSE,"Лист4"}</definedName>
    <definedName name="цецеце" hidden="1">{#N/A,#N/A,FALSE,"Лист4"}</definedName>
    <definedName name="цук" localSheetId="5" hidden="1">{#N/A,#N/A,FALSE,"Лист4"}</definedName>
    <definedName name="цук" hidden="1">{#N/A,#N/A,FALSE,"Лист4"}</definedName>
    <definedName name="цуку" localSheetId="5" hidden="1">{#N/A,#N/A,FALSE,"Лист4"}</definedName>
    <definedName name="цуку" hidden="1">{#N/A,#N/A,FALSE,"Лист4"}</definedName>
    <definedName name="цууу" localSheetId="5" hidden="1">{#N/A,#N/A,FALSE,"Лист4"}</definedName>
    <definedName name="цууу" hidden="1">{#N/A,#N/A,FALSE,"Лист4"}</definedName>
    <definedName name="цц" localSheetId="5" hidden="1">{#N/A,#N/A,FALSE,"Лист4"}</definedName>
    <definedName name="цц" hidden="1">{#N/A,#N/A,FALSE,"Лист4"}</definedName>
    <definedName name="ццвва" localSheetId="5" hidden="1">{#N/A,#N/A,FALSE,"Лист4"}</definedName>
    <definedName name="ццвва" hidden="1">{#N/A,#N/A,FALSE,"Лист4"}</definedName>
    <definedName name="ццецц" localSheetId="5" hidden="1">{#N/A,#N/A,FALSE,"Лист4"}</definedName>
    <definedName name="ццецц" hidden="1">{#N/A,#N/A,FALSE,"Лист4"}</definedName>
    <definedName name="ццеццке" localSheetId="5" hidden="1">{#N/A,#N/A,FALSE,"Лист4"}</definedName>
    <definedName name="ццеццке" hidden="1">{#N/A,#N/A,FALSE,"Лист4"}</definedName>
    <definedName name="ццеццкевап" localSheetId="5" hidden="1">{#N/A,#N/A,FALSE,"Лист4"}</definedName>
    <definedName name="ццеццкевап" hidden="1">{#N/A,#N/A,FALSE,"Лист4"}</definedName>
    <definedName name="ццке" localSheetId="5" hidden="1">{#N/A,#N/A,FALSE,"Лист4"}</definedName>
    <definedName name="ццке" hidden="1">{#N/A,#N/A,FALSE,"Лист4"}</definedName>
    <definedName name="ццук" localSheetId="5" hidden="1">{#N/A,#N/A,FALSE,"Лист4"}</definedName>
    <definedName name="ццук" hidden="1">{#N/A,#N/A,FALSE,"Лист4"}</definedName>
    <definedName name="цццецц" localSheetId="5" hidden="1">{#N/A,#N/A,FALSE,"Лист4"}</definedName>
    <definedName name="цццецц" hidden="1">{#N/A,#N/A,FALSE,"Лист4"}</definedName>
    <definedName name="цццкеец" localSheetId="5" hidden="1">{#N/A,#N/A,FALSE,"Лист4"}</definedName>
    <definedName name="цццкеец" hidden="1">{#N/A,#N/A,FALSE,"Лист4"}</definedName>
    <definedName name="цццц" localSheetId="5" hidden="1">{#N/A,#N/A,FALSE,"Лист4"}</definedName>
    <definedName name="цццц" hidden="1">{#N/A,#N/A,FALSE,"Лист4"}</definedName>
    <definedName name="ццццкц" localSheetId="5" hidden="1">{#N/A,#N/A,FALSE,"Лист4"}</definedName>
    <definedName name="ццццкц" hidden="1">{#N/A,#N/A,FALSE,"Лист4"}</definedName>
    <definedName name="ццццц" localSheetId="5" hidden="1">{#N/A,#N/A,FALSE,"Лист4"}</definedName>
    <definedName name="ццццц" hidden="1">{#N/A,#N/A,FALSE,"Лист4"}</definedName>
    <definedName name="цццццц" localSheetId="5" hidden="1">{#N/A,#N/A,FALSE,"Лист4"}</definedName>
    <definedName name="цццццц" hidden="1">{#N/A,#N/A,FALSE,"Лист4"}</definedName>
    <definedName name="чву" localSheetId="5" hidden="1">{#N/A,#N/A,FALSE,"Лист4"}</definedName>
    <definedName name="чву" hidden="1">{#N/A,#N/A,FALSE,"Лист4"}</definedName>
    <definedName name="чч" localSheetId="5" hidden="1">{#N/A,#N/A,FALSE,"Лист4"}</definedName>
    <definedName name="чч" hidden="1">{#N/A,#N/A,FALSE,"Лист4"}</definedName>
    <definedName name="ччч" localSheetId="5" hidden="1">{#N/A,#N/A,FALSE,"Лист4"}</definedName>
    <definedName name="ччч" hidden="1">{#N/A,#N/A,FALSE,"Лист4"}</definedName>
    <definedName name="шш" localSheetId="5" hidden="1">{#N/A,#N/A,FALSE,"Лист4"}</definedName>
    <definedName name="шш" hidden="1">{#N/A,#N/A,FALSE,"Лист4"}</definedName>
    <definedName name="шшшш" localSheetId="5" hidden="1">{#N/A,#N/A,FALSE,"Лист4"}</definedName>
    <definedName name="шшшш" hidden="1">{#N/A,#N/A,FALSE,"Лист4"}</definedName>
    <definedName name="щщ" localSheetId="5" hidden="1">{#N/A,#N/A,FALSE,"Лист4"}</definedName>
    <definedName name="щщ" hidden="1">{#N/A,#N/A,FALSE,"Лист4"}</definedName>
    <definedName name="щщщ" localSheetId="5" hidden="1">{#N/A,#N/A,FALSE,"Лист4"}</definedName>
    <definedName name="щщщ" hidden="1">{#N/A,#N/A,FALSE,"Лист4"}</definedName>
    <definedName name="щщщшг" localSheetId="5" hidden="1">{#N/A,#N/A,FALSE,"Лист4"}</definedName>
    <definedName name="щщщшг" hidden="1">{#N/A,#N/A,FALSE,"Лист4"}</definedName>
    <definedName name="юю" localSheetId="5" hidden="1">{#N/A,#N/A,FALSE,"Лист4"}</definedName>
    <definedName name="юю" hidden="1">{#N/A,#N/A,FALSE,"Лист4"}</definedName>
    <definedName name="ююю" localSheetId="5" hidden="1">{#N/A,#N/A,FALSE,"Лист4"}</definedName>
    <definedName name="ююю" hidden="1">{#N/A,#N/A,FALSE,"Лист4"}</definedName>
    <definedName name="яяя" localSheetId="5" hidden="1">{#N/A,#N/A,FALSE,"Лист4"}</definedName>
    <definedName name="яяя" hidden="1">{#N/A,#N/A,FALSE,"Лист4"}</definedName>
    <definedName name="яяяя" localSheetId="5" hidden="1">{#N/A,#N/A,FALSE,"Лист4"}</definedName>
    <definedName name="яяяя" hidden="1">{#N/A,#N/A,FALSE,"Лист4"}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6" i="9" l="1"/>
  <c r="F86" i="9"/>
  <c r="G85" i="9"/>
  <c r="F85" i="9"/>
  <c r="G84" i="9"/>
  <c r="F84" i="9"/>
  <c r="G83" i="9"/>
  <c r="F83" i="9"/>
  <c r="G82" i="9"/>
  <c r="F82" i="9"/>
  <c r="G81" i="9"/>
  <c r="F81" i="9"/>
  <c r="G80" i="9"/>
  <c r="F80" i="9"/>
  <c r="G79" i="9"/>
  <c r="F79" i="9"/>
  <c r="G78" i="9"/>
  <c r="F78" i="9"/>
  <c r="G77" i="9"/>
  <c r="F77" i="9"/>
  <c r="G76" i="9"/>
  <c r="F76" i="9"/>
  <c r="G75" i="9"/>
  <c r="F75" i="9"/>
  <c r="G74" i="9"/>
  <c r="F74" i="9"/>
  <c r="G73" i="9"/>
  <c r="F73" i="9"/>
  <c r="G72" i="9"/>
  <c r="F72" i="9"/>
  <c r="G71" i="9"/>
  <c r="F71" i="9"/>
  <c r="G70" i="9"/>
  <c r="F70" i="9"/>
  <c r="G69" i="9"/>
  <c r="F69" i="9"/>
  <c r="G68" i="9"/>
  <c r="F68" i="9"/>
  <c r="G67" i="9"/>
  <c r="F67" i="9"/>
  <c r="G66" i="9"/>
  <c r="F66" i="9"/>
  <c r="G65" i="9"/>
  <c r="F65" i="9"/>
  <c r="G64" i="9"/>
  <c r="F64" i="9"/>
  <c r="G63" i="9"/>
  <c r="F63" i="9"/>
  <c r="G62" i="9"/>
  <c r="F62" i="9"/>
  <c r="G61" i="9"/>
  <c r="F61" i="9"/>
  <c r="G60" i="9"/>
  <c r="F60" i="9"/>
  <c r="G59" i="9"/>
  <c r="F59" i="9"/>
  <c r="G58" i="9"/>
  <c r="F58" i="9"/>
  <c r="G57" i="9"/>
  <c r="F57" i="9"/>
  <c r="G56" i="9"/>
  <c r="F56" i="9"/>
  <c r="G50" i="9"/>
  <c r="F50" i="9"/>
  <c r="G49" i="9"/>
  <c r="F49" i="9"/>
  <c r="G48" i="9"/>
  <c r="F48" i="9"/>
  <c r="G47" i="9"/>
  <c r="F47" i="9"/>
  <c r="G46" i="9"/>
  <c r="F46" i="9"/>
  <c r="G45" i="9"/>
  <c r="F45" i="9"/>
  <c r="G44" i="9"/>
  <c r="F44" i="9"/>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60" i="8"/>
  <c r="F60" i="8"/>
  <c r="G59" i="8"/>
  <c r="F59" i="8"/>
  <c r="G58" i="8"/>
  <c r="F58" i="8"/>
  <c r="G57" i="8"/>
  <c r="F57" i="8"/>
  <c r="G56" i="8"/>
  <c r="F56" i="8"/>
  <c r="G55" i="8"/>
  <c r="F55" i="8"/>
  <c r="G54" i="8"/>
  <c r="F54" i="8"/>
  <c r="G53" i="8"/>
  <c r="F53" i="8"/>
  <c r="G52" i="8"/>
  <c r="F52" i="8"/>
  <c r="G51" i="8"/>
  <c r="F51" i="8"/>
  <c r="G50" i="8"/>
  <c r="F50" i="8"/>
  <c r="G49" i="8"/>
  <c r="F49" i="8"/>
  <c r="G48" i="8"/>
  <c r="F48" i="8"/>
  <c r="G47" i="8"/>
  <c r="F47" i="8"/>
  <c r="G46" i="8"/>
  <c r="F46" i="8"/>
  <c r="G45" i="8"/>
  <c r="F45" i="8"/>
  <c r="G44" i="8"/>
  <c r="F44" i="8"/>
  <c r="G43" i="8"/>
  <c r="F43" i="8"/>
  <c r="G37" i="8"/>
  <c r="F37" i="8"/>
  <c r="G36" i="8"/>
  <c r="F36" i="8"/>
  <c r="G35" i="8"/>
  <c r="F35" i="8"/>
  <c r="G34" i="8"/>
  <c r="F34" i="8"/>
  <c r="G33" i="8"/>
  <c r="F33" i="8"/>
  <c r="G32" i="8"/>
  <c r="F32" i="8"/>
  <c r="G31" i="8"/>
  <c r="F31" i="8"/>
  <c r="G30" i="8"/>
  <c r="F30" i="8"/>
  <c r="G29" i="8"/>
  <c r="F29" i="8"/>
  <c r="G28" i="8"/>
  <c r="F28" i="8"/>
  <c r="G27" i="8"/>
  <c r="F27" i="8"/>
  <c r="G26" i="8"/>
  <c r="F26" i="8"/>
  <c r="G25" i="8"/>
  <c r="F25" i="8"/>
  <c r="G24" i="8"/>
  <c r="F24" i="8"/>
  <c r="G23" i="8"/>
  <c r="F23" i="8"/>
  <c r="G22" i="8"/>
  <c r="F22" i="8"/>
  <c r="G21" i="8"/>
  <c r="F21" i="8"/>
  <c r="G20" i="8"/>
  <c r="F20" i="8"/>
  <c r="G19" i="8"/>
  <c r="F19" i="8"/>
  <c r="G18" i="8"/>
  <c r="F18" i="8"/>
  <c r="G17" i="8"/>
  <c r="F17" i="8"/>
  <c r="G16" i="8"/>
  <c r="F16" i="8"/>
  <c r="G15" i="8"/>
  <c r="F15" i="8"/>
  <c r="G14" i="8"/>
  <c r="F14" i="8"/>
  <c r="G13" i="8"/>
  <c r="F13" i="8"/>
  <c r="G12" i="8"/>
  <c r="F12" i="8"/>
  <c r="G11" i="8"/>
  <c r="F11" i="8"/>
  <c r="G10" i="8"/>
  <c r="F10" i="8"/>
  <c r="G9" i="8"/>
  <c r="F9" i="8"/>
  <c r="G8" i="8"/>
  <c r="F8" i="8"/>
  <c r="G28" i="3"/>
  <c r="G27" i="3"/>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D24" i="2"/>
  <c r="D19" i="2"/>
  <c r="H20" i="3" l="1"/>
  <c r="H21" i="3"/>
  <c r="G21" i="3" l="1"/>
  <c r="G16" i="3" l="1"/>
  <c r="G17" i="3"/>
  <c r="G19" i="3"/>
  <c r="I31" i="3"/>
  <c r="G30" i="3"/>
  <c r="H31" i="3"/>
  <c r="G29" i="3" l="1"/>
  <c r="G26" i="3"/>
  <c r="G25" i="3"/>
  <c r="J24" i="3"/>
  <c r="G24" i="3"/>
  <c r="G23" i="3"/>
  <c r="J22" i="3"/>
  <c r="G22" i="3"/>
  <c r="G20" i="3"/>
  <c r="G18" i="3"/>
  <c r="G15" i="3"/>
  <c r="G14" i="3"/>
  <c r="D25" i="2"/>
  <c r="D17" i="2"/>
  <c r="D15" i="2"/>
  <c r="D23" i="2" l="1"/>
  <c r="J31" i="3"/>
  <c r="G31" i="3"/>
</calcChain>
</file>

<file path=xl/sharedStrings.xml><?xml version="1.0" encoding="utf-8"?>
<sst xmlns="http://schemas.openxmlformats.org/spreadsheetml/2006/main" count="639" uniqueCount="353">
  <si>
    <t>Додаток 1</t>
  </si>
  <si>
    <t>ДОХОДИ_x000D_
місцевого бюджету на 2025 рік</t>
  </si>
  <si>
    <t>(грн)</t>
  </si>
  <si>
    <t>Код</t>
  </si>
  <si>
    <t>Найменування згідно з Класифікацією доходів бюджету</t>
  </si>
  <si>
    <t>Усього</t>
  </si>
  <si>
    <t>Загальний фонд</t>
  </si>
  <si>
    <t>Спеціальний фонд</t>
  </si>
  <si>
    <t>усього</t>
  </si>
  <si>
    <t>у тому числі бюджет розвитку</t>
  </si>
  <si>
    <t>Податкові надходження</t>
  </si>
  <si>
    <t>Податки на доходи, податки на прибуток, податки на збільшення ринкової вартості</t>
  </si>
  <si>
    <t>Податок та збір на доходи фізичних осіб</t>
  </si>
  <si>
    <t>Податок на доходи фізичних осіб, що сплачується податковими агентами, із доходів платника податку у вигляді заробітної плати</t>
  </si>
  <si>
    <t>Податок на доходи фізичних осіб, що сплачується податковими агентами, із доходів платника податку інших ніж заробітна плата</t>
  </si>
  <si>
    <t>Податок на доходи фізичних осіб, що сплачується фізичними особами за результатами річного декларування</t>
  </si>
  <si>
    <t>Податок на доходи фізичних осіб у вигляді мінімального податкового зобов`язання, що підлягає сплаті фізичними особами</t>
  </si>
  <si>
    <t>Податок на прибуток підприємств</t>
  </si>
  <si>
    <t>Податок на прибуток підприємств та фінансових установ комунальної власності</t>
  </si>
  <si>
    <t>Рентна плата та плата за використання інших природних ресурсів</t>
  </si>
  <si>
    <t>Рентна плата за користування надрами загальнодержавного значення</t>
  </si>
  <si>
    <t>Рентна плата за користування надрами для видобування інших корисних копалин загальнодержавного значення</t>
  </si>
  <si>
    <t>Внутрішні податки на товари та послуги</t>
  </si>
  <si>
    <t>Акцизний податок з вироблених в Україні підакцизних товарів (продукції)</t>
  </si>
  <si>
    <t>Пальне</t>
  </si>
  <si>
    <t>Акцизний податок з ввезених на митну територію України підакцизних товарів (продукції)</t>
  </si>
  <si>
    <t>Акцизний податок з реалізації суб`єктами господарювання роздрібної торгівлі підакцизних товарів</t>
  </si>
  <si>
    <t>Акцизний податок з реалізації виробниками та/або імпортерами, у тому числі в роздрібній торгівлі тютюнових виробів, тютюну та промислових замінників тютюну, рідин, що використовуються в електронних сигаретах, що оподатковується згідно з підпунктом 213.1.14 пункту 213.1 статті 213 Податкового кодексу України</t>
  </si>
  <si>
    <t>Акцизний податок з реалізації суб`єктами господарювання роздрібної торгівлі підакцизних товарів (крім тих, що оподатковуються згідно з підпунктом 213.1.14 пункту 213.1 статті 213 Податкового кодексу України)</t>
  </si>
  <si>
    <t>Місцеві податки та збори, що сплачуються (перераховуються) згідно з Податковим кодексом України</t>
  </si>
  <si>
    <t>Податок на майно</t>
  </si>
  <si>
    <t>Податок на нерухоме майно, відмінне від земельної ділянки, сплачений юридичними особами, які є власниками об`єктів житлової нерухомості</t>
  </si>
  <si>
    <t>Податок на нерухоме майно, відмінне від земельної ділянки, сплачений фізичними особами, які є власниками об`єктів житлової нерухомості</t>
  </si>
  <si>
    <t>Податок на нерухоме майно, відмінне від земельної ділянки, сплачений фізичними особами, які є власниками об`єктів нежитлової нерухомості</t>
  </si>
  <si>
    <t>Податок на нерухоме майно, відмінне від земельної ділянки, сплачений юридичними особами, які є власниками об`єктів нежитлової нерухомості</t>
  </si>
  <si>
    <t>Земельний податок з юридичних осіб</t>
  </si>
  <si>
    <t>Орендна плата з юридичних осіб</t>
  </si>
  <si>
    <t>Земельний податок з фізичних осіб</t>
  </si>
  <si>
    <t>Орендна плата з фізичних осіб</t>
  </si>
  <si>
    <t>Єдиний податок</t>
  </si>
  <si>
    <t>Єдиний податок з юридичних осіб</t>
  </si>
  <si>
    <t>Єдиний податок з фізичних осіб</t>
  </si>
  <si>
    <t>Єдиний податок з сільськогосподарських товаровиробників, у яких частка сільськогосподарського товаровиробництва за попередній податковий (звітний) рік дорівнює або перевищує 75 відсотків</t>
  </si>
  <si>
    <t>Інші податки та збори</t>
  </si>
  <si>
    <t>Екологічний податок</t>
  </si>
  <si>
    <t>Екологічний податок, який справляється за викиди в атмосферне повітря забруднюючих речовин стаціонарними джерелами забруднення (за винятком викидів в атмосферне повітря двоокису вуглецю)</t>
  </si>
  <si>
    <t>Надходження від скидів забруднюючих речовин безпосередньо у водні об`єкти</t>
  </si>
  <si>
    <t>Надходження від розміщення відходів у спеціально відведених для цього місцях чи на об`єктах, крім розміщення окремих видів відходів як вторинної сировини</t>
  </si>
  <si>
    <t>Неподаткові надходження</t>
  </si>
  <si>
    <t>Доходи від власності та підприємницької діяльності</t>
  </si>
  <si>
    <t>Частина чистого прибутку (доходу) державних або комунальних унітарних підприємств та їх об`єднань, що вилучається до відповідного бюджету, та дивіденди (дохід), нараховані на акції (частки) господарських товариств, у статутних капіталах яких є державна або комунальна власність</t>
  </si>
  <si>
    <t>Частина чистого прибутку (доходу) комунальних унітарних підприємств та їх об`єднань, що вилучається до відповідного місцевого бюджету</t>
  </si>
  <si>
    <t>Інші надходження</t>
  </si>
  <si>
    <t>Адміністративні штрафи та інші санкції</t>
  </si>
  <si>
    <t>Адміністративні штрафи за адміністративні правопорушення у сфері забезпечення безпеки дорожнього руху, зафіксовані в автоматичному режимі</t>
  </si>
  <si>
    <t>Адміністративні збори та платежі, доходи від некомерційної господарської діяльності</t>
  </si>
  <si>
    <t>Плата за надання адміністративних послуг</t>
  </si>
  <si>
    <t>Плата за надання інших адміністративних послуг</t>
  </si>
  <si>
    <t>Адміністративний збір за державну реєстрацію речових прав на нерухоме майно та їх обтяжень</t>
  </si>
  <si>
    <t>Державне мито</t>
  </si>
  <si>
    <t>Державне мито, що сплачується за місцем розгляду та оформлення документів, у тому числі за оформлення документів на спадщину і дарування</t>
  </si>
  <si>
    <t>Державне мито, пов`язане з видачею та оформленням закордонних паспортів (посвідок) та паспортів громадян України</t>
  </si>
  <si>
    <t>Орендна плата за водні об`єкти (їх частини), що надаються в користування на умовах оренди Радою міністрів Автономної Республіки Крим, обласними, районними, Київською та Севастопольською міськими державними адміністраціями, місцевими радами</t>
  </si>
  <si>
    <t>Інші неподаткові надходження</t>
  </si>
  <si>
    <t>Власні надходження бюджетних установ</t>
  </si>
  <si>
    <t>Надходження від плати за послуги, що надаються бюджетними установами згідно із законодавством</t>
  </si>
  <si>
    <t>Плата за оренду майна бюджетних установ, що здійснюється відповідно до Закону України `Про оренду державного та комунального майна`</t>
  </si>
  <si>
    <t>Усього доходів (без урахування міжбюджетних трансфертів)</t>
  </si>
  <si>
    <t>Офіційні трансферти</t>
  </si>
  <si>
    <t>Від органів державного управління</t>
  </si>
  <si>
    <t>Дотації з державного бюджету місцевим бюджетам</t>
  </si>
  <si>
    <t>Базова дотація</t>
  </si>
  <si>
    <t>Додаткова дотація з державного бюджету місцевим бюджетам на здійснення повноважень органів місцевого самоврядування на деокупованих, тимчасово окупованих та інших територіях України, що зазнали негативного впливу у зв`язку з повномасштабною збройною агресією Російської Федерації</t>
  </si>
  <si>
    <t>Разом доходів</t>
  </si>
  <si>
    <t>X</t>
  </si>
  <si>
    <t>Секретар Широківської сільської ради</t>
  </si>
  <si>
    <t>Олена ПРАВДЮК</t>
  </si>
  <si>
    <t>0852300000</t>
  </si>
  <si>
    <t>(код бюджету)</t>
  </si>
  <si>
    <t>від 19.12.2024 №</t>
  </si>
  <si>
    <t>до проєкту рішення сільської ради</t>
  </si>
  <si>
    <t>Додаток 5</t>
  </si>
  <si>
    <t>код бюджету</t>
  </si>
  <si>
    <t>1. Показники міжбюджетних трансфертів з інших бюджетів</t>
  </si>
  <si>
    <t>Код Класифікації доходу бюджету/Код бюджету</t>
  </si>
  <si>
    <t>Найменування трансферту/Найменування бюджету-надавача міжбюджетного трансферту</t>
  </si>
  <si>
    <t>І. Трансферти до загального фонду бюджету</t>
  </si>
  <si>
    <t>Державний бюджет України</t>
  </si>
  <si>
    <t>ІІ. Трансферти до спеціального фонду бюджету</t>
  </si>
  <si>
    <t>Х</t>
  </si>
  <si>
    <t>УСЬОГО за розділами І,ІІ, у тому числі:</t>
  </si>
  <si>
    <t>загальний фонд</t>
  </si>
  <si>
    <t>спеціальний фонд</t>
  </si>
  <si>
    <t>2. Показники міжбюджетних трансфертів  іншим бюджетам</t>
  </si>
  <si>
    <t>Код Програмної класифікації видатків та кредитування місцевого бюджету / Код бюджету</t>
  </si>
  <si>
    <t>Код Типової Програмної класифікації видатків та кредитування місцевого бюджету</t>
  </si>
  <si>
    <t>Найменування трансферту/Найменування бюджету-отримувача міжбюджетного трансферту</t>
  </si>
  <si>
    <t>Додаток 7</t>
  </si>
  <si>
    <t>(код бюджет)</t>
  </si>
  <si>
    <t>(грн.)</t>
  </si>
  <si>
    <t>Код Програмної класифікації видатків та кредитування місцевого бюджету</t>
  </si>
  <si>
    <t xml:space="preserve">Код Типової програмної класифікації видатків та кредитування місцевого бюджету
</t>
  </si>
  <si>
    <t>Код Функціональної класифікації видатків та кредитування бюджету</t>
  </si>
  <si>
    <t>Найменування головного розпорядника коштів місцевого бюджету/відповідального виконавця, найменування бюджетної програми/підпрограми згідно з Типовою програмною класифікацією видатків та кредитування місцевого бюджету</t>
  </si>
  <si>
    <t>Найменування місцевої/регіональної програми</t>
  </si>
  <si>
    <t>Дата і номер документа, яким затверджено місцеву регіональну програму</t>
  </si>
  <si>
    <t>0100000</t>
  </si>
  <si>
    <r>
      <t xml:space="preserve">Широківська сільська рада </t>
    </r>
    <r>
      <rPr>
        <i/>
        <sz val="11"/>
        <rFont val="Times New Roman"/>
        <family val="1"/>
        <charset val="204"/>
      </rPr>
      <t>(головний розпорядник)</t>
    </r>
  </si>
  <si>
    <t>0110000</t>
  </si>
  <si>
    <r>
      <t xml:space="preserve">Широківська сільська рада </t>
    </r>
    <r>
      <rPr>
        <i/>
        <sz val="11"/>
        <rFont val="Times New Roman"/>
        <family val="1"/>
        <charset val="204"/>
      </rPr>
      <t>(відповідальний виконавець)</t>
    </r>
    <r>
      <rPr>
        <b/>
        <sz val="11"/>
        <rFont val="Times New Roman"/>
        <family val="1"/>
        <charset val="204"/>
      </rPr>
      <t xml:space="preserve"> </t>
    </r>
  </si>
  <si>
    <t>0113031</t>
  </si>
  <si>
    <t>3031</t>
  </si>
  <si>
    <t>1030</t>
  </si>
  <si>
    <t>Надання інших пільг окремим категоріям громадян відповідно до законодавства</t>
  </si>
  <si>
    <t>рішення сільської ради від 15.12.2022 № 4</t>
  </si>
  <si>
    <t>0113032</t>
  </si>
  <si>
    <t>3032</t>
  </si>
  <si>
    <t>1070</t>
  </si>
  <si>
    <t>Надання пільг окремим категоріям громадян з оплати послуг зв`язку</t>
  </si>
  <si>
    <t>0113140</t>
  </si>
  <si>
    <t>Оздоровлення та відпочинок дітей (крім заходів з оздоровлення дітей, що здійснюються за рахунок коштів на оздоровлення громадян, які постраждали внаслідок Чорнобильської катастрофи)</t>
  </si>
  <si>
    <t>0113242</t>
  </si>
  <si>
    <t>3242</t>
  </si>
  <si>
    <t>1090</t>
  </si>
  <si>
    <t>Інші заходи у сфері соціального захисту і соціального забезпечення</t>
  </si>
  <si>
    <t>0116030</t>
  </si>
  <si>
    <t>6030</t>
  </si>
  <si>
    <t>0620</t>
  </si>
  <si>
    <t>Організація благоустрою населених пунктів</t>
  </si>
  <si>
    <t>0117680</t>
  </si>
  <si>
    <t>7680</t>
  </si>
  <si>
    <t>0490</t>
  </si>
  <si>
    <t>Членські  внески до асоціацій органів місцевого самоврядування</t>
  </si>
  <si>
    <t>Цільова програма забезпечення членства Широківської сільської ради Запорізького району Запорізької області на 2024-2026 роки</t>
  </si>
  <si>
    <t>рішення сільської ради від 21.12.2023 № 6</t>
  </si>
  <si>
    <t>0117693</t>
  </si>
  <si>
    <t>7693</t>
  </si>
  <si>
    <t>Інші заходи, пов`язані з економічною діяльністю</t>
  </si>
  <si>
    <t>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2022-2026 роки</t>
  </si>
  <si>
    <t>рішення сільської ради від 21.12.2021 № 9</t>
  </si>
  <si>
    <t>0118110</t>
  </si>
  <si>
    <t>8110</t>
  </si>
  <si>
    <t>0320</t>
  </si>
  <si>
    <t>Заходи із запобігання та ліквідації надзвичайних ситуацій та наслідків стихійного лиха</t>
  </si>
  <si>
    <t>Програма створення та використання місцевого матеріального резерву для запобігання,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2022-2026 роки (зі змінами та доповненнями)</t>
  </si>
  <si>
    <t>рішення сільської ради від 03.02.2022 № 6</t>
  </si>
  <si>
    <t>0118130</t>
  </si>
  <si>
    <t xml:space="preserve">Програма підтримки та розвитку комунального некомерційного підприємства "Місцева пожежно-рятувальна служба Широківської громади" Широківської сільської ради Запорізького району Запорізької області на 2024-2026 роки </t>
  </si>
  <si>
    <t>рішення сільської ради від 21.12.2023 № 7</t>
  </si>
  <si>
    <t>0118240</t>
  </si>
  <si>
    <t>8240</t>
  </si>
  <si>
    <t>0380</t>
  </si>
  <si>
    <t>Заходи та роботи з територіальної оборони</t>
  </si>
  <si>
    <t>0118312</t>
  </si>
  <si>
    <t>8312</t>
  </si>
  <si>
    <t>0512</t>
  </si>
  <si>
    <t>Утилізація відходів</t>
  </si>
  <si>
    <t xml:space="preserve">Програма охорони навколишнього природного середовища Широківської територіальної громади Запорізького району Запорізької області  на 2024-2026 роки </t>
  </si>
  <si>
    <t>рішення сільської ради від 21.12.2023 № 9</t>
  </si>
  <si>
    <t>УСЬОГО</t>
  </si>
  <si>
    <t xml:space="preserve">від 19.12.2024 № </t>
  </si>
  <si>
    <t>Розподіл витрат місцевого  бюджету на реалізацію місцевих/регіональних програм у 2025 році</t>
  </si>
  <si>
    <t>0118420</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</si>
  <si>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</si>
  <si>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 xml:space="preserve">проєкт рішення сільської ради від 19.12.2024 № </t>
  </si>
  <si>
    <t>8420</t>
  </si>
  <si>
    <t>0830</t>
  </si>
  <si>
    <t>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2025-2029 роки</t>
  </si>
  <si>
    <t xml:space="preserve">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 </t>
  </si>
  <si>
    <t>Програма соціального захисту населення Широківської сільської територіальної громади "Назустріч людям" на 2023-2025 роки (зі змінами та доповненнями)</t>
  </si>
  <si>
    <t>0113160</t>
  </si>
  <si>
    <t>3160</t>
  </si>
  <si>
    <t>1010</t>
  </si>
  <si>
    <t>Надання соціальних гарантій фізичним особам, які надають соціальні послуги громадянам похилого віку, особам з інвалідністю, дітям з інвалідністю, хворим, які не здатні до самообслуговування і потребують сторонньої допомоги</t>
  </si>
  <si>
    <t xml:space="preserve">Цільова програма з оздоровлення та відпочинку дітей Широківської територіальної громади Запорізького району Запорізької області на 2025-2027 роки </t>
  </si>
  <si>
    <t>0113112</t>
  </si>
  <si>
    <t>3112</t>
  </si>
  <si>
    <t>1040</t>
  </si>
  <si>
    <t>Заходи державної політики з питань дітей та їх соціального захисту</t>
  </si>
  <si>
    <t>0113090</t>
  </si>
  <si>
    <t>3090</t>
  </si>
  <si>
    <t>Видатки на поховання учасників бойових дій та осіб з інвалідністю внаслідок війни</t>
  </si>
  <si>
    <t>Програма організації захоронення тіл (останків)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на 2025-2027 роки</t>
  </si>
  <si>
    <t>Міжбюджетні трансферти на 2025 рік</t>
  </si>
  <si>
    <t>РОЗПОДІЛ</t>
  </si>
  <si>
    <t>видатків місцевого бюджету на 2025 рік</t>
  </si>
  <si>
    <t>Код Типової програмної класифікації видатків та кредитування місцевого бюджету</t>
  </si>
  <si>
    <t>Найменування головного розпорядника коштів місцевого бюджету/ відповідального виконавця, найменування бюджетної програми згідно з Типовою програмною класифікацією видатків та кредитування місцевого бюджету</t>
  </si>
  <si>
    <t>Разом</t>
  </si>
  <si>
    <t>видатки споживання</t>
  </si>
  <si>
    <t>з них</t>
  </si>
  <si>
    <t>видатки розвитку</t>
  </si>
  <si>
    <t>оплата праці</t>
  </si>
  <si>
    <t>комунальні послуги та енергоносії</t>
  </si>
  <si>
    <t>Широківська сільська рада Запорізького району Запорізької області</t>
  </si>
  <si>
    <t>0110150</t>
  </si>
  <si>
    <t>0150</t>
  </si>
  <si>
    <t>0111</t>
  </si>
  <si>
    <t>Організаційне, інформаційно-аналітичне та матеріально-технічне забезпечення діяльності обласної ради, районної ради, районної у місті ради (у разі її створення), міської, селищної, сільської рад</t>
  </si>
  <si>
    <t>0111021</t>
  </si>
  <si>
    <t>1021</t>
  </si>
  <si>
    <t>0921</t>
  </si>
  <si>
    <t>Надання загальної середньої освіти закладами загальної середньої освіти за рахунок коштів місцевого бюджету</t>
  </si>
  <si>
    <t>3140</t>
  </si>
  <si>
    <t>0113241</t>
  </si>
  <si>
    <t>3241</t>
  </si>
  <si>
    <t>Забезпечення діяльності інших закладів у сфері соціального захисту і соціального забезпечення</t>
  </si>
  <si>
    <t>0114081</t>
  </si>
  <si>
    <t>4081</t>
  </si>
  <si>
    <t>0829</t>
  </si>
  <si>
    <t>Забезпечення діяльності інших закладів в галузі культури і мистецтва</t>
  </si>
  <si>
    <t>Членські внески до асоціацій органів місцевого самоврядування</t>
  </si>
  <si>
    <t>8130</t>
  </si>
  <si>
    <t>Забезпечення діяльності місцевої та добровільної пожежної охорони</t>
  </si>
  <si>
    <t>0900000</t>
  </si>
  <si>
    <t>Служба (відділ) у справах дітей ШСР</t>
  </si>
  <si>
    <t>0910000</t>
  </si>
  <si>
    <t>Орган у справах дітей</t>
  </si>
  <si>
    <t>0910160</t>
  </si>
  <si>
    <t>0160</t>
  </si>
  <si>
    <t>Керівництво і управління у відповідній сфері у містах (місті Києві), селищах, селах, територіальних громадах</t>
  </si>
  <si>
    <t>1600000</t>
  </si>
  <si>
    <t>Відділ містобудування та ЖКГ ШСР</t>
  </si>
  <si>
    <t>1610000</t>
  </si>
  <si>
    <t>1610160</t>
  </si>
  <si>
    <t>1616030</t>
  </si>
  <si>
    <t>3700000</t>
  </si>
  <si>
    <t>Фінансовий відділ Широківської сільської ради Запорізького району Запорізької області</t>
  </si>
  <si>
    <t>3710000</t>
  </si>
  <si>
    <t>Орган з питань фінансів</t>
  </si>
  <si>
    <t>3710160</t>
  </si>
  <si>
    <t>3718710</t>
  </si>
  <si>
    <t>8710</t>
  </si>
  <si>
    <t>0133</t>
  </si>
  <si>
    <t>Резервний фонд місцевого бюджету</t>
  </si>
  <si>
    <t>Інші заходи у сфері медіа (засобів масової інформації)</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</si>
  <si>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t>
  </si>
  <si>
    <t>рішення сільської ради від 06.08.2024 № 3</t>
  </si>
  <si>
    <t>Додаток 3</t>
  </si>
  <si>
    <t>Освітня субвенці з державного бюджету місцевим бюджетам</t>
  </si>
  <si>
    <t>Субвенції з державного бюджету місцевим бюджетам</t>
  </si>
  <si>
    <t>Освітня субвенція з державного бюджету місцевим бюджетам</t>
  </si>
  <si>
    <t>0111031</t>
  </si>
  <si>
    <t>1031</t>
  </si>
  <si>
    <t>Надання загальної середньої освіти закладами загальної середньої освіти за рахунок освітньої субвенції</t>
  </si>
  <si>
    <t>Аналіз виконання доходної частини бюджету Широківської сільської територіальної громади</t>
  </si>
  <si>
    <t>станом на 01.12.2024 року</t>
  </si>
  <si>
    <t>ЗАГАЛЬНИЙ ФОНД</t>
  </si>
  <si>
    <t>грн</t>
  </si>
  <si>
    <t>ККД</t>
  </si>
  <si>
    <t>Доходи</t>
  </si>
  <si>
    <t>0852300000 - Бюджет Широкiвської сiльської територiальної громади</t>
  </si>
  <si>
    <t>Уточнений річний план</t>
  </si>
  <si>
    <t xml:space="preserve"> Уточений план за період</t>
  </si>
  <si>
    <t>Факт</t>
  </si>
  <si>
    <t>+/-</t>
  </si>
  <si>
    <t>% виконання</t>
  </si>
  <si>
    <t>Частина чистого прибутку (доходу) державних або комунальних унітарних підприємств та їх об`єднань, що вилучається до відповідного бюджету, та дивіденди (дохід), нараховані на акції (частки) господарських товариств, у статутних капіталах яких є державна аб</t>
  </si>
  <si>
    <t>Додаткова дотація з державного бюджету місцевим бюджетам на здійснення повноважень органів місцевого самоврядування на деокупованих, тимчасово окупованих та інших територіях України, що зазнали негативного впливу у зв`язку з повномасштабною збройною агрес</t>
  </si>
  <si>
    <t>Субвенція з державного бюджету місцевим бюджетам на облаштування безпечних умов у закладах, що надають загальну середню освіту</t>
  </si>
  <si>
    <t>Субвенція з державного бюджету місцевим бюджетам на забезпечення харчуванням учнів початкових класів закладів загальної середньої освіти</t>
  </si>
  <si>
    <t>Субвенція з державного бюджету місцевим бюджетам на придбання обладнання, створення та модернізацію (проведення реконструкції та капітального ремонту) їдалень (харчоблоків) закладів загальної середньої освіти</t>
  </si>
  <si>
    <t>Субвенція з державного бюджету місцевим бюджетам на створення мережі спеціалізованих служб підтримки осіб, які постраждали від домашнього насильства та/або насильства за ознакою статі</t>
  </si>
  <si>
    <t>Субвенція з місцевого бюджету на здійснення переданих видатків у сфері освіти за рахунок коштів освітньої субвенції</t>
  </si>
  <si>
    <t>Субвенція з місцевого бюджету за рахунок залишку коштів освітньої субвенції, що утворився на початок бюджетного періоду</t>
  </si>
  <si>
    <t>Субвенція з місцевого бюджету на забезпечення якісної, сучасної та доступної загальної середньої освіти `Нова українська школа` за рахунок відповідної субвенції з державного бюджету</t>
  </si>
  <si>
    <t>Субвенція з місцевого бюджету за рахунок залишку коштів субвенції на надання державної підтримки особам з особливими освітніми потребами, що утворився на початок бюджетного періоду</t>
  </si>
  <si>
    <t>Інші субвенції з місцевого бюджету</t>
  </si>
  <si>
    <t>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 які захищали незалежність, суверенітет та територіальну цілісність України, за рахунок відповідної су</t>
  </si>
  <si>
    <t>Всього без урахування трансфертів</t>
  </si>
  <si>
    <t>ВСЬОГО</t>
  </si>
  <si>
    <t>СПЕЦІАЛЬНИЙ ФОНД</t>
  </si>
  <si>
    <t>Уточений план за період</t>
  </si>
  <si>
    <t>Надходження коштів від відшкодування втрат сільськогосподарського і лісогосподарського виробництва</t>
  </si>
  <si>
    <t>Інші джерела власних надходжень бюджетних установ</t>
  </si>
  <si>
    <t>Доходи від операцій з капіталом</t>
  </si>
  <si>
    <t>Кошти від відчуження майна, що належить Автономній Республіці Крим та майна, що перебуває в комунальній власності</t>
  </si>
  <si>
    <t>Кошти від продажу землі</t>
  </si>
  <si>
    <t>Субвенція з місцевого бюджету на реалізацію проектів (об`єктів, заходів), спрямованих на ліквідацію наслідків збройної агресії, за рахунок відповідної субвенції з державного бюджету</t>
  </si>
  <si>
    <t>Цільові фонди</t>
  </si>
  <si>
    <t>Цільові фонди, утворені Верховною Радою Автономної Республіки Крим, органами місцевого самоврядування та місцевими органами виконавчої влади</t>
  </si>
  <si>
    <t>Аналіз виконання видаткової частини бюджету Широківської сільської територіальної громади</t>
  </si>
  <si>
    <t>Показник</t>
  </si>
  <si>
    <t>План на рік з урахуванням змін</t>
  </si>
  <si>
    <t>План на вказаний період з урахуванням змін</t>
  </si>
  <si>
    <t>Касові видатки за вказаний період</t>
  </si>
  <si>
    <t>Залишки плану на період відносно касових</t>
  </si>
  <si>
    <t>% виконання на вказаний період</t>
  </si>
  <si>
    <t>0111061</t>
  </si>
  <si>
    <t>Надання загальної середньої освіти закладами загальної середньої освіти за рахунок залишку коштів за освітньою субвенцією на кінець бюджетного періоду (крім залишку коштів, що мають цільове призначення, виділених відповідно до рішень Кабінету Міністрів Ук</t>
  </si>
  <si>
    <t>0111181</t>
  </si>
  <si>
    <t>Співфінансування заходів, що реалізуються за рахунок субвенції з державного бюджету місцевим бюджетам на забезпечення якісної, сучасної та доступної загальної середньої освіти `Нова українська школа`</t>
  </si>
  <si>
    <t>0111182</t>
  </si>
  <si>
    <t>Виконання заходів, спрямованих на забезпечення якісної, сучасної та доступної загальної середньої освіти «Нова українська школа» за рахунок субвенції з державного бюджету місцевим бюджетам</t>
  </si>
  <si>
    <t>0111210</t>
  </si>
  <si>
    <t>Надання освіти за рахунок залишку коштів за субвенцією з державного бюджету місцевим бюджетам на надання державної підтримки особам з особливими освітніми потребами на кінець бюджетного періоду</t>
  </si>
  <si>
    <t>0111291</t>
  </si>
  <si>
    <t>Співфінансування заходів, що реалізуються за рахунок залишку коштів за освітньою субвенцією на кінець бюджетного періоду, що мають цільове призначення, виділених відповідно до рішень Кабінету Міністрів України у попередніх бюджетних періодах (за спеціальн</t>
  </si>
  <si>
    <t>0111403</t>
  </si>
  <si>
    <t>Забезпечення харчуванням учнів початкових класів закладів загальної середньої освіти за рахунок субвенції з державного бюджету місцевим бюджетам</t>
  </si>
  <si>
    <t>0112010</t>
  </si>
  <si>
    <t>Багатопрофільна стаціонарна медична допомога населенню</t>
  </si>
  <si>
    <t>0112151</t>
  </si>
  <si>
    <t>Забезпечення діяльності інших закладів у сфері охорони здоров`я</t>
  </si>
  <si>
    <t>0112152</t>
  </si>
  <si>
    <t>Інші програми та заходи у сфері охорони здоров`я</t>
  </si>
  <si>
    <t>0113193</t>
  </si>
  <si>
    <t>Забезпечення діяльності фахівців із супроводу ветеранів війни та демобілізованих осіб та окремі заходи з підтримки осіб, які захищали незалежність, суверенітет та територіальну цілісність України</t>
  </si>
  <si>
    <t>0113230</t>
  </si>
  <si>
    <t>Видатки, пов`язані з наданням підтримки внутрішньо перемішеним та/або евакуйованим особам у зв`язку із введенням воєнного стану</t>
  </si>
  <si>
    <t>0116011</t>
  </si>
  <si>
    <t>Експлуатація та технічне обслуговування житлового фонду</t>
  </si>
  <si>
    <t>0116020</t>
  </si>
  <si>
    <t>Забезпечення функціонування підприємств, установ та організацій, що виробляють, виконують та/або надають житлово-комунальні послуги</t>
  </si>
  <si>
    <t>0117130</t>
  </si>
  <si>
    <t>Здійснення заходів із землеустрою</t>
  </si>
  <si>
    <t>Інші заходи у сфері засобів масової інформації</t>
  </si>
  <si>
    <t>0119150</t>
  </si>
  <si>
    <t>Інші дотації з місцевого бюджету</t>
  </si>
  <si>
    <t>0119380</t>
  </si>
  <si>
    <t>0119770</t>
  </si>
  <si>
    <t>0119800</t>
  </si>
  <si>
    <t>Субвенція з місцевого бюджету державному бюджету на виконання програм соціально-економічного розвитку регіонів</t>
  </si>
  <si>
    <t xml:space="preserve"> </t>
  </si>
  <si>
    <t xml:space="preserve">Усього </t>
  </si>
  <si>
    <t xml:space="preserve">% виконання на вказаний період </t>
  </si>
  <si>
    <t>0111241</t>
  </si>
  <si>
    <t>Співфінансування заходів, що реалізуються за рахунок субвенції з державного бюджету місцевим бюджетам на придбання обладнання, створення та модернізацію (проведення реконструкції та капітального ремонту) їдалень (харчоблоків) закладів загальної середньої</t>
  </si>
  <si>
    <t>0111242</t>
  </si>
  <si>
    <t>Виконання заходів щодо придбання обладнання, створення та модернізації (проведення реконструкції та капітального ремонту) їдалень (харчоблоків) закладів загальної середньої освіти за рахунок субвенції з державного бюджету місцевим бюджетам</t>
  </si>
  <si>
    <t>0111261</t>
  </si>
  <si>
    <t>Співфінансування заходів, що реалізуються за рахунок субвенції з державного бюджету місцевим бюджетам на облаштування безпечних умов у закладах, що надають загальну середню освіту</t>
  </si>
  <si>
    <t>0111262</t>
  </si>
  <si>
    <t>Виконання заходів щодо облаштування безпечних умов у закладах, що надають загальну середню освіту, за рахунок субвенції з державного бюджету місцевим бюджетам</t>
  </si>
  <si>
    <t>0111292</t>
  </si>
  <si>
    <t>Реалізація заходів за рахунок залишку коштів за освітньою субвенцією на кінець бюджетного періоду, що мають цільове призначення, виділених відповідно до рішень Кабінету Міністрів України у попередніх бюджетних періодах (за спеціальним фондом державного бю</t>
  </si>
  <si>
    <t>0113124</t>
  </si>
  <si>
    <t>Створення та забезпечення діяльності спеціалізованих служб підтримки осіб, які постраждали від домашнього насильства та/або насильства за ознакою статі</t>
  </si>
  <si>
    <t>0113210</t>
  </si>
  <si>
    <t>0117321</t>
  </si>
  <si>
    <t>Будівництво освітніх установ та закладів</t>
  </si>
  <si>
    <t>0117330</t>
  </si>
  <si>
    <t>Будівництво інших об`єктів комунальної власності</t>
  </si>
  <si>
    <t>0117383</t>
  </si>
  <si>
    <t>Реалізація проектів (об`єктів, заходів) за рахунок коштів фонду ліквідації наслідків збройної агресії</t>
  </si>
  <si>
    <t>0117384</t>
  </si>
  <si>
    <t>Реалізація проектів і заходів за рахунок залишку коштів спеціального фонду державного бюджету, що утворилися станом на 01 січня 2023 року, джерелом формування яких були кредити (позики) від Європейського інвестиційного банку</t>
  </si>
  <si>
    <t>0117461</t>
  </si>
  <si>
    <t>Утримання та розвиток автомобільних доріг та дорожньої інфраструктури за рахунок коштів місцевого бюджету</t>
  </si>
  <si>
    <t>0117660</t>
  </si>
  <si>
    <t>Підготовка земельних ділянок несільськогосподарського призначення або прав на них комунальної власності для продажу на земельних торгах та проведення таких торгів</t>
  </si>
  <si>
    <t>0117691</t>
  </si>
  <si>
    <t>Виконання заходів за рахунок цільових фондів, утворених Верховною Радою Автономної Республіки Крим, органами місцевого самоврядування і місцевими органами виконавчої влади і фондів, утворених Верховною Радою Автономної Республіки Крим, органами місцевого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</si>
</sst>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35" x14ac:knownFonts="1">
    <font>
      <sz val="11"/>
      <color theme="1"/>
      <name val="Calibri"/>
      <family val="2"/>
      <charset val="204"/>
      <scheme val="minor"/>
    </font>
    <font>
      <sz val="12"/>
      <color theme="1"/>
      <name val="Times New Roman"/>
      <family val="1"/>
      <charset val="204"/>
    </font>
    <font>
      <b/>
      <sz val="12"/>
      <color theme="1"/>
      <name val="Times New Roman"/>
      <family val="1"/>
      <charset val="204"/>
    </font>
    <font>
      <sz val="11"/>
      <color theme="1"/>
      <name val="Calibri"/>
      <family val="2"/>
      <charset val="204"/>
      <scheme val="minor"/>
    </font>
    <font>
      <sz val="10"/>
      <color theme="1"/>
      <name val="Calibri"/>
      <family val="2"/>
      <charset val="204"/>
      <scheme val="minor"/>
    </font>
    <font>
      <sz val="11"/>
      <color theme="1"/>
      <name val="Times New Roman"/>
      <family val="1"/>
      <charset val="204"/>
    </font>
    <font>
      <u/>
      <sz val="12"/>
      <color theme="1"/>
      <name val="Times New Roman"/>
      <family val="1"/>
      <charset val="204"/>
    </font>
    <font>
      <sz val="9"/>
      <color theme="1"/>
      <name val="Times New Roman"/>
      <family val="1"/>
      <charset val="204"/>
    </font>
    <font>
      <b/>
      <sz val="11"/>
      <color theme="1"/>
      <name val="Times New Roman"/>
      <family val="1"/>
      <charset val="204"/>
    </font>
    <font>
      <sz val="11"/>
      <name val="Times New Roman"/>
      <family val="1"/>
      <charset val="204"/>
    </font>
    <font>
      <sz val="10"/>
      <name val="Times New Roman"/>
      <family val="1"/>
      <charset val="204"/>
    </font>
    <font>
      <b/>
      <sz val="14"/>
      <name val="Times New Roman"/>
      <family val="1"/>
      <charset val="204"/>
    </font>
    <font>
      <sz val="14"/>
      <name val="Times New Roman"/>
      <family val="1"/>
      <charset val="204"/>
    </font>
    <font>
      <u/>
      <sz val="12"/>
      <name val="Times New Roman"/>
      <family val="1"/>
      <charset val="204"/>
    </font>
    <font>
      <b/>
      <sz val="11"/>
      <name val="Times New Roman"/>
      <family val="1"/>
      <charset val="204"/>
    </font>
    <font>
      <i/>
      <sz val="11"/>
      <name val="Times New Roman"/>
      <family val="1"/>
      <charset val="204"/>
    </font>
    <font>
      <sz val="10"/>
      <color indexed="8"/>
      <name val="Arial"/>
      <family val="2"/>
      <charset val="204"/>
    </font>
    <font>
      <b/>
      <sz val="11"/>
      <color indexed="8"/>
      <name val="Times New Roman"/>
      <family val="1"/>
      <charset val="204"/>
    </font>
    <font>
      <sz val="11"/>
      <color rgb="FF000000"/>
      <name val="Times New Roman"/>
      <family val="1"/>
      <charset val="204"/>
    </font>
    <font>
      <sz val="11"/>
      <color indexed="8"/>
      <name val="Times New Roman"/>
      <family val="1"/>
      <charset val="204"/>
    </font>
    <font>
      <sz val="11"/>
      <color rgb="FFFF0000"/>
      <name val="Times New Roman"/>
      <family val="1"/>
      <charset val="204"/>
    </font>
    <font>
      <sz val="12"/>
      <name val="Times New Roman"/>
      <family val="1"/>
      <charset val="204"/>
    </font>
    <font>
      <sz val="9"/>
      <name val="Times New Roman"/>
      <family val="1"/>
      <charset val="204"/>
    </font>
    <font>
      <sz val="8"/>
      <name val="Calibri"/>
      <family val="2"/>
      <charset val="204"/>
      <scheme val="minor"/>
    </font>
    <font>
      <sz val="8"/>
      <color theme="1"/>
      <name val="Times New Roman"/>
      <family val="1"/>
      <charset val="204"/>
    </font>
    <font>
      <b/>
      <sz val="11"/>
      <color theme="1"/>
      <name val="Calibri"/>
      <family val="2"/>
      <charset val="204"/>
      <scheme val="minor"/>
    </font>
    <font>
      <b/>
      <sz val="12"/>
      <color theme="1"/>
      <name val="Calibri"/>
      <family val="2"/>
      <charset val="204"/>
      <scheme val="minor"/>
    </font>
    <font>
      <sz val="10"/>
      <name val="Arial"/>
      <family val="2"/>
      <charset val="204"/>
    </font>
    <font>
      <b/>
      <sz val="12"/>
      <name val="Calibri"/>
      <family val="2"/>
      <charset val="204"/>
      <scheme val="minor"/>
    </font>
    <font>
      <sz val="10"/>
      <name val="Calibri"/>
      <family val="2"/>
      <charset val="204"/>
      <scheme val="minor"/>
    </font>
    <font>
      <b/>
      <sz val="11"/>
      <name val="Calibri"/>
      <family val="2"/>
      <charset val="204"/>
      <scheme val="minor"/>
    </font>
    <font>
      <b/>
      <sz val="10"/>
      <name val="Arial"/>
      <family val="2"/>
    </font>
    <font>
      <sz val="11"/>
      <name val="Calibri"/>
      <family val="2"/>
      <charset val="204"/>
      <scheme val="minor"/>
    </font>
    <font>
      <sz val="12"/>
      <name val="Calibri"/>
      <family val="2"/>
      <charset val="204"/>
      <scheme val="minor"/>
    </font>
    <font>
      <sz val="11"/>
      <name val="Arial"/>
      <family val="2"/>
      <charset val="204"/>
    </font>
  </fonts>
  <fills count="6">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0" fontId="4" fillId="0" borderId="0"/>
    <xf numFmtId="0" fontId="10" fillId="0" borderId="0"/>
    <xf numFmtId="0" fontId="4" fillId="0" borderId="0"/>
    <xf numFmtId="0" fontId="16" fillId="0" borderId="0">
      <alignment vertical="top"/>
    </xf>
    <xf numFmtId="0" fontId="3" fillId="0" borderId="0"/>
    <xf numFmtId="0" fontId="3" fillId="0" borderId="0"/>
    <xf numFmtId="0" fontId="3" fillId="0" borderId="0"/>
    <xf numFmtId="0" fontId="3" fillId="0" borderId="0"/>
    <xf numFmtId="0" fontId="3" fillId="0" borderId="0"/>
    <xf numFmtId="0" fontId="27" fillId="0" borderId="0"/>
  </cellStyleXfs>
  <cellXfs count="244">
    <xf numFmtId="0" fontId="0" fillId="0" borderId="0" xfId="0"/>
    <xf numFmtId="0" fontId="1" fillId="0" borderId="0" xfId="0" applyFont="1"/>
    <xf numFmtId="0" fontId="5" fillId="0" borderId="0" xfId="1" applyFont="1"/>
    <xf numFmtId="0" fontId="4" fillId="0" borderId="0" xfId="1"/>
    <xf numFmtId="0" fontId="5" fillId="0" borderId="0" xfId="1" applyFont="1" applyAlignment="1">
      <alignment wrapText="1"/>
    </xf>
    <xf numFmtId="0" fontId="5" fillId="0" borderId="2" xfId="1" applyFont="1" applyBorder="1" applyAlignment="1">
      <alignment horizontal="center" vertical="center" wrapText="1"/>
    </xf>
    <xf numFmtId="0" fontId="5" fillId="0" borderId="2" xfId="1" applyFont="1" applyBorder="1" applyAlignment="1">
      <alignment horizontal="center" vertical="center"/>
    </xf>
    <xf numFmtId="0" fontId="5" fillId="0" borderId="0" xfId="1" applyFont="1" applyAlignment="1">
      <alignment horizontal="center"/>
    </xf>
    <xf numFmtId="0" fontId="8" fillId="0" borderId="2" xfId="1" applyFont="1" applyBorder="1" applyAlignment="1">
      <alignment vertical="center" wrapText="1"/>
    </xf>
    <xf numFmtId="3" fontId="8" fillId="0" borderId="2" xfId="1" applyNumberFormat="1" applyFont="1" applyBorder="1"/>
    <xf numFmtId="0" fontId="9" fillId="0" borderId="2" xfId="1" applyFont="1" applyBorder="1" applyAlignment="1">
      <alignment vertical="center" wrapText="1"/>
    </xf>
    <xf numFmtId="3" fontId="9" fillId="0" borderId="2" xfId="1" applyNumberFormat="1" applyFont="1" applyBorder="1"/>
    <xf numFmtId="0" fontId="2" fillId="0" borderId="2" xfId="1" applyFont="1" applyBorder="1" applyAlignment="1">
      <alignment vertical="center" wrapText="1"/>
    </xf>
    <xf numFmtId="3" fontId="2" fillId="0" borderId="2" xfId="1" applyNumberFormat="1" applyFont="1" applyBorder="1"/>
    <xf numFmtId="0" fontId="8" fillId="0" borderId="2" xfId="1" applyFont="1" applyBorder="1"/>
    <xf numFmtId="0" fontId="5" fillId="0" borderId="2" xfId="1" applyFont="1" applyBorder="1"/>
    <xf numFmtId="3" fontId="5" fillId="0" borderId="2" xfId="1" applyNumberFormat="1" applyFont="1" applyBorder="1"/>
    <xf numFmtId="3" fontId="5" fillId="0" borderId="0" xfId="1" applyNumberFormat="1" applyFont="1"/>
    <xf numFmtId="0" fontId="1" fillId="0" borderId="2" xfId="1" applyFont="1" applyBorder="1" applyAlignment="1">
      <alignment horizontal="left" vertical="top" wrapText="1"/>
    </xf>
    <xf numFmtId="0" fontId="5" fillId="0" borderId="2" xfId="1" applyFont="1" applyBorder="1" applyAlignment="1">
      <alignment horizontal="center"/>
    </xf>
    <xf numFmtId="0" fontId="8" fillId="0" borderId="0" xfId="1" applyFont="1"/>
    <xf numFmtId="0" fontId="8" fillId="0" borderId="0" xfId="1" applyFont="1" applyAlignment="1">
      <alignment horizontal="right"/>
    </xf>
    <xf numFmtId="0" fontId="8" fillId="0" borderId="0" xfId="1" applyFont="1" applyAlignment="1">
      <alignment horizontal="left"/>
    </xf>
    <xf numFmtId="0" fontId="9" fillId="0" borderId="0" xfId="2" applyFont="1"/>
    <xf numFmtId="0" fontId="10" fillId="0" borderId="0" xfId="2" applyAlignment="1">
      <alignment vertical="top"/>
    </xf>
    <xf numFmtId="0" fontId="10" fillId="0" borderId="0" xfId="2"/>
    <xf numFmtId="0" fontId="9" fillId="0" borderId="0" xfId="2" applyFont="1" applyAlignment="1">
      <alignment horizontal="left" vertical="top"/>
    </xf>
    <xf numFmtId="0" fontId="10" fillId="0" borderId="0" xfId="2" applyAlignment="1">
      <alignment horizontal="left" vertical="center" wrapText="1"/>
    </xf>
    <xf numFmtId="0" fontId="5" fillId="0" borderId="0" xfId="1" applyFont="1" applyAlignment="1">
      <alignment horizontal="left" vertical="center" wrapText="1"/>
    </xf>
    <xf numFmtId="0" fontId="10" fillId="0" borderId="0" xfId="3" applyFont="1" applyAlignment="1">
      <alignment horizontal="left" wrapText="1"/>
    </xf>
    <xf numFmtId="0" fontId="12" fillId="0" borderId="0" xfId="1" applyFont="1" applyAlignment="1">
      <alignment horizontal="center" vertical="top"/>
    </xf>
    <xf numFmtId="0" fontId="11" fillId="0" borderId="0" xfId="2" applyFont="1" applyAlignment="1">
      <alignment horizontal="center"/>
    </xf>
    <xf numFmtId="0" fontId="10" fillId="0" borderId="0" xfId="2" applyAlignment="1">
      <alignment horizontal="center" vertical="top"/>
    </xf>
    <xf numFmtId="0" fontId="10" fillId="0" borderId="0" xfId="2" applyAlignment="1">
      <alignment horizontal="center"/>
    </xf>
    <xf numFmtId="0" fontId="11" fillId="0" borderId="0" xfId="2" applyFont="1" applyAlignment="1">
      <alignment horizontal="center" vertical="top"/>
    </xf>
    <xf numFmtId="0" fontId="10" fillId="0" borderId="0" xfId="2" applyAlignment="1">
      <alignment horizontal="right" vertical="center"/>
    </xf>
    <xf numFmtId="0" fontId="9" fillId="0" borderId="2" xfId="2" applyFont="1" applyBorder="1" applyAlignment="1">
      <alignment horizontal="center" vertical="center" wrapText="1"/>
    </xf>
    <xf numFmtId="0" fontId="9" fillId="0" borderId="7" xfId="2" applyFont="1" applyBorder="1" applyAlignment="1">
      <alignment horizontal="center" vertical="center" wrapText="1"/>
    </xf>
    <xf numFmtId="49" fontId="14" fillId="3" borderId="2" xfId="2" applyNumberFormat="1" applyFont="1" applyFill="1" applyBorder="1" applyAlignment="1">
      <alignment horizontal="center" vertical="center" wrapText="1"/>
    </xf>
    <xf numFmtId="0" fontId="14" fillId="3" borderId="2" xfId="2" applyFont="1" applyFill="1" applyBorder="1" applyAlignment="1">
      <alignment horizontal="center" vertical="top" wrapText="1"/>
    </xf>
    <xf numFmtId="0" fontId="14" fillId="3" borderId="2" xfId="2" applyFont="1" applyFill="1" applyBorder="1" applyAlignment="1">
      <alignment horizontal="justify" vertical="center" wrapText="1"/>
    </xf>
    <xf numFmtId="164" fontId="17" fillId="0" borderId="2" xfId="4" applyNumberFormat="1" applyFont="1" applyBorder="1" applyAlignment="1">
      <alignment vertical="center"/>
    </xf>
    <xf numFmtId="4" fontId="9" fillId="0" borderId="2" xfId="2" applyNumberFormat="1" applyFont="1" applyBorder="1" applyAlignment="1">
      <alignment horizontal="center"/>
    </xf>
    <xf numFmtId="0" fontId="10" fillId="0" borderId="0" xfId="2" applyAlignment="1">
      <alignment vertical="center"/>
    </xf>
    <xf numFmtId="49" fontId="14" fillId="3" borderId="6" xfId="2" applyNumberFormat="1" applyFont="1" applyFill="1" applyBorder="1" applyAlignment="1">
      <alignment horizontal="center" vertical="center" wrapText="1"/>
    </xf>
    <xf numFmtId="0" fontId="14" fillId="3" borderId="6" xfId="2" applyFont="1" applyFill="1" applyBorder="1" applyAlignment="1">
      <alignment horizontal="center" vertical="top" wrapText="1"/>
    </xf>
    <xf numFmtId="0" fontId="5" fillId="0" borderId="2" xfId="5" quotePrefix="1" applyFont="1" applyBorder="1" applyAlignment="1">
      <alignment horizontal="center" vertical="center" wrapText="1"/>
    </xf>
    <xf numFmtId="4" fontId="5" fillId="0" borderId="2" xfId="5" quotePrefix="1" applyNumberFormat="1" applyFont="1" applyBorder="1" applyAlignment="1">
      <alignment horizontal="center" vertical="center" wrapText="1"/>
    </xf>
    <xf numFmtId="4" fontId="5" fillId="0" borderId="2" xfId="5" quotePrefix="1" applyNumberFormat="1" applyFont="1" applyBorder="1" applyAlignment="1">
      <alignment vertical="center" wrapText="1"/>
    </xf>
    <xf numFmtId="0" fontId="18" fillId="0" borderId="2" xfId="1" applyFont="1" applyBorder="1" applyAlignment="1">
      <alignment vertical="center" wrapText="1"/>
    </xf>
    <xf numFmtId="0" fontId="5" fillId="3" borderId="2" xfId="2" applyFont="1" applyFill="1" applyBorder="1" applyAlignment="1">
      <alignment horizontal="left" vertical="top" wrapText="1"/>
    </xf>
    <xf numFmtId="4" fontId="9" fillId="0" borderId="2" xfId="2" applyNumberFormat="1" applyFont="1" applyBorder="1" applyAlignment="1">
      <alignment horizontal="right" vertical="top" wrapText="1"/>
    </xf>
    <xf numFmtId="4" fontId="9" fillId="0" borderId="2" xfId="2" applyNumberFormat="1" applyFont="1" applyBorder="1" applyAlignment="1">
      <alignment horizontal="right" vertical="top"/>
    </xf>
    <xf numFmtId="4" fontId="19" fillId="0" borderId="2" xfId="4" applyNumberFormat="1" applyFont="1" applyBorder="1" applyAlignment="1">
      <alignment horizontal="right" vertical="top"/>
    </xf>
    <xf numFmtId="0" fontId="5" fillId="0" borderId="2" xfId="1" quotePrefix="1" applyFont="1" applyBorder="1" applyAlignment="1">
      <alignment horizontal="center" vertical="center" wrapText="1"/>
    </xf>
    <xf numFmtId="4" fontId="5" fillId="0" borderId="2" xfId="1" quotePrefix="1" applyNumberFormat="1" applyFont="1" applyBorder="1" applyAlignment="1">
      <alignment horizontal="center" vertical="center" wrapText="1"/>
    </xf>
    <xf numFmtId="4" fontId="5" fillId="0" borderId="2" xfId="1" quotePrefix="1" applyNumberFormat="1" applyFont="1" applyBorder="1" applyAlignment="1">
      <alignment vertical="center" wrapText="1"/>
    </xf>
    <xf numFmtId="0" fontId="9" fillId="0" borderId="2" xfId="2" quotePrefix="1" applyFont="1" applyBorder="1" applyAlignment="1">
      <alignment horizontal="center" vertical="center" wrapText="1"/>
    </xf>
    <xf numFmtId="49" fontId="9" fillId="0" borderId="2" xfId="2" quotePrefix="1" applyNumberFormat="1" applyFont="1" applyBorder="1" applyAlignment="1">
      <alignment horizontal="center" vertical="center" wrapText="1"/>
    </xf>
    <xf numFmtId="0" fontId="9" fillId="0" borderId="2" xfId="2" applyFont="1" applyBorder="1" applyAlignment="1">
      <alignment horizontal="left" vertical="center" wrapText="1"/>
    </xf>
    <xf numFmtId="0" fontId="9" fillId="3" borderId="2" xfId="2" applyFont="1" applyFill="1" applyBorder="1" applyAlignment="1">
      <alignment horizontal="left" vertical="center" wrapText="1"/>
    </xf>
    <xf numFmtId="2" fontId="9" fillId="0" borderId="2" xfId="2" quotePrefix="1" applyNumberFormat="1" applyFont="1" applyBorder="1" applyAlignment="1">
      <alignment horizontal="center" vertical="center" wrapText="1"/>
    </xf>
    <xf numFmtId="2" fontId="9" fillId="0" borderId="2" xfId="2" applyNumberFormat="1" applyFont="1" applyBorder="1" applyAlignment="1">
      <alignment horizontal="left" vertical="center" wrapText="1"/>
    </xf>
    <xf numFmtId="0" fontId="5" fillId="0" borderId="6" xfId="2" quotePrefix="1" applyFont="1" applyBorder="1" applyAlignment="1">
      <alignment horizontal="center" vertical="center" wrapText="1"/>
    </xf>
    <xf numFmtId="2" fontId="5" fillId="0" borderId="6" xfId="2" quotePrefix="1" applyNumberFormat="1" applyFont="1" applyBorder="1" applyAlignment="1">
      <alignment horizontal="center" vertical="center" wrapText="1"/>
    </xf>
    <xf numFmtId="2" fontId="5" fillId="0" borderId="6" xfId="2" quotePrefix="1" applyNumberFormat="1" applyFont="1" applyBorder="1" applyAlignment="1">
      <alignment vertical="center" wrapText="1"/>
    </xf>
    <xf numFmtId="0" fontId="9" fillId="3" borderId="2" xfId="4" applyFont="1" applyFill="1" applyBorder="1" applyAlignment="1">
      <alignment horizontal="left" vertical="center" wrapText="1"/>
    </xf>
    <xf numFmtId="0" fontId="9" fillId="3" borderId="6" xfId="2" applyFont="1" applyFill="1" applyBorder="1" applyAlignment="1">
      <alignment horizontal="left" vertical="top" wrapText="1"/>
    </xf>
    <xf numFmtId="4" fontId="9" fillId="3" borderId="2" xfId="2" applyNumberFormat="1" applyFont="1" applyFill="1" applyBorder="1" applyAlignment="1">
      <alignment horizontal="right" vertical="top" wrapText="1"/>
    </xf>
    <xf numFmtId="49" fontId="5" fillId="0" borderId="2" xfId="2" quotePrefix="1" applyNumberFormat="1" applyFont="1" applyBorder="1" applyAlignment="1">
      <alignment horizontal="center" vertical="center" wrapText="1"/>
    </xf>
    <xf numFmtId="2" fontId="5" fillId="0" borderId="2" xfId="2" quotePrefix="1" applyNumberFormat="1" applyFont="1" applyBorder="1" applyAlignment="1">
      <alignment horizontal="left" vertical="center" wrapText="1"/>
    </xf>
    <xf numFmtId="2" fontId="9" fillId="0" borderId="2" xfId="2" quotePrefix="1" applyNumberFormat="1" applyFont="1" applyBorder="1" applyAlignment="1">
      <alignment vertical="center" wrapText="1"/>
    </xf>
    <xf numFmtId="4" fontId="19" fillId="3" borderId="2" xfId="4" applyNumberFormat="1" applyFont="1" applyFill="1" applyBorder="1" applyAlignment="1">
      <alignment horizontal="right" vertical="top"/>
    </xf>
    <xf numFmtId="0" fontId="18" fillId="3" borderId="2" xfId="1" applyFont="1" applyFill="1" applyBorder="1" applyAlignment="1">
      <alignment horizontal="left" vertical="center" wrapText="1"/>
    </xf>
    <xf numFmtId="0" fontId="9" fillId="3" borderId="2" xfId="2" applyFont="1" applyFill="1" applyBorder="1" applyAlignment="1">
      <alignment horizontal="left" vertical="top" wrapText="1"/>
    </xf>
    <xf numFmtId="0" fontId="5" fillId="3" borderId="2" xfId="1" applyFont="1" applyFill="1" applyBorder="1" applyAlignment="1">
      <alignment horizontal="left" vertical="center" wrapText="1"/>
    </xf>
    <xf numFmtId="0" fontId="5" fillId="3" borderId="2" xfId="2" applyFont="1" applyFill="1" applyBorder="1" applyAlignment="1">
      <alignment horizontal="left" vertical="center" wrapText="1"/>
    </xf>
    <xf numFmtId="0" fontId="9" fillId="0" borderId="2" xfId="2" applyFont="1" applyBorder="1" applyAlignment="1">
      <alignment horizontal="center"/>
    </xf>
    <xf numFmtId="0" fontId="9" fillId="0" borderId="2" xfId="2" applyFont="1" applyBorder="1"/>
    <xf numFmtId="4" fontId="9" fillId="0" borderId="2" xfId="2" applyNumberFormat="1" applyFont="1" applyBorder="1" applyAlignment="1">
      <alignment horizontal="right"/>
    </xf>
    <xf numFmtId="0" fontId="9" fillId="0" borderId="0" xfId="2" applyFont="1" applyAlignment="1">
      <alignment vertical="top"/>
    </xf>
    <xf numFmtId="4" fontId="9" fillId="0" borderId="0" xfId="2" applyNumberFormat="1" applyFont="1"/>
    <xf numFmtId="0" fontId="14" fillId="0" borderId="0" xfId="2" applyFont="1" applyAlignment="1">
      <alignment horizontal="right"/>
    </xf>
    <xf numFmtId="0" fontId="21" fillId="0" borderId="0" xfId="2" applyFont="1"/>
    <xf numFmtId="0" fontId="22" fillId="0" borderId="0" xfId="2" applyFont="1"/>
    <xf numFmtId="0" fontId="20" fillId="3" borderId="6" xfId="2" applyFont="1" applyFill="1" applyBorder="1" applyAlignment="1">
      <alignment horizontal="left" vertical="top" wrapText="1"/>
    </xf>
    <xf numFmtId="0" fontId="5" fillId="0" borderId="2" xfId="6" quotePrefix="1" applyFont="1" applyBorder="1" applyAlignment="1">
      <alignment horizontal="center" vertical="center" wrapText="1"/>
    </xf>
    <xf numFmtId="4" fontId="5" fillId="0" borderId="2" xfId="6" quotePrefix="1" applyNumberFormat="1" applyFont="1" applyBorder="1" applyAlignment="1">
      <alignment horizontal="center" vertical="center" wrapText="1"/>
    </xf>
    <xf numFmtId="4" fontId="5" fillId="0" borderId="2" xfId="6" quotePrefix="1" applyNumberFormat="1" applyFont="1" applyBorder="1" applyAlignment="1">
      <alignment vertical="center" wrapText="1"/>
    </xf>
    <xf numFmtId="0" fontId="5" fillId="3" borderId="2" xfId="0" applyFont="1" applyFill="1" applyBorder="1" applyAlignment="1">
      <alignment horizontal="left" vertical="top" wrapText="1"/>
    </xf>
    <xf numFmtId="0" fontId="5" fillId="0" borderId="2" xfId="2" quotePrefix="1" applyFont="1" applyBorder="1" applyAlignment="1">
      <alignment horizontal="center" vertical="center" wrapText="1"/>
    </xf>
    <xf numFmtId="0" fontId="5" fillId="3" borderId="6" xfId="2" applyFont="1" applyFill="1" applyBorder="1" applyAlignment="1">
      <alignment horizontal="left" vertical="top" wrapText="1"/>
    </xf>
    <xf numFmtId="0" fontId="5" fillId="0" borderId="2" xfId="7" quotePrefix="1" applyFont="1" applyBorder="1" applyAlignment="1">
      <alignment horizontal="center" vertical="center" wrapText="1"/>
    </xf>
    <xf numFmtId="2" fontId="5" fillId="0" borderId="2" xfId="2" quotePrefix="1" applyNumberFormat="1" applyFont="1" applyBorder="1" applyAlignment="1">
      <alignment horizontal="center" vertical="center" wrapText="1"/>
    </xf>
    <xf numFmtId="2" fontId="5" fillId="0" borderId="2" xfId="2" quotePrefix="1" applyNumberFormat="1" applyFont="1" applyBorder="1" applyAlignment="1">
      <alignment vertical="center" wrapText="1"/>
    </xf>
    <xf numFmtId="0" fontId="9" fillId="3" borderId="2" xfId="4" applyFont="1" applyFill="1" applyBorder="1" applyAlignment="1">
      <alignment horizontal="left" vertical="top" wrapText="1"/>
    </xf>
    <xf numFmtId="0" fontId="5" fillId="0" borderId="2" xfId="8" quotePrefix="1" applyFont="1" applyBorder="1" applyAlignment="1">
      <alignment horizontal="center" vertical="center" wrapText="1"/>
    </xf>
    <xf numFmtId="4" fontId="5" fillId="0" borderId="2" xfId="8" quotePrefix="1" applyNumberFormat="1" applyFont="1" applyBorder="1" applyAlignment="1">
      <alignment horizontal="center" vertical="center" wrapText="1"/>
    </xf>
    <xf numFmtId="4" fontId="5" fillId="0" borderId="2" xfId="8" quotePrefix="1" applyNumberFormat="1" applyFont="1" applyBorder="1" applyAlignment="1">
      <alignment vertical="center" wrapText="1"/>
    </xf>
    <xf numFmtId="0" fontId="18" fillId="0" borderId="2" xfId="0" applyFont="1" applyBorder="1" applyAlignment="1">
      <alignment vertical="center" wrapText="1"/>
    </xf>
    <xf numFmtId="0" fontId="9" fillId="3" borderId="2" xfId="2" quotePrefix="1" applyFont="1" applyFill="1" applyBorder="1" applyAlignment="1">
      <alignment horizontal="center" vertical="center" wrapText="1"/>
    </xf>
    <xf numFmtId="0" fontId="5" fillId="3" borderId="6" xfId="2" quotePrefix="1" applyFont="1" applyFill="1" applyBorder="1" applyAlignment="1">
      <alignment horizontal="center" vertical="center" wrapText="1"/>
    </xf>
    <xf numFmtId="49" fontId="5" fillId="3" borderId="2" xfId="2" quotePrefix="1" applyNumberFormat="1" applyFont="1" applyFill="1" applyBorder="1" applyAlignment="1">
      <alignment horizontal="center" vertical="center" wrapText="1"/>
    </xf>
    <xf numFmtId="0" fontId="5" fillId="3" borderId="2" xfId="5" quotePrefix="1" applyFont="1" applyFill="1" applyBorder="1" applyAlignment="1">
      <alignment horizontal="center" vertical="center" wrapText="1"/>
    </xf>
    <xf numFmtId="0" fontId="5" fillId="3" borderId="2" xfId="1" quotePrefix="1" applyFont="1" applyFill="1" applyBorder="1" applyAlignment="1">
      <alignment horizontal="center" vertical="center" wrapText="1"/>
    </xf>
    <xf numFmtId="49" fontId="5" fillId="3" borderId="2" xfId="1" quotePrefix="1" applyNumberFormat="1" applyFont="1" applyFill="1" applyBorder="1" applyAlignment="1">
      <alignment horizontal="center" vertical="center" wrapText="1"/>
    </xf>
    <xf numFmtId="0" fontId="5" fillId="3" borderId="2" xfId="7" quotePrefix="1" applyFont="1" applyFill="1" applyBorder="1" applyAlignment="1">
      <alignment horizontal="center" vertical="center" wrapText="1"/>
    </xf>
    <xf numFmtId="0" fontId="5" fillId="0" borderId="2" xfId="9" quotePrefix="1" applyFont="1" applyBorder="1" applyAlignment="1">
      <alignment horizontal="center" vertical="center" wrapText="1"/>
    </xf>
    <xf numFmtId="4" fontId="5" fillId="0" borderId="2" xfId="9" quotePrefix="1" applyNumberFormat="1" applyFont="1" applyBorder="1" applyAlignment="1">
      <alignment horizontal="center" vertical="center" wrapText="1"/>
    </xf>
    <xf numFmtId="4" fontId="5" fillId="0" borderId="2" xfId="9" quotePrefix="1" applyNumberFormat="1" applyFont="1" applyBorder="1" applyAlignment="1">
      <alignment vertical="center" wrapText="1"/>
    </xf>
    <xf numFmtId="0" fontId="18" fillId="0" borderId="2" xfId="0" applyFont="1" applyBorder="1" applyAlignment="1">
      <alignment vertical="top" wrapText="1"/>
    </xf>
    <xf numFmtId="4" fontId="5" fillId="0" borderId="2" xfId="7" quotePrefix="1" applyNumberFormat="1" applyFont="1" applyBorder="1" applyAlignment="1">
      <alignment horizontal="center" vertical="center" wrapText="1"/>
    </xf>
    <xf numFmtId="4" fontId="5" fillId="0" borderId="2" xfId="7" quotePrefix="1" applyNumberFormat="1" applyFont="1" applyBorder="1" applyAlignment="1">
      <alignment vertical="center" wrapText="1"/>
    </xf>
    <xf numFmtId="0" fontId="18" fillId="3" borderId="2" xfId="0" applyFont="1" applyFill="1" applyBorder="1" applyAlignment="1">
      <alignment vertical="top" wrapText="1"/>
    </xf>
    <xf numFmtId="4" fontId="9" fillId="3" borderId="2" xfId="4" applyNumberFormat="1" applyFont="1" applyFill="1" applyBorder="1" applyAlignment="1">
      <alignment horizontal="right" vertical="top"/>
    </xf>
    <xf numFmtId="4" fontId="5" fillId="3" borderId="2" xfId="5" applyNumberFormat="1" applyFont="1" applyFill="1" applyBorder="1" applyAlignment="1">
      <alignment vertical="top" wrapText="1"/>
    </xf>
    <xf numFmtId="0" fontId="8" fillId="0" borderId="2" xfId="0" applyFont="1" applyBorder="1" applyAlignment="1">
      <alignment vertical="center" wrapText="1"/>
    </xf>
    <xf numFmtId="0" fontId="5" fillId="0" borderId="0" xfId="0" applyFont="1" applyAlignment="1">
      <alignment horizontal="center"/>
    </xf>
    <xf numFmtId="0" fontId="5" fillId="0" borderId="1" xfId="0" quotePrefix="1" applyFont="1" applyBorder="1" applyAlignment="1">
      <alignment horizontal="center"/>
    </xf>
    <xf numFmtId="0" fontId="24" fillId="0" borderId="0" xfId="0" applyFont="1"/>
    <xf numFmtId="0" fontId="5" fillId="0" borderId="0" xfId="0" applyFont="1"/>
    <xf numFmtId="0" fontId="5" fillId="0" borderId="0" xfId="0" applyFont="1" applyAlignment="1">
      <alignment horizontal="right"/>
    </xf>
    <xf numFmtId="0" fontId="5"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0" fontId="8" fillId="0" borderId="2" xfId="0" quotePrefix="1" applyFont="1" applyBorder="1" applyAlignment="1">
      <alignment horizontal="center" vertical="center" wrapText="1"/>
    </xf>
    <xf numFmtId="0" fontId="8" fillId="0" borderId="2" xfId="0" applyFont="1" applyBorder="1" applyAlignment="1">
      <alignment horizontal="center" vertical="center" wrapText="1"/>
    </xf>
    <xf numFmtId="4" fontId="8" fillId="0" borderId="2" xfId="0" applyNumberFormat="1" applyFont="1" applyBorder="1" applyAlignment="1">
      <alignment horizontal="center" vertical="center" wrapText="1"/>
    </xf>
    <xf numFmtId="4" fontId="8" fillId="0" borderId="2" xfId="0" quotePrefix="1" applyNumberFormat="1" applyFont="1" applyBorder="1" applyAlignment="1">
      <alignment vertical="center" wrapText="1"/>
    </xf>
    <xf numFmtId="4" fontId="8" fillId="2" borderId="2" xfId="0" applyNumberFormat="1" applyFont="1" applyFill="1" applyBorder="1" applyAlignment="1">
      <alignment vertical="center" wrapText="1"/>
    </xf>
    <xf numFmtId="4" fontId="8" fillId="0" borderId="2" xfId="0" applyNumberFormat="1" applyFont="1" applyBorder="1" applyAlignment="1">
      <alignment vertical="center" wrapText="1"/>
    </xf>
    <xf numFmtId="0" fontId="5" fillId="0" borderId="2" xfId="0" quotePrefix="1" applyFont="1" applyBorder="1" applyAlignment="1">
      <alignment horizontal="center" vertical="center" wrapText="1"/>
    </xf>
    <xf numFmtId="4" fontId="5" fillId="0" borderId="2" xfId="0" quotePrefix="1" applyNumberFormat="1" applyFont="1" applyBorder="1" applyAlignment="1">
      <alignment horizontal="center" vertical="center" wrapText="1"/>
    </xf>
    <xf numFmtId="4" fontId="5" fillId="0" borderId="2" xfId="0" quotePrefix="1" applyNumberFormat="1" applyFont="1" applyBorder="1" applyAlignment="1">
      <alignment vertical="center" wrapText="1"/>
    </xf>
    <xf numFmtId="4" fontId="5" fillId="2" borderId="2" xfId="0" applyNumberFormat="1" applyFont="1" applyFill="1" applyBorder="1" applyAlignment="1">
      <alignment vertical="center" wrapText="1"/>
    </xf>
    <xf numFmtId="4" fontId="5" fillId="0" borderId="2" xfId="0" applyNumberFormat="1" applyFont="1" applyBorder="1" applyAlignment="1">
      <alignment vertical="center" wrapText="1"/>
    </xf>
    <xf numFmtId="0" fontId="8" fillId="2" borderId="2" xfId="0" applyFont="1" applyFill="1" applyBorder="1" applyAlignment="1">
      <alignment horizontal="center" vertical="center" wrapText="1"/>
    </xf>
    <xf numFmtId="0" fontId="8" fillId="2" borderId="2" xfId="0" quotePrefix="1" applyFont="1" applyFill="1" applyBorder="1" applyAlignment="1">
      <alignment horizontal="center" vertical="center" wrapText="1"/>
    </xf>
    <xf numFmtId="4" fontId="8" fillId="2" borderId="2" xfId="0" applyNumberFormat="1" applyFont="1" applyFill="1" applyBorder="1" applyAlignment="1">
      <alignment horizontal="center" vertical="center" wrapText="1"/>
    </xf>
    <xf numFmtId="4" fontId="8" fillId="2" borderId="2" xfId="0" quotePrefix="1" applyNumberFormat="1" applyFont="1" applyFill="1" applyBorder="1" applyAlignment="1">
      <alignment vertical="center" wrapText="1"/>
    </xf>
    <xf numFmtId="0" fontId="8" fillId="0" borderId="0" xfId="0" applyFont="1" applyAlignment="1">
      <alignment horizontal="left"/>
    </xf>
    <xf numFmtId="3" fontId="8" fillId="0" borderId="2" xfId="0" applyNumberFormat="1" applyFont="1" applyBorder="1"/>
    <xf numFmtId="0" fontId="9" fillId="0" borderId="2" xfId="0" applyFont="1" applyBorder="1" applyAlignment="1">
      <alignment vertical="center" wrapText="1"/>
    </xf>
    <xf numFmtId="3" fontId="9" fillId="0" borderId="2" xfId="0" applyNumberFormat="1" applyFont="1" applyBorder="1"/>
    <xf numFmtId="0" fontId="8" fillId="0" borderId="2" xfId="0" applyFont="1" applyBorder="1" applyAlignment="1">
      <alignment vertical="center"/>
    </xf>
    <xf numFmtId="4" fontId="8" fillId="2" borderId="2" xfId="0" applyNumberFormat="1" applyFont="1" applyFill="1" applyBorder="1" applyAlignment="1">
      <alignment vertical="center"/>
    </xf>
    <xf numFmtId="4" fontId="8" fillId="0" borderId="2" xfId="0" applyNumberFormat="1" applyFont="1"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4" fontId="5" fillId="2" borderId="2" xfId="0" applyNumberFormat="1" applyFont="1" applyFill="1" applyBorder="1" applyAlignment="1">
      <alignment vertical="center"/>
    </xf>
    <xf numFmtId="4" fontId="5" fillId="0" borderId="2" xfId="0" applyNumberFormat="1" applyFont="1" applyBorder="1" applyAlignment="1">
      <alignment vertical="center"/>
    </xf>
    <xf numFmtId="0" fontId="8" fillId="2" borderId="2" xfId="0" applyFont="1" applyFill="1" applyBorder="1" applyAlignment="1">
      <alignment vertical="center"/>
    </xf>
    <xf numFmtId="0" fontId="8" fillId="2" borderId="2" xfId="0" applyFont="1" applyFill="1" applyBorder="1" applyAlignment="1">
      <alignment vertical="center" wrapText="1"/>
    </xf>
    <xf numFmtId="0" fontId="8" fillId="2" borderId="2" xfId="0" applyFont="1" applyFill="1" applyBorder="1" applyAlignment="1">
      <alignment horizontal="center" vertical="center"/>
    </xf>
    <xf numFmtId="0" fontId="5"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xf>
    <xf numFmtId="0" fontId="8" fillId="0" borderId="0" xfId="0" applyFont="1" applyAlignment="1">
      <alignment horizontal="left"/>
    </xf>
    <xf numFmtId="0" fontId="8" fillId="0" borderId="0" xfId="0" applyFont="1" applyAlignment="1">
      <alignment horizontal="center" wrapText="1"/>
    </xf>
    <xf numFmtId="0" fontId="5" fillId="0" borderId="0" xfId="0" applyFont="1" applyAlignment="1">
      <alignment horizontal="center"/>
    </xf>
    <xf numFmtId="0" fontId="5"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8" fillId="0" borderId="0" xfId="0" applyFont="1" applyAlignment="1">
      <alignment horizontal="center"/>
    </xf>
    <xf numFmtId="0" fontId="24" fillId="0" borderId="2" xfId="0" applyFont="1" applyBorder="1" applyAlignment="1">
      <alignment horizontal="center" vertical="center" wrapText="1"/>
    </xf>
    <xf numFmtId="0" fontId="8" fillId="0" borderId="3" xfId="1" applyFont="1" applyBorder="1" applyAlignment="1">
      <alignment horizontal="center"/>
    </xf>
    <xf numFmtId="0" fontId="8" fillId="0" borderId="5" xfId="1" applyFont="1" applyBorder="1" applyAlignment="1">
      <alignment horizontal="center"/>
    </xf>
    <xf numFmtId="0" fontId="8" fillId="0" borderId="4" xfId="1" applyFont="1" applyBorder="1" applyAlignment="1">
      <alignment horizontal="center"/>
    </xf>
    <xf numFmtId="0" fontId="2" fillId="0" borderId="0" xfId="1" applyFont="1" applyAlignment="1">
      <alignment horizontal="center"/>
    </xf>
    <xf numFmtId="49" fontId="6" fillId="0" borderId="0" xfId="1" applyNumberFormat="1" applyFont="1" applyAlignment="1">
      <alignment horizontal="center"/>
    </xf>
    <xf numFmtId="0" fontId="7" fillId="0" borderId="0" xfId="1" applyFont="1" applyAlignment="1">
      <alignment horizontal="center" vertical="top"/>
    </xf>
    <xf numFmtId="0" fontId="8" fillId="0" borderId="0" xfId="1" applyFont="1" applyAlignment="1">
      <alignment horizontal="center"/>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8" fillId="0" borderId="2" xfId="1" applyFont="1" applyBorder="1" applyAlignment="1">
      <alignment horizontal="center"/>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5" fillId="0" borderId="3" xfId="1" applyFont="1" applyBorder="1" applyAlignment="1">
      <alignment horizontal="center"/>
    </xf>
    <xf numFmtId="0" fontId="5" fillId="0" borderId="4" xfId="1" applyFont="1" applyBorder="1" applyAlignment="1">
      <alignment horizontal="center"/>
    </xf>
    <xf numFmtId="0" fontId="14" fillId="0" borderId="0" xfId="2" applyFont="1" applyAlignment="1">
      <alignment horizontal="left" vertical="center"/>
    </xf>
    <xf numFmtId="0" fontId="9" fillId="0" borderId="2" xfId="2" applyFont="1" applyBorder="1" applyAlignment="1">
      <alignment horizontal="center" vertical="center" wrapText="1"/>
    </xf>
    <xf numFmtId="0" fontId="9" fillId="0" borderId="2" xfId="2" applyFont="1" applyBorder="1" applyAlignment="1">
      <alignment horizontal="center" vertical="center"/>
    </xf>
    <xf numFmtId="0" fontId="11" fillId="0" borderId="0" xfId="1" applyFont="1" applyAlignment="1">
      <alignment horizontal="center" vertical="top"/>
    </xf>
    <xf numFmtId="0" fontId="12" fillId="0" borderId="0" xfId="1" applyFont="1" applyAlignment="1">
      <alignment horizontal="center" vertical="top"/>
    </xf>
    <xf numFmtId="49" fontId="13" fillId="0" borderId="0" xfId="1" applyNumberFormat="1" applyFont="1" applyAlignment="1">
      <alignment horizontal="left"/>
    </xf>
    <xf numFmtId="0" fontId="10" fillId="0" borderId="0" xfId="1" applyFont="1" applyAlignment="1">
      <alignment horizontal="left" vertical="top"/>
    </xf>
    <xf numFmtId="0" fontId="9" fillId="0" borderId="6" xfId="2" applyFont="1" applyBorder="1" applyAlignment="1">
      <alignment horizontal="center" vertical="center" wrapText="1"/>
    </xf>
    <xf numFmtId="0" fontId="9" fillId="0" borderId="7" xfId="2" applyFont="1" applyBorder="1" applyAlignment="1">
      <alignment horizontal="center" vertical="center" wrapText="1"/>
    </xf>
    <xf numFmtId="0" fontId="26" fillId="0" borderId="0" xfId="0" applyFont="1" applyAlignment="1">
      <alignment horizontal="center"/>
    </xf>
    <xf numFmtId="0" fontId="25" fillId="0" borderId="0" xfId="0" applyFont="1" applyAlignment="1">
      <alignment horizontal="center"/>
    </xf>
    <xf numFmtId="0" fontId="26" fillId="4" borderId="0" xfId="0" applyFont="1" applyFill="1" applyAlignment="1">
      <alignment horizontal="center"/>
    </xf>
    <xf numFmtId="0" fontId="0" fillId="0" borderId="0" xfId="0" applyAlignment="1">
      <alignment horizontal="right"/>
    </xf>
    <xf numFmtId="0" fontId="25" fillId="0" borderId="2" xfId="0" applyFont="1" applyBorder="1" applyAlignment="1">
      <alignment horizontal="center" vertical="center"/>
    </xf>
    <xf numFmtId="0" fontId="25" fillId="0" borderId="2" xfId="0" applyFont="1" applyBorder="1" applyAlignment="1">
      <alignment horizontal="center"/>
    </xf>
    <xf numFmtId="0" fontId="0" fillId="0" borderId="2" xfId="0" applyBorder="1" applyAlignment="1">
      <alignment horizontal="center" vertical="center"/>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25" fillId="0" borderId="2" xfId="0" applyFont="1" applyBorder="1"/>
    <xf numFmtId="0" fontId="25" fillId="0" borderId="2" xfId="0" applyFont="1" applyBorder="1" applyAlignment="1">
      <alignment wrapText="1"/>
    </xf>
    <xf numFmtId="4" fontId="25" fillId="0" borderId="2" xfId="0" applyNumberFormat="1" applyFont="1" applyBorder="1"/>
    <xf numFmtId="165" fontId="25" fillId="0" borderId="2" xfId="0" applyNumberFormat="1" applyFont="1" applyBorder="1"/>
    <xf numFmtId="0" fontId="25" fillId="0" borderId="0" xfId="0" applyFont="1"/>
    <xf numFmtId="0" fontId="0" fillId="0" borderId="2" xfId="0" applyBorder="1"/>
    <xf numFmtId="0" fontId="0" fillId="0" borderId="2" xfId="0" applyBorder="1" applyAlignment="1">
      <alignment wrapText="1"/>
    </xf>
    <xf numFmtId="4" fontId="0" fillId="0" borderId="2" xfId="0" applyNumberFormat="1" applyBorder="1"/>
    <xf numFmtId="165" fontId="0" fillId="0" borderId="2" xfId="0" applyNumberFormat="1" applyBorder="1"/>
    <xf numFmtId="0" fontId="25" fillId="5" borderId="2" xfId="0" applyFont="1" applyFill="1" applyBorder="1"/>
    <xf numFmtId="4" fontId="25" fillId="5" borderId="2" xfId="0" applyNumberFormat="1" applyFont="1" applyFill="1" applyBorder="1"/>
    <xf numFmtId="165" fontId="25" fillId="5" borderId="2" xfId="0" applyNumberFormat="1" applyFont="1" applyFill="1" applyBorder="1"/>
    <xf numFmtId="0" fontId="25" fillId="0" borderId="6" xfId="0" applyFont="1" applyBorder="1" applyAlignment="1">
      <alignment horizontal="center" vertical="center" wrapText="1"/>
    </xf>
    <xf numFmtId="0" fontId="25" fillId="0" borderId="6" xfId="0" applyFont="1" applyBorder="1" applyAlignment="1">
      <alignment horizontal="center" vertical="center"/>
    </xf>
    <xf numFmtId="0" fontId="25" fillId="0" borderId="7" xfId="0" applyFont="1" applyBorder="1" applyAlignment="1">
      <alignment horizontal="center" vertical="center" wrapText="1"/>
    </xf>
    <xf numFmtId="0" fontId="25" fillId="0" borderId="7" xfId="0" applyFont="1" applyBorder="1" applyAlignment="1">
      <alignment horizontal="center" vertical="center"/>
    </xf>
    <xf numFmtId="0" fontId="28" fillId="0" borderId="0" xfId="10" applyFont="1" applyAlignment="1">
      <alignment horizontal="center"/>
    </xf>
    <xf numFmtId="0" fontId="27" fillId="0" borderId="0" xfId="10"/>
    <xf numFmtId="0" fontId="28" fillId="4" borderId="0" xfId="10" applyFont="1" applyFill="1" applyAlignment="1">
      <alignment horizontal="center"/>
    </xf>
    <xf numFmtId="0" fontId="29" fillId="0" borderId="0" xfId="10" applyFont="1" applyAlignment="1">
      <alignment horizontal="center"/>
    </xf>
    <xf numFmtId="0" fontId="29" fillId="0" borderId="0" xfId="10" applyFont="1" applyAlignment="1">
      <alignment wrapText="1"/>
    </xf>
    <xf numFmtId="0" fontId="29" fillId="0" borderId="0" xfId="10" applyFont="1"/>
    <xf numFmtId="0" fontId="29" fillId="0" borderId="0" xfId="10" applyFont="1" applyAlignment="1">
      <alignment horizontal="right"/>
    </xf>
    <xf numFmtId="0" fontId="30" fillId="0" borderId="2" xfId="10" applyFont="1" applyBorder="1" applyAlignment="1">
      <alignment horizontal="center" vertical="center" wrapText="1"/>
    </xf>
    <xf numFmtId="0" fontId="31" fillId="0" borderId="0" xfId="10" applyFont="1" applyAlignment="1">
      <alignment horizontal="center"/>
    </xf>
    <xf numFmtId="0" fontId="32" fillId="0" borderId="2" xfId="10" applyFont="1" applyBorder="1" applyAlignment="1">
      <alignment horizontal="center" vertical="center"/>
    </xf>
    <xf numFmtId="0" fontId="32" fillId="0" borderId="2" xfId="10" applyFont="1" applyBorder="1" applyAlignment="1">
      <alignment vertical="center" wrapText="1"/>
    </xf>
    <xf numFmtId="4" fontId="32" fillId="0" borderId="2" xfId="10" applyNumberFormat="1" applyFont="1" applyBorder="1" applyAlignment="1">
      <alignment vertical="center"/>
    </xf>
    <xf numFmtId="4" fontId="32" fillId="3" borderId="2" xfId="10" applyNumberFormat="1" applyFont="1" applyFill="1" applyBorder="1" applyAlignment="1">
      <alignment vertical="center"/>
    </xf>
    <xf numFmtId="4" fontId="27" fillId="0" borderId="0" xfId="10" applyNumberFormat="1" applyAlignment="1">
      <alignment vertical="center"/>
    </xf>
    <xf numFmtId="0" fontId="33" fillId="5" borderId="2" xfId="10" applyFont="1" applyFill="1" applyBorder="1" applyAlignment="1">
      <alignment horizontal="center" vertical="center"/>
    </xf>
    <xf numFmtId="0" fontId="28" fillId="5" borderId="2" xfId="10" applyFont="1" applyFill="1" applyBorder="1" applyAlignment="1">
      <alignment vertical="center" wrapText="1"/>
    </xf>
    <xf numFmtId="4" fontId="28" fillId="5" borderId="2" xfId="10" applyNumberFormat="1" applyFont="1" applyFill="1" applyBorder="1" applyAlignment="1">
      <alignment vertical="center"/>
    </xf>
    <xf numFmtId="0" fontId="34" fillId="0" borderId="0" xfId="10" applyFont="1" applyAlignment="1">
      <alignment horizontal="center"/>
    </xf>
    <xf numFmtId="0" fontId="34" fillId="0" borderId="0" xfId="10" applyFont="1" applyAlignment="1">
      <alignment wrapText="1"/>
    </xf>
    <xf numFmtId="0" fontId="34" fillId="0" borderId="0" xfId="10" applyFont="1"/>
    <xf numFmtId="0" fontId="28" fillId="4" borderId="0" xfId="10" applyFont="1" applyFill="1" applyAlignment="1">
      <alignment horizontal="center" vertical="center" wrapText="1"/>
    </xf>
    <xf numFmtId="0" fontId="28" fillId="5" borderId="2" xfId="10" applyFont="1" applyFill="1" applyBorder="1" applyAlignment="1">
      <alignment horizontal="center" vertical="center"/>
    </xf>
    <xf numFmtId="0" fontId="27" fillId="0" borderId="0" xfId="10" applyAlignment="1">
      <alignment horizontal="center"/>
    </xf>
    <xf numFmtId="0" fontId="27" fillId="0" borderId="0" xfId="10" applyAlignment="1">
      <alignment wrapText="1"/>
    </xf>
  </cellXfs>
  <cellStyles count="11">
    <cellStyle name="Звичайний_Додаток _ 3 зм_ни 4575" xfId="4" xr:uid="{DC65DCEB-31F2-4251-B023-1427AE284EA3}"/>
    <cellStyle name="Обычный" xfId="0" builtinId="0"/>
    <cellStyle name="Обычный 10" xfId="5" xr:uid="{DDE4D280-E86D-45A5-902D-A639D97812F6}"/>
    <cellStyle name="Обычный 14" xfId="8" xr:uid="{512713A0-57CB-4849-B6A7-7F9AB260D1DE}"/>
    <cellStyle name="Обычный 16" xfId="6" xr:uid="{E75F4959-CED1-4214-B2B8-0CBAFA642DFB}"/>
    <cellStyle name="Обычный 17" xfId="7" xr:uid="{94C7CC08-3E5B-4715-AF21-5D47D0909723}"/>
    <cellStyle name="Обычный 2" xfId="1" xr:uid="{C6D0A071-F217-49CE-BDF3-AEF9CB0C6F01}"/>
    <cellStyle name="Обычный 2 2" xfId="10" xr:uid="{5133D5EC-B29C-4CB4-B6C8-A445AD595B73}"/>
    <cellStyle name="Обычный 21" xfId="9" xr:uid="{775AA5E9-D160-473D-8D16-4B2BAD4B2B67}"/>
    <cellStyle name="Обычный 3" xfId="2" xr:uid="{6C6A8701-FE5D-447A-B30A-E19161B86129}"/>
    <cellStyle name="Обычный 4" xfId="3" xr:uid="{2C079080-D86C-4F6C-9354-66F0E18CE431}"/>
  </cellStyles>
  <dxfs count="60">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
      <font>
        <b/>
        <i val="0"/>
      </font>
      <fill>
        <patternFill>
          <bgColor indexed="43"/>
        </patternFill>
      </fill>
    </dxf>
    <dxf>
      <font>
        <b/>
        <i val="0"/>
      </font>
      <fill>
        <patternFill>
          <bgColor indexed="42"/>
        </patternFill>
      </fill>
    </dxf>
    <dxf>
      <font>
        <b/>
        <i val="0"/>
      </font>
      <fill>
        <patternFill>
          <bgColor indexed="4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10</xdr:col>
      <xdr:colOff>0</xdr:colOff>
      <xdr:row>34</xdr:row>
      <xdr:rowOff>95250</xdr:rowOff>
    </xdr:from>
    <xdr:ext cx="184731" cy="264560"/>
    <xdr:sp macro="" textlink="">
      <xdr:nvSpPr>
        <xdr:cNvPr id="2" name="TextBox 1">
          <a:extLst>
            <a:ext uri="{FF2B5EF4-FFF2-40B4-BE49-F238E27FC236}">
              <a16:creationId xmlns:a16="http://schemas.microsoft.com/office/drawing/2014/main" id="{1A890643-025B-4709-ACAD-9B2A6A31E980}"/>
            </a:ext>
          </a:extLst>
        </xdr:cNvPr>
        <xdr:cNvSpPr txBox="1"/>
      </xdr:nvSpPr>
      <xdr:spPr>
        <a:xfrm>
          <a:off x="16944975" y="14544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72;&#1085;&#1072;&#1083;&#1110;&#1079;%20&#1074;&#1080;&#1082;&#1086;&#1085;&#1072;&#1085;&#1085;&#1103;%20&#1073;&#1102;&#1076;&#1078;&#1077;&#1090;&#1091;%20&#1079;&#1072;%2011%20&#1084;&#1110;&#1089;&#1103;&#1094;&#1110;&#1074;%202024%20&#1088;&#1086;&#1082;&#10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оходи"/>
      <sheetName val="видатки"/>
    </sheetNames>
    <sheetDataSet>
      <sheetData sheetId="0"/>
      <sheetData sheetId="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574E-23B6-42C8-9619-459B482B9F1F}">
  <sheetPr>
    <pageSetUpPr fitToPage="1"/>
  </sheetPr>
  <dimension ref="A1:F85"/>
  <sheetViews>
    <sheetView workbookViewId="0">
      <selection activeCell="Q17" sqref="Q17"/>
    </sheetView>
  </sheetViews>
  <sheetFormatPr defaultRowHeight="15" x14ac:dyDescent="0.25"/>
  <cols>
    <col min="1" max="1" width="11.28515625" customWidth="1"/>
    <col min="2" max="2" width="44" customWidth="1"/>
    <col min="3" max="3" width="17.5703125" customWidth="1"/>
    <col min="4" max="4" width="16.28515625" customWidth="1"/>
    <col min="5" max="5" width="14.140625" customWidth="1"/>
    <col min="6" max="6" width="14.7109375" customWidth="1"/>
  </cols>
  <sheetData>
    <row r="1" spans="1:6" ht="15.75" x14ac:dyDescent="0.25">
      <c r="E1" s="1" t="s">
        <v>0</v>
      </c>
      <c r="F1" s="1"/>
    </row>
    <row r="2" spans="1:6" ht="15.75" x14ac:dyDescent="0.25">
      <c r="E2" s="154" t="s">
        <v>80</v>
      </c>
      <c r="F2" s="154"/>
    </row>
    <row r="3" spans="1:6" ht="15.75" x14ac:dyDescent="0.25">
      <c r="E3" s="155" t="s">
        <v>79</v>
      </c>
      <c r="F3" s="155"/>
    </row>
    <row r="5" spans="1:6" ht="36.75" customHeight="1" x14ac:dyDescent="0.25">
      <c r="A5" s="157" t="s">
        <v>1</v>
      </c>
      <c r="B5" s="158"/>
      <c r="C5" s="158"/>
      <c r="D5" s="158"/>
      <c r="E5" s="158"/>
      <c r="F5" s="158"/>
    </row>
    <row r="6" spans="1:6" ht="25.5" customHeight="1" x14ac:dyDescent="0.25">
      <c r="A6" s="118" t="s">
        <v>77</v>
      </c>
      <c r="B6" s="117"/>
      <c r="C6" s="117"/>
      <c r="D6" s="117"/>
      <c r="E6" s="117"/>
      <c r="F6" s="117"/>
    </row>
    <row r="7" spans="1:6" x14ac:dyDescent="0.25">
      <c r="A7" s="119" t="s">
        <v>78</v>
      </c>
      <c r="B7" s="120"/>
      <c r="C7" s="120"/>
      <c r="D7" s="120"/>
      <c r="E7" s="120"/>
      <c r="F7" s="121" t="s">
        <v>2</v>
      </c>
    </row>
    <row r="8" spans="1:6" x14ac:dyDescent="0.25">
      <c r="A8" s="159" t="s">
        <v>3</v>
      </c>
      <c r="B8" s="159" t="s">
        <v>4</v>
      </c>
      <c r="C8" s="160" t="s">
        <v>5</v>
      </c>
      <c r="D8" s="159" t="s">
        <v>6</v>
      </c>
      <c r="E8" s="159" t="s">
        <v>7</v>
      </c>
      <c r="F8" s="159"/>
    </row>
    <row r="9" spans="1:6" x14ac:dyDescent="0.25">
      <c r="A9" s="159"/>
      <c r="B9" s="159"/>
      <c r="C9" s="159"/>
      <c r="D9" s="159"/>
      <c r="E9" s="159" t="s">
        <v>8</v>
      </c>
      <c r="F9" s="161" t="s">
        <v>9</v>
      </c>
    </row>
    <row r="10" spans="1:6" x14ac:dyDescent="0.25">
      <c r="A10" s="159"/>
      <c r="B10" s="159"/>
      <c r="C10" s="159"/>
      <c r="D10" s="159"/>
      <c r="E10" s="159"/>
      <c r="F10" s="159"/>
    </row>
    <row r="11" spans="1:6" x14ac:dyDescent="0.25">
      <c r="A11" s="122">
        <v>1</v>
      </c>
      <c r="B11" s="122">
        <v>2</v>
      </c>
      <c r="C11" s="123">
        <v>3</v>
      </c>
      <c r="D11" s="122">
        <v>4</v>
      </c>
      <c r="E11" s="122">
        <v>5</v>
      </c>
      <c r="F11" s="122">
        <v>6</v>
      </c>
    </row>
    <row r="12" spans="1:6" x14ac:dyDescent="0.25">
      <c r="A12" s="143">
        <v>10000000</v>
      </c>
      <c r="B12" s="116" t="s">
        <v>10</v>
      </c>
      <c r="C12" s="144">
        <f t="shared" ref="C12:C75" si="0">D12+E12</f>
        <v>115948077</v>
      </c>
      <c r="D12" s="145">
        <v>115906400</v>
      </c>
      <c r="E12" s="145">
        <v>41677</v>
      </c>
      <c r="F12" s="145">
        <v>0</v>
      </c>
    </row>
    <row r="13" spans="1:6" ht="42.75" x14ac:dyDescent="0.25">
      <c r="A13" s="143">
        <v>11000000</v>
      </c>
      <c r="B13" s="116" t="s">
        <v>11</v>
      </c>
      <c r="C13" s="144">
        <f t="shared" si="0"/>
        <v>53945400</v>
      </c>
      <c r="D13" s="145">
        <v>53945400</v>
      </c>
      <c r="E13" s="145">
        <v>0</v>
      </c>
      <c r="F13" s="145">
        <v>0</v>
      </c>
    </row>
    <row r="14" spans="1:6" x14ac:dyDescent="0.25">
      <c r="A14" s="143">
        <v>11010000</v>
      </c>
      <c r="B14" s="116" t="s">
        <v>12</v>
      </c>
      <c r="C14" s="144">
        <f t="shared" si="0"/>
        <v>53895400</v>
      </c>
      <c r="D14" s="145">
        <v>53895400</v>
      </c>
      <c r="E14" s="145">
        <v>0</v>
      </c>
      <c r="F14" s="145">
        <v>0</v>
      </c>
    </row>
    <row r="15" spans="1:6" ht="45" x14ac:dyDescent="0.25">
      <c r="A15" s="146">
        <v>11010100</v>
      </c>
      <c r="B15" s="147" t="s">
        <v>13</v>
      </c>
      <c r="C15" s="148">
        <f t="shared" si="0"/>
        <v>44000000</v>
      </c>
      <c r="D15" s="149">
        <v>44000000</v>
      </c>
      <c r="E15" s="149">
        <v>0</v>
      </c>
      <c r="F15" s="149">
        <v>0</v>
      </c>
    </row>
    <row r="16" spans="1:6" ht="45" x14ac:dyDescent="0.25">
      <c r="A16" s="146">
        <v>11010400</v>
      </c>
      <c r="B16" s="147" t="s">
        <v>14</v>
      </c>
      <c r="C16" s="148">
        <f t="shared" si="0"/>
        <v>8494400</v>
      </c>
      <c r="D16" s="149">
        <v>8494400</v>
      </c>
      <c r="E16" s="149">
        <v>0</v>
      </c>
      <c r="F16" s="149">
        <v>0</v>
      </c>
    </row>
    <row r="17" spans="1:6" ht="45" x14ac:dyDescent="0.25">
      <c r="A17" s="146">
        <v>11010500</v>
      </c>
      <c r="B17" s="147" t="s">
        <v>15</v>
      </c>
      <c r="C17" s="148">
        <f t="shared" si="0"/>
        <v>1400000</v>
      </c>
      <c r="D17" s="149">
        <v>1400000</v>
      </c>
      <c r="E17" s="149">
        <v>0</v>
      </c>
      <c r="F17" s="149">
        <v>0</v>
      </c>
    </row>
    <row r="18" spans="1:6" ht="51" customHeight="1" x14ac:dyDescent="0.25">
      <c r="A18" s="146">
        <v>11011300</v>
      </c>
      <c r="B18" s="147" t="s">
        <v>16</v>
      </c>
      <c r="C18" s="148">
        <f t="shared" si="0"/>
        <v>1000</v>
      </c>
      <c r="D18" s="149">
        <v>1000</v>
      </c>
      <c r="E18" s="149">
        <v>0</v>
      </c>
      <c r="F18" s="149">
        <v>0</v>
      </c>
    </row>
    <row r="19" spans="1:6" x14ac:dyDescent="0.25">
      <c r="A19" s="143">
        <v>11020000</v>
      </c>
      <c r="B19" s="116" t="s">
        <v>17</v>
      </c>
      <c r="C19" s="144">
        <f t="shared" si="0"/>
        <v>50000</v>
      </c>
      <c r="D19" s="145">
        <v>50000</v>
      </c>
      <c r="E19" s="145">
        <v>0</v>
      </c>
      <c r="F19" s="145">
        <v>0</v>
      </c>
    </row>
    <row r="20" spans="1:6" ht="33.75" customHeight="1" x14ac:dyDescent="0.25">
      <c r="A20" s="146">
        <v>11020200</v>
      </c>
      <c r="B20" s="147" t="s">
        <v>18</v>
      </c>
      <c r="C20" s="148">
        <f t="shared" si="0"/>
        <v>50000</v>
      </c>
      <c r="D20" s="149">
        <v>50000</v>
      </c>
      <c r="E20" s="149">
        <v>0</v>
      </c>
      <c r="F20" s="149">
        <v>0</v>
      </c>
    </row>
    <row r="21" spans="1:6" ht="28.5" x14ac:dyDescent="0.25">
      <c r="A21" s="143">
        <v>13000000</v>
      </c>
      <c r="B21" s="116" t="s">
        <v>19</v>
      </c>
      <c r="C21" s="144">
        <f t="shared" si="0"/>
        <v>3000</v>
      </c>
      <c r="D21" s="145">
        <v>3000</v>
      </c>
      <c r="E21" s="145">
        <v>0</v>
      </c>
      <c r="F21" s="145">
        <v>0</v>
      </c>
    </row>
    <row r="22" spans="1:6" ht="28.5" x14ac:dyDescent="0.25">
      <c r="A22" s="143">
        <v>13030000</v>
      </c>
      <c r="B22" s="116" t="s">
        <v>20</v>
      </c>
      <c r="C22" s="144">
        <f t="shared" si="0"/>
        <v>3000</v>
      </c>
      <c r="D22" s="145">
        <v>3000</v>
      </c>
      <c r="E22" s="145">
        <v>0</v>
      </c>
      <c r="F22" s="145">
        <v>0</v>
      </c>
    </row>
    <row r="23" spans="1:6" ht="45" x14ac:dyDescent="0.25">
      <c r="A23" s="146">
        <v>13030100</v>
      </c>
      <c r="B23" s="147" t="s">
        <v>21</v>
      </c>
      <c r="C23" s="148">
        <f t="shared" si="0"/>
        <v>3000</v>
      </c>
      <c r="D23" s="149">
        <v>3000</v>
      </c>
      <c r="E23" s="149">
        <v>0</v>
      </c>
      <c r="F23" s="149">
        <v>0</v>
      </c>
    </row>
    <row r="24" spans="1:6" x14ac:dyDescent="0.25">
      <c r="A24" s="143">
        <v>14000000</v>
      </c>
      <c r="B24" s="116" t="s">
        <v>22</v>
      </c>
      <c r="C24" s="144">
        <f t="shared" si="0"/>
        <v>19620000</v>
      </c>
      <c r="D24" s="145">
        <v>19620000</v>
      </c>
      <c r="E24" s="145">
        <v>0</v>
      </c>
      <c r="F24" s="145">
        <v>0</v>
      </c>
    </row>
    <row r="25" spans="1:6" ht="28.5" x14ac:dyDescent="0.25">
      <c r="A25" s="143">
        <v>14020000</v>
      </c>
      <c r="B25" s="116" t="s">
        <v>23</v>
      </c>
      <c r="C25" s="144">
        <f t="shared" si="0"/>
        <v>2000000</v>
      </c>
      <c r="D25" s="145">
        <v>2000000</v>
      </c>
      <c r="E25" s="145">
        <v>0</v>
      </c>
      <c r="F25" s="145">
        <v>0</v>
      </c>
    </row>
    <row r="26" spans="1:6" x14ac:dyDescent="0.25">
      <c r="A26" s="146">
        <v>14021900</v>
      </c>
      <c r="B26" s="147" t="s">
        <v>24</v>
      </c>
      <c r="C26" s="148">
        <f t="shared" si="0"/>
        <v>2000000</v>
      </c>
      <c r="D26" s="149">
        <v>2000000</v>
      </c>
      <c r="E26" s="149">
        <v>0</v>
      </c>
      <c r="F26" s="149">
        <v>0</v>
      </c>
    </row>
    <row r="27" spans="1:6" ht="42.75" x14ac:dyDescent="0.25">
      <c r="A27" s="143">
        <v>14030000</v>
      </c>
      <c r="B27" s="116" t="s">
        <v>25</v>
      </c>
      <c r="C27" s="144">
        <f t="shared" si="0"/>
        <v>12000000</v>
      </c>
      <c r="D27" s="145">
        <v>12000000</v>
      </c>
      <c r="E27" s="145">
        <v>0</v>
      </c>
      <c r="F27" s="145">
        <v>0</v>
      </c>
    </row>
    <row r="28" spans="1:6" x14ac:dyDescent="0.25">
      <c r="A28" s="146">
        <v>14031900</v>
      </c>
      <c r="B28" s="147" t="s">
        <v>24</v>
      </c>
      <c r="C28" s="148">
        <f t="shared" si="0"/>
        <v>12000000</v>
      </c>
      <c r="D28" s="149">
        <v>12000000</v>
      </c>
      <c r="E28" s="149">
        <v>0</v>
      </c>
      <c r="F28" s="149">
        <v>0</v>
      </c>
    </row>
    <row r="29" spans="1:6" ht="42.75" x14ac:dyDescent="0.25">
      <c r="A29" s="143">
        <v>14040000</v>
      </c>
      <c r="B29" s="116" t="s">
        <v>26</v>
      </c>
      <c r="C29" s="144">
        <f t="shared" si="0"/>
        <v>5620000</v>
      </c>
      <c r="D29" s="145">
        <v>5620000</v>
      </c>
      <c r="E29" s="145">
        <v>0</v>
      </c>
      <c r="F29" s="145">
        <v>0</v>
      </c>
    </row>
    <row r="30" spans="1:6" ht="120" x14ac:dyDescent="0.25">
      <c r="A30" s="146">
        <v>14040100</v>
      </c>
      <c r="B30" s="147" t="s">
        <v>27</v>
      </c>
      <c r="C30" s="148">
        <f t="shared" si="0"/>
        <v>3720000</v>
      </c>
      <c r="D30" s="149">
        <v>3720000</v>
      </c>
      <c r="E30" s="149">
        <v>0</v>
      </c>
      <c r="F30" s="149">
        <v>0</v>
      </c>
    </row>
    <row r="31" spans="1:6" ht="90" x14ac:dyDescent="0.25">
      <c r="A31" s="146">
        <v>14040200</v>
      </c>
      <c r="B31" s="147" t="s">
        <v>28</v>
      </c>
      <c r="C31" s="148">
        <f t="shared" si="0"/>
        <v>1900000</v>
      </c>
      <c r="D31" s="149">
        <v>1900000</v>
      </c>
      <c r="E31" s="149">
        <v>0</v>
      </c>
      <c r="F31" s="149">
        <v>0</v>
      </c>
    </row>
    <row r="32" spans="1:6" ht="42.75" x14ac:dyDescent="0.25">
      <c r="A32" s="143">
        <v>18000000</v>
      </c>
      <c r="B32" s="116" t="s">
        <v>29</v>
      </c>
      <c r="C32" s="144">
        <f t="shared" si="0"/>
        <v>42338000</v>
      </c>
      <c r="D32" s="145">
        <v>42338000</v>
      </c>
      <c r="E32" s="145">
        <v>0</v>
      </c>
      <c r="F32" s="145">
        <v>0</v>
      </c>
    </row>
    <row r="33" spans="1:6" x14ac:dyDescent="0.25">
      <c r="A33" s="143">
        <v>18010000</v>
      </c>
      <c r="B33" s="116" t="s">
        <v>30</v>
      </c>
      <c r="C33" s="144">
        <f t="shared" si="0"/>
        <v>13938000</v>
      </c>
      <c r="D33" s="145">
        <v>13938000</v>
      </c>
      <c r="E33" s="145">
        <v>0</v>
      </c>
      <c r="F33" s="145">
        <v>0</v>
      </c>
    </row>
    <row r="34" spans="1:6" ht="60" x14ac:dyDescent="0.25">
      <c r="A34" s="146">
        <v>18010100</v>
      </c>
      <c r="B34" s="147" t="s">
        <v>31</v>
      </c>
      <c r="C34" s="148">
        <f t="shared" si="0"/>
        <v>98000</v>
      </c>
      <c r="D34" s="149">
        <v>98000</v>
      </c>
      <c r="E34" s="149">
        <v>0</v>
      </c>
      <c r="F34" s="149">
        <v>0</v>
      </c>
    </row>
    <row r="35" spans="1:6" ht="60" x14ac:dyDescent="0.25">
      <c r="A35" s="146">
        <v>18010200</v>
      </c>
      <c r="B35" s="147" t="s">
        <v>32</v>
      </c>
      <c r="C35" s="148">
        <f t="shared" si="0"/>
        <v>1900000</v>
      </c>
      <c r="D35" s="149">
        <v>1900000</v>
      </c>
      <c r="E35" s="149">
        <v>0</v>
      </c>
      <c r="F35" s="149">
        <v>0</v>
      </c>
    </row>
    <row r="36" spans="1:6" ht="60" x14ac:dyDescent="0.25">
      <c r="A36" s="146">
        <v>18010300</v>
      </c>
      <c r="B36" s="147" t="s">
        <v>33</v>
      </c>
      <c r="C36" s="148">
        <f t="shared" si="0"/>
        <v>1400000</v>
      </c>
      <c r="D36" s="149">
        <v>1400000</v>
      </c>
      <c r="E36" s="149">
        <v>0</v>
      </c>
      <c r="F36" s="149">
        <v>0</v>
      </c>
    </row>
    <row r="37" spans="1:6" ht="60" x14ac:dyDescent="0.25">
      <c r="A37" s="146">
        <v>18010400</v>
      </c>
      <c r="B37" s="147" t="s">
        <v>34</v>
      </c>
      <c r="C37" s="148">
        <f t="shared" si="0"/>
        <v>1700000</v>
      </c>
      <c r="D37" s="149">
        <v>1700000</v>
      </c>
      <c r="E37" s="149">
        <v>0</v>
      </c>
      <c r="F37" s="149">
        <v>0</v>
      </c>
    </row>
    <row r="38" spans="1:6" x14ac:dyDescent="0.25">
      <c r="A38" s="146">
        <v>18010500</v>
      </c>
      <c r="B38" s="147" t="s">
        <v>35</v>
      </c>
      <c r="C38" s="148">
        <f t="shared" si="0"/>
        <v>2100000</v>
      </c>
      <c r="D38" s="149">
        <v>2100000</v>
      </c>
      <c r="E38" s="149">
        <v>0</v>
      </c>
      <c r="F38" s="149">
        <v>0</v>
      </c>
    </row>
    <row r="39" spans="1:6" x14ac:dyDescent="0.25">
      <c r="A39" s="146">
        <v>18010600</v>
      </c>
      <c r="B39" s="147" t="s">
        <v>36</v>
      </c>
      <c r="C39" s="148">
        <f t="shared" si="0"/>
        <v>4300000</v>
      </c>
      <c r="D39" s="149">
        <v>4300000</v>
      </c>
      <c r="E39" s="149">
        <v>0</v>
      </c>
      <c r="F39" s="149">
        <v>0</v>
      </c>
    </row>
    <row r="40" spans="1:6" x14ac:dyDescent="0.25">
      <c r="A40" s="146">
        <v>18010700</v>
      </c>
      <c r="B40" s="147" t="s">
        <v>37</v>
      </c>
      <c r="C40" s="148">
        <f t="shared" si="0"/>
        <v>1500000</v>
      </c>
      <c r="D40" s="149">
        <v>1500000</v>
      </c>
      <c r="E40" s="149">
        <v>0</v>
      </c>
      <c r="F40" s="149">
        <v>0</v>
      </c>
    </row>
    <row r="41" spans="1:6" x14ac:dyDescent="0.25">
      <c r="A41" s="146">
        <v>18010900</v>
      </c>
      <c r="B41" s="147" t="s">
        <v>38</v>
      </c>
      <c r="C41" s="148">
        <f t="shared" si="0"/>
        <v>940000</v>
      </c>
      <c r="D41" s="149">
        <v>940000</v>
      </c>
      <c r="E41" s="149">
        <v>0</v>
      </c>
      <c r="F41" s="149">
        <v>0</v>
      </c>
    </row>
    <row r="42" spans="1:6" x14ac:dyDescent="0.25">
      <c r="A42" s="143">
        <v>18050000</v>
      </c>
      <c r="B42" s="116" t="s">
        <v>39</v>
      </c>
      <c r="C42" s="144">
        <f t="shared" si="0"/>
        <v>28400000</v>
      </c>
      <c r="D42" s="145">
        <v>28400000</v>
      </c>
      <c r="E42" s="145">
        <v>0</v>
      </c>
      <c r="F42" s="145">
        <v>0</v>
      </c>
    </row>
    <row r="43" spans="1:6" x14ac:dyDescent="0.25">
      <c r="A43" s="146">
        <v>18050300</v>
      </c>
      <c r="B43" s="147" t="s">
        <v>40</v>
      </c>
      <c r="C43" s="148">
        <f t="shared" si="0"/>
        <v>3100000</v>
      </c>
      <c r="D43" s="149">
        <v>3100000</v>
      </c>
      <c r="E43" s="149">
        <v>0</v>
      </c>
      <c r="F43" s="149">
        <v>0</v>
      </c>
    </row>
    <row r="44" spans="1:6" x14ac:dyDescent="0.25">
      <c r="A44" s="146">
        <v>18050400</v>
      </c>
      <c r="B44" s="147" t="s">
        <v>41</v>
      </c>
      <c r="C44" s="148">
        <f t="shared" si="0"/>
        <v>18700000</v>
      </c>
      <c r="D44" s="149">
        <v>18700000</v>
      </c>
      <c r="E44" s="149">
        <v>0</v>
      </c>
      <c r="F44" s="149">
        <v>0</v>
      </c>
    </row>
    <row r="45" spans="1:6" ht="75" x14ac:dyDescent="0.25">
      <c r="A45" s="146">
        <v>18050500</v>
      </c>
      <c r="B45" s="147" t="s">
        <v>42</v>
      </c>
      <c r="C45" s="148">
        <f t="shared" si="0"/>
        <v>6600000</v>
      </c>
      <c r="D45" s="149">
        <v>6600000</v>
      </c>
      <c r="E45" s="149">
        <v>0</v>
      </c>
      <c r="F45" s="149">
        <v>0</v>
      </c>
    </row>
    <row r="46" spans="1:6" x14ac:dyDescent="0.25">
      <c r="A46" s="143">
        <v>19000000</v>
      </c>
      <c r="B46" s="116" t="s">
        <v>43</v>
      </c>
      <c r="C46" s="144">
        <f t="shared" si="0"/>
        <v>41677</v>
      </c>
      <c r="D46" s="145">
        <v>0</v>
      </c>
      <c r="E46" s="145">
        <v>41677</v>
      </c>
      <c r="F46" s="145">
        <v>0</v>
      </c>
    </row>
    <row r="47" spans="1:6" x14ac:dyDescent="0.25">
      <c r="A47" s="143">
        <v>19010000</v>
      </c>
      <c r="B47" s="116" t="s">
        <v>44</v>
      </c>
      <c r="C47" s="144">
        <f t="shared" si="0"/>
        <v>41677</v>
      </c>
      <c r="D47" s="145">
        <v>0</v>
      </c>
      <c r="E47" s="145">
        <v>41677</v>
      </c>
      <c r="F47" s="145">
        <v>0</v>
      </c>
    </row>
    <row r="48" spans="1:6" ht="75" x14ac:dyDescent="0.25">
      <c r="A48" s="146">
        <v>19010100</v>
      </c>
      <c r="B48" s="147" t="s">
        <v>45</v>
      </c>
      <c r="C48" s="148">
        <f t="shared" si="0"/>
        <v>37254</v>
      </c>
      <c r="D48" s="149">
        <v>0</v>
      </c>
      <c r="E48" s="149">
        <v>37254</v>
      </c>
      <c r="F48" s="149">
        <v>0</v>
      </c>
    </row>
    <row r="49" spans="1:6" ht="30" x14ac:dyDescent="0.25">
      <c r="A49" s="146">
        <v>19010200</v>
      </c>
      <c r="B49" s="147" t="s">
        <v>46</v>
      </c>
      <c r="C49" s="148">
        <f t="shared" si="0"/>
        <v>4038</v>
      </c>
      <c r="D49" s="149">
        <v>0</v>
      </c>
      <c r="E49" s="149">
        <v>4038</v>
      </c>
      <c r="F49" s="149">
        <v>0</v>
      </c>
    </row>
    <row r="50" spans="1:6" ht="60" x14ac:dyDescent="0.25">
      <c r="A50" s="146">
        <v>19010300</v>
      </c>
      <c r="B50" s="147" t="s">
        <v>47</v>
      </c>
      <c r="C50" s="148">
        <f t="shared" si="0"/>
        <v>385</v>
      </c>
      <c r="D50" s="149">
        <v>0</v>
      </c>
      <c r="E50" s="149">
        <v>385</v>
      </c>
      <c r="F50" s="149">
        <v>0</v>
      </c>
    </row>
    <row r="51" spans="1:6" x14ac:dyDescent="0.25">
      <c r="A51" s="143">
        <v>20000000</v>
      </c>
      <c r="B51" s="116" t="s">
        <v>48</v>
      </c>
      <c r="C51" s="144">
        <f t="shared" si="0"/>
        <v>2462600</v>
      </c>
      <c r="D51" s="145">
        <v>2262600</v>
      </c>
      <c r="E51" s="145">
        <v>200000</v>
      </c>
      <c r="F51" s="145">
        <v>0</v>
      </c>
    </row>
    <row r="52" spans="1:6" ht="33" customHeight="1" x14ac:dyDescent="0.25">
      <c r="A52" s="143">
        <v>21000000</v>
      </c>
      <c r="B52" s="116" t="s">
        <v>49</v>
      </c>
      <c r="C52" s="144">
        <f t="shared" si="0"/>
        <v>151000</v>
      </c>
      <c r="D52" s="145">
        <v>151000</v>
      </c>
      <c r="E52" s="145">
        <v>0</v>
      </c>
      <c r="F52" s="145">
        <v>0</v>
      </c>
    </row>
    <row r="53" spans="1:6" ht="122.25" customHeight="1" x14ac:dyDescent="0.25">
      <c r="A53" s="143">
        <v>21010000</v>
      </c>
      <c r="B53" s="116" t="s">
        <v>50</v>
      </c>
      <c r="C53" s="144">
        <f t="shared" si="0"/>
        <v>1000</v>
      </c>
      <c r="D53" s="145">
        <v>1000</v>
      </c>
      <c r="E53" s="145">
        <v>0</v>
      </c>
      <c r="F53" s="145">
        <v>0</v>
      </c>
    </row>
    <row r="54" spans="1:6" ht="60" x14ac:dyDescent="0.25">
      <c r="A54" s="146">
        <v>21010300</v>
      </c>
      <c r="B54" s="147" t="s">
        <v>51</v>
      </c>
      <c r="C54" s="148">
        <f t="shared" si="0"/>
        <v>1000</v>
      </c>
      <c r="D54" s="149">
        <v>1000</v>
      </c>
      <c r="E54" s="149">
        <v>0</v>
      </c>
      <c r="F54" s="149">
        <v>0</v>
      </c>
    </row>
    <row r="55" spans="1:6" ht="20.25" customHeight="1" x14ac:dyDescent="0.25">
      <c r="A55" s="143">
        <v>21080000</v>
      </c>
      <c r="B55" s="116" t="s">
        <v>52</v>
      </c>
      <c r="C55" s="144">
        <f t="shared" si="0"/>
        <v>150000</v>
      </c>
      <c r="D55" s="145">
        <v>150000</v>
      </c>
      <c r="E55" s="145">
        <v>0</v>
      </c>
      <c r="F55" s="145">
        <v>0</v>
      </c>
    </row>
    <row r="56" spans="1:6" ht="19.5" customHeight="1" x14ac:dyDescent="0.25">
      <c r="A56" s="146">
        <v>21081100</v>
      </c>
      <c r="B56" s="147" t="s">
        <v>53</v>
      </c>
      <c r="C56" s="148">
        <f t="shared" si="0"/>
        <v>50000</v>
      </c>
      <c r="D56" s="149">
        <v>50000</v>
      </c>
      <c r="E56" s="149">
        <v>0</v>
      </c>
      <c r="F56" s="149">
        <v>0</v>
      </c>
    </row>
    <row r="57" spans="1:6" ht="61.5" customHeight="1" x14ac:dyDescent="0.25">
      <c r="A57" s="146">
        <v>21081800</v>
      </c>
      <c r="B57" s="147" t="s">
        <v>54</v>
      </c>
      <c r="C57" s="148">
        <f t="shared" si="0"/>
        <v>100000</v>
      </c>
      <c r="D57" s="149">
        <v>100000</v>
      </c>
      <c r="E57" s="149">
        <v>0</v>
      </c>
      <c r="F57" s="149">
        <v>0</v>
      </c>
    </row>
    <row r="58" spans="1:6" ht="42.75" x14ac:dyDescent="0.25">
      <c r="A58" s="143">
        <v>22000000</v>
      </c>
      <c r="B58" s="116" t="s">
        <v>55</v>
      </c>
      <c r="C58" s="144">
        <f t="shared" si="0"/>
        <v>2110600</v>
      </c>
      <c r="D58" s="145">
        <v>2110600</v>
      </c>
      <c r="E58" s="145">
        <v>0</v>
      </c>
      <c r="F58" s="145">
        <v>0</v>
      </c>
    </row>
    <row r="59" spans="1:6" ht="28.5" x14ac:dyDescent="0.25">
      <c r="A59" s="143">
        <v>22010000</v>
      </c>
      <c r="B59" s="116" t="s">
        <v>56</v>
      </c>
      <c r="C59" s="144">
        <f t="shared" si="0"/>
        <v>2060000</v>
      </c>
      <c r="D59" s="145">
        <v>2060000</v>
      </c>
      <c r="E59" s="145">
        <v>0</v>
      </c>
      <c r="F59" s="145">
        <v>0</v>
      </c>
    </row>
    <row r="60" spans="1:6" ht="30" x14ac:dyDescent="0.25">
      <c r="A60" s="146">
        <v>22012500</v>
      </c>
      <c r="B60" s="147" t="s">
        <v>57</v>
      </c>
      <c r="C60" s="148">
        <f t="shared" si="0"/>
        <v>2000000</v>
      </c>
      <c r="D60" s="149">
        <v>2000000</v>
      </c>
      <c r="E60" s="149">
        <v>0</v>
      </c>
      <c r="F60" s="149">
        <v>0</v>
      </c>
    </row>
    <row r="61" spans="1:6" ht="45" x14ac:dyDescent="0.25">
      <c r="A61" s="146">
        <v>22012600</v>
      </c>
      <c r="B61" s="147" t="s">
        <v>58</v>
      </c>
      <c r="C61" s="148">
        <f t="shared" si="0"/>
        <v>60000</v>
      </c>
      <c r="D61" s="149">
        <v>60000</v>
      </c>
      <c r="E61" s="149">
        <v>0</v>
      </c>
      <c r="F61" s="149">
        <v>0</v>
      </c>
    </row>
    <row r="62" spans="1:6" x14ac:dyDescent="0.25">
      <c r="A62" s="143">
        <v>22090000</v>
      </c>
      <c r="B62" s="116" t="s">
        <v>59</v>
      </c>
      <c r="C62" s="144">
        <f t="shared" si="0"/>
        <v>47500</v>
      </c>
      <c r="D62" s="145">
        <v>47500</v>
      </c>
      <c r="E62" s="145">
        <v>0</v>
      </c>
      <c r="F62" s="145">
        <v>0</v>
      </c>
    </row>
    <row r="63" spans="1:6" ht="60" x14ac:dyDescent="0.25">
      <c r="A63" s="146">
        <v>22090100</v>
      </c>
      <c r="B63" s="147" t="s">
        <v>60</v>
      </c>
      <c r="C63" s="148">
        <f t="shared" si="0"/>
        <v>45000</v>
      </c>
      <c r="D63" s="149">
        <v>45000</v>
      </c>
      <c r="E63" s="149">
        <v>0</v>
      </c>
      <c r="F63" s="149">
        <v>0</v>
      </c>
    </row>
    <row r="64" spans="1:6" ht="45" x14ac:dyDescent="0.25">
      <c r="A64" s="146">
        <v>22090400</v>
      </c>
      <c r="B64" s="147" t="s">
        <v>61</v>
      </c>
      <c r="C64" s="148">
        <f t="shared" si="0"/>
        <v>2500</v>
      </c>
      <c r="D64" s="149">
        <v>2500</v>
      </c>
      <c r="E64" s="149">
        <v>0</v>
      </c>
      <c r="F64" s="149">
        <v>0</v>
      </c>
    </row>
    <row r="65" spans="1:6" ht="105" x14ac:dyDescent="0.25">
      <c r="A65" s="146">
        <v>22130000</v>
      </c>
      <c r="B65" s="147" t="s">
        <v>62</v>
      </c>
      <c r="C65" s="148">
        <f t="shared" si="0"/>
        <v>3100</v>
      </c>
      <c r="D65" s="149">
        <v>3100</v>
      </c>
      <c r="E65" s="149">
        <v>0</v>
      </c>
      <c r="F65" s="149">
        <v>0</v>
      </c>
    </row>
    <row r="66" spans="1:6" ht="20.25" customHeight="1" x14ac:dyDescent="0.25">
      <c r="A66" s="143">
        <v>24000000</v>
      </c>
      <c r="B66" s="116" t="s">
        <v>63</v>
      </c>
      <c r="C66" s="144">
        <f t="shared" si="0"/>
        <v>1000</v>
      </c>
      <c r="D66" s="145">
        <v>1000</v>
      </c>
      <c r="E66" s="145">
        <v>0</v>
      </c>
      <c r="F66" s="145">
        <v>0</v>
      </c>
    </row>
    <row r="67" spans="1:6" ht="20.25" customHeight="1" x14ac:dyDescent="0.25">
      <c r="A67" s="143">
        <v>24060000</v>
      </c>
      <c r="B67" s="116" t="s">
        <v>52</v>
      </c>
      <c r="C67" s="144">
        <f t="shared" si="0"/>
        <v>1000</v>
      </c>
      <c r="D67" s="145">
        <v>1000</v>
      </c>
      <c r="E67" s="145">
        <v>0</v>
      </c>
      <c r="F67" s="145">
        <v>0</v>
      </c>
    </row>
    <row r="68" spans="1:6" ht="18" customHeight="1" x14ac:dyDescent="0.25">
      <c r="A68" s="146">
        <v>24060300</v>
      </c>
      <c r="B68" s="147" t="s">
        <v>52</v>
      </c>
      <c r="C68" s="148">
        <f t="shared" si="0"/>
        <v>1000</v>
      </c>
      <c r="D68" s="149">
        <v>1000</v>
      </c>
      <c r="E68" s="149">
        <v>0</v>
      </c>
      <c r="F68" s="149">
        <v>0</v>
      </c>
    </row>
    <row r="69" spans="1:6" x14ac:dyDescent="0.25">
      <c r="A69" s="143">
        <v>25000000</v>
      </c>
      <c r="B69" s="116" t="s">
        <v>64</v>
      </c>
      <c r="C69" s="144">
        <f t="shared" si="0"/>
        <v>200000</v>
      </c>
      <c r="D69" s="145">
        <v>0</v>
      </c>
      <c r="E69" s="145">
        <v>200000</v>
      </c>
      <c r="F69" s="145">
        <v>0</v>
      </c>
    </row>
    <row r="70" spans="1:6" ht="42.75" x14ac:dyDescent="0.25">
      <c r="A70" s="143">
        <v>25010000</v>
      </c>
      <c r="B70" s="116" t="s">
        <v>65</v>
      </c>
      <c r="C70" s="144">
        <f t="shared" si="0"/>
        <v>200000</v>
      </c>
      <c r="D70" s="145">
        <v>0</v>
      </c>
      <c r="E70" s="145">
        <v>200000</v>
      </c>
      <c r="F70" s="145">
        <v>0</v>
      </c>
    </row>
    <row r="71" spans="1:6" ht="60" x14ac:dyDescent="0.25">
      <c r="A71" s="146">
        <v>25010300</v>
      </c>
      <c r="B71" s="147" t="s">
        <v>66</v>
      </c>
      <c r="C71" s="148">
        <f t="shared" si="0"/>
        <v>200000</v>
      </c>
      <c r="D71" s="149">
        <v>0</v>
      </c>
      <c r="E71" s="149">
        <v>200000</v>
      </c>
      <c r="F71" s="149">
        <v>0</v>
      </c>
    </row>
    <row r="72" spans="1:6" ht="28.5" x14ac:dyDescent="0.25">
      <c r="A72" s="150"/>
      <c r="B72" s="151" t="s">
        <v>67</v>
      </c>
      <c r="C72" s="144">
        <f t="shared" si="0"/>
        <v>118410677</v>
      </c>
      <c r="D72" s="144">
        <v>118169000</v>
      </c>
      <c r="E72" s="144">
        <v>241677</v>
      </c>
      <c r="F72" s="144">
        <v>0</v>
      </c>
    </row>
    <row r="73" spans="1:6" x14ac:dyDescent="0.25">
      <c r="A73" s="143">
        <v>40000000</v>
      </c>
      <c r="B73" s="116" t="s">
        <v>68</v>
      </c>
      <c r="C73" s="144">
        <f t="shared" si="0"/>
        <v>51782900</v>
      </c>
      <c r="D73" s="145">
        <v>51782900</v>
      </c>
      <c r="E73" s="145">
        <v>0</v>
      </c>
      <c r="F73" s="145">
        <v>0</v>
      </c>
    </row>
    <row r="74" spans="1:6" x14ac:dyDescent="0.25">
      <c r="A74" s="143">
        <v>41000000</v>
      </c>
      <c r="B74" s="116" t="s">
        <v>69</v>
      </c>
      <c r="C74" s="144">
        <f t="shared" si="0"/>
        <v>51782900</v>
      </c>
      <c r="D74" s="145">
        <v>51782900</v>
      </c>
      <c r="E74" s="145">
        <v>0</v>
      </c>
      <c r="F74" s="145">
        <v>0</v>
      </c>
    </row>
    <row r="75" spans="1:6" ht="28.5" x14ac:dyDescent="0.25">
      <c r="A75" s="143">
        <v>41020000</v>
      </c>
      <c r="B75" s="116" t="s">
        <v>70</v>
      </c>
      <c r="C75" s="144">
        <f t="shared" si="0"/>
        <v>20133100</v>
      </c>
      <c r="D75" s="145">
        <v>20133100</v>
      </c>
      <c r="E75" s="145">
        <v>0</v>
      </c>
      <c r="F75" s="145">
        <v>0</v>
      </c>
    </row>
    <row r="76" spans="1:6" x14ac:dyDescent="0.25">
      <c r="A76" s="146">
        <v>41020100</v>
      </c>
      <c r="B76" s="147" t="s">
        <v>71</v>
      </c>
      <c r="C76" s="148">
        <f t="shared" ref="C76:C80" si="1">D76+E76</f>
        <v>17634200</v>
      </c>
      <c r="D76" s="149">
        <v>17634200</v>
      </c>
      <c r="E76" s="149">
        <v>0</v>
      </c>
      <c r="F76" s="149">
        <v>0</v>
      </c>
    </row>
    <row r="77" spans="1:6" ht="120" x14ac:dyDescent="0.25">
      <c r="A77" s="146">
        <v>41021400</v>
      </c>
      <c r="B77" s="147" t="s">
        <v>72</v>
      </c>
      <c r="C77" s="148">
        <f t="shared" si="1"/>
        <v>2498900</v>
      </c>
      <c r="D77" s="149">
        <v>2498900</v>
      </c>
      <c r="E77" s="149">
        <v>0</v>
      </c>
      <c r="F77" s="149">
        <v>0</v>
      </c>
    </row>
    <row r="78" spans="1:6" ht="28.5" x14ac:dyDescent="0.25">
      <c r="A78" s="143">
        <v>41030000</v>
      </c>
      <c r="B78" s="116" t="s">
        <v>240</v>
      </c>
      <c r="C78" s="144">
        <f t="shared" si="1"/>
        <v>31649800</v>
      </c>
      <c r="D78" s="145">
        <v>31649800</v>
      </c>
      <c r="E78" s="145">
        <v>0</v>
      </c>
      <c r="F78" s="145">
        <v>0</v>
      </c>
    </row>
    <row r="79" spans="1:6" ht="30" x14ac:dyDescent="0.25">
      <c r="A79" s="146">
        <v>41033900</v>
      </c>
      <c r="B79" s="147" t="s">
        <v>241</v>
      </c>
      <c r="C79" s="148">
        <f t="shared" si="1"/>
        <v>31649800</v>
      </c>
      <c r="D79" s="149">
        <v>31649800</v>
      </c>
      <c r="E79" s="149">
        <v>0</v>
      </c>
      <c r="F79" s="149">
        <v>0</v>
      </c>
    </row>
    <row r="80" spans="1:6" x14ac:dyDescent="0.25">
      <c r="A80" s="152" t="s">
        <v>74</v>
      </c>
      <c r="B80" s="151" t="s">
        <v>73</v>
      </c>
      <c r="C80" s="144">
        <f t="shared" si="1"/>
        <v>170193577</v>
      </c>
      <c r="D80" s="144">
        <v>169951900</v>
      </c>
      <c r="E80" s="144">
        <v>241677</v>
      </c>
      <c r="F80" s="144">
        <v>0</v>
      </c>
    </row>
    <row r="81" spans="1:6" x14ac:dyDescent="0.25">
      <c r="A81" s="120"/>
      <c r="B81" s="120"/>
      <c r="C81" s="120"/>
      <c r="D81" s="120"/>
      <c r="E81" s="120"/>
      <c r="F81" s="120"/>
    </row>
    <row r="82" spans="1:6" x14ac:dyDescent="0.25">
      <c r="A82" s="120"/>
      <c r="B82" s="120"/>
      <c r="C82" s="120"/>
      <c r="D82" s="120"/>
      <c r="E82" s="120"/>
      <c r="F82" s="120"/>
    </row>
    <row r="83" spans="1:6" x14ac:dyDescent="0.25">
      <c r="A83" s="156" t="s">
        <v>75</v>
      </c>
      <c r="B83" s="156"/>
      <c r="C83" s="153"/>
      <c r="D83" s="120"/>
      <c r="E83" s="139" t="s">
        <v>76</v>
      </c>
      <c r="F83" s="120"/>
    </row>
    <row r="84" spans="1:6" x14ac:dyDescent="0.25">
      <c r="A84" s="120"/>
      <c r="B84" s="120"/>
      <c r="C84" s="120"/>
      <c r="D84" s="120"/>
      <c r="E84" s="120"/>
      <c r="F84" s="120"/>
    </row>
    <row r="85" spans="1:6" x14ac:dyDescent="0.25">
      <c r="A85" s="120"/>
      <c r="B85" s="120"/>
      <c r="C85" s="120"/>
      <c r="D85" s="120"/>
      <c r="E85" s="120"/>
      <c r="F85" s="120"/>
    </row>
  </sheetData>
  <mergeCells count="11">
    <mergeCell ref="E2:F2"/>
    <mergeCell ref="E3:F3"/>
    <mergeCell ref="A83:B83"/>
    <mergeCell ref="A5:F5"/>
    <mergeCell ref="A8:A10"/>
    <mergeCell ref="B8:B10"/>
    <mergeCell ref="C8:C10"/>
    <mergeCell ref="D8:D10"/>
    <mergeCell ref="E8:F8"/>
    <mergeCell ref="E9:E10"/>
    <mergeCell ref="F9:F10"/>
  </mergeCells>
  <pageMargins left="0.59055118110236227" right="0.59055118110236227" top="0.19685039370078741" bottom="0.19685039370078741" header="0" footer="0"/>
  <pageSetup paperSize="9" scale="76" fitToHeight="50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350E-C299-4E5B-9D7E-72E3FC8EA076}">
  <sheetPr>
    <pageSetUpPr fitToPage="1"/>
  </sheetPr>
  <dimension ref="A1:P57"/>
  <sheetViews>
    <sheetView topLeftCell="A31" workbookViewId="0">
      <selection activeCell="D43" sqref="D43"/>
    </sheetView>
  </sheetViews>
  <sheetFormatPr defaultRowHeight="15" x14ac:dyDescent="0.25"/>
  <cols>
    <col min="1" max="3" width="12" customWidth="1"/>
    <col min="4" max="4" width="40.7109375" customWidth="1"/>
    <col min="5" max="5" width="15.85546875" customWidth="1"/>
    <col min="6" max="6" width="16" customWidth="1"/>
    <col min="7" max="7" width="15.7109375" customWidth="1"/>
    <col min="8" max="8" width="16.28515625" customWidth="1"/>
    <col min="9" max="15" width="13.7109375" customWidth="1"/>
    <col min="16" max="16" width="16.28515625" customWidth="1"/>
  </cols>
  <sheetData>
    <row r="1" spans="1:16" ht="15.75" x14ac:dyDescent="0.25">
      <c r="N1" s="1" t="s">
        <v>238</v>
      </c>
      <c r="O1" s="1"/>
    </row>
    <row r="2" spans="1:16" ht="32.25" customHeight="1" x14ac:dyDescent="0.25">
      <c r="N2" s="154" t="s">
        <v>80</v>
      </c>
      <c r="O2" s="154"/>
    </row>
    <row r="3" spans="1:16" ht="15.75" x14ac:dyDescent="0.25">
      <c r="N3" s="155" t="s">
        <v>79</v>
      </c>
      <c r="O3" s="155"/>
    </row>
    <row r="5" spans="1:16" x14ac:dyDescent="0.25">
      <c r="A5" s="162" t="s">
        <v>184</v>
      </c>
      <c r="B5" s="158"/>
      <c r="C5" s="158"/>
      <c r="D5" s="158"/>
      <c r="E5" s="158"/>
      <c r="F5" s="158"/>
      <c r="G5" s="158"/>
      <c r="H5" s="158"/>
      <c r="I5" s="158"/>
      <c r="J5" s="158"/>
      <c r="K5" s="158"/>
      <c r="L5" s="158"/>
      <c r="M5" s="158"/>
      <c r="N5" s="158"/>
      <c r="O5" s="158"/>
      <c r="P5" s="158"/>
    </row>
    <row r="6" spans="1:16" x14ac:dyDescent="0.25">
      <c r="A6" s="162" t="s">
        <v>185</v>
      </c>
      <c r="B6" s="158"/>
      <c r="C6" s="158"/>
      <c r="D6" s="158"/>
      <c r="E6" s="158"/>
      <c r="F6" s="158"/>
      <c r="G6" s="158"/>
      <c r="H6" s="158"/>
      <c r="I6" s="158"/>
      <c r="J6" s="158"/>
      <c r="K6" s="158"/>
      <c r="L6" s="158"/>
      <c r="M6" s="158"/>
      <c r="N6" s="158"/>
      <c r="O6" s="158"/>
      <c r="P6" s="158"/>
    </row>
    <row r="7" spans="1:16" x14ac:dyDescent="0.25">
      <c r="A7" s="118" t="s">
        <v>77</v>
      </c>
      <c r="B7" s="117"/>
      <c r="C7" s="117"/>
      <c r="D7" s="117"/>
      <c r="E7" s="117"/>
      <c r="F7" s="117"/>
      <c r="G7" s="117"/>
      <c r="H7" s="117"/>
      <c r="I7" s="117"/>
      <c r="J7" s="117"/>
      <c r="K7" s="117"/>
      <c r="L7" s="117"/>
      <c r="M7" s="117"/>
      <c r="N7" s="117"/>
      <c r="O7" s="117"/>
      <c r="P7" s="117"/>
    </row>
    <row r="8" spans="1:16" x14ac:dyDescent="0.25">
      <c r="A8" s="119" t="s">
        <v>78</v>
      </c>
      <c r="B8" s="120"/>
      <c r="C8" s="120"/>
      <c r="D8" s="120"/>
      <c r="E8" s="120"/>
      <c r="F8" s="120"/>
      <c r="G8" s="120"/>
      <c r="H8" s="120"/>
      <c r="I8" s="120"/>
      <c r="J8" s="120"/>
      <c r="K8" s="120"/>
      <c r="L8" s="120"/>
      <c r="M8" s="120"/>
      <c r="N8" s="120"/>
      <c r="O8" s="120"/>
      <c r="P8" s="121" t="s">
        <v>99</v>
      </c>
    </row>
    <row r="9" spans="1:16" x14ac:dyDescent="0.25">
      <c r="A9" s="163" t="s">
        <v>100</v>
      </c>
      <c r="B9" s="163" t="s">
        <v>186</v>
      </c>
      <c r="C9" s="163" t="s">
        <v>102</v>
      </c>
      <c r="D9" s="159" t="s">
        <v>187</v>
      </c>
      <c r="E9" s="159" t="s">
        <v>6</v>
      </c>
      <c r="F9" s="159"/>
      <c r="G9" s="159"/>
      <c r="H9" s="159"/>
      <c r="I9" s="159"/>
      <c r="J9" s="159" t="s">
        <v>7</v>
      </c>
      <c r="K9" s="159"/>
      <c r="L9" s="159"/>
      <c r="M9" s="159"/>
      <c r="N9" s="159"/>
      <c r="O9" s="159"/>
      <c r="P9" s="160" t="s">
        <v>188</v>
      </c>
    </row>
    <row r="10" spans="1:16" x14ac:dyDescent="0.25">
      <c r="A10" s="159"/>
      <c r="B10" s="159"/>
      <c r="C10" s="159"/>
      <c r="D10" s="159"/>
      <c r="E10" s="160" t="s">
        <v>8</v>
      </c>
      <c r="F10" s="159" t="s">
        <v>189</v>
      </c>
      <c r="G10" s="159" t="s">
        <v>190</v>
      </c>
      <c r="H10" s="159"/>
      <c r="I10" s="159" t="s">
        <v>191</v>
      </c>
      <c r="J10" s="160" t="s">
        <v>8</v>
      </c>
      <c r="K10" s="159" t="s">
        <v>9</v>
      </c>
      <c r="L10" s="159" t="s">
        <v>189</v>
      </c>
      <c r="M10" s="159" t="s">
        <v>190</v>
      </c>
      <c r="N10" s="159"/>
      <c r="O10" s="159" t="s">
        <v>191</v>
      </c>
      <c r="P10" s="159"/>
    </row>
    <row r="11" spans="1:16" x14ac:dyDescent="0.25">
      <c r="A11" s="159"/>
      <c r="B11" s="159"/>
      <c r="C11" s="159"/>
      <c r="D11" s="159"/>
      <c r="E11" s="159"/>
      <c r="F11" s="159"/>
      <c r="G11" s="159" t="s">
        <v>192</v>
      </c>
      <c r="H11" s="159" t="s">
        <v>193</v>
      </c>
      <c r="I11" s="159"/>
      <c r="J11" s="159"/>
      <c r="K11" s="159"/>
      <c r="L11" s="159"/>
      <c r="M11" s="159" t="s">
        <v>192</v>
      </c>
      <c r="N11" s="159" t="s">
        <v>193</v>
      </c>
      <c r="O11" s="159"/>
      <c r="P11" s="159"/>
    </row>
    <row r="12" spans="1:16" ht="44.25" customHeight="1" x14ac:dyDescent="0.25">
      <c r="A12" s="159"/>
      <c r="B12" s="159"/>
      <c r="C12" s="159"/>
      <c r="D12" s="159"/>
      <c r="E12" s="159"/>
      <c r="F12" s="159"/>
      <c r="G12" s="159"/>
      <c r="H12" s="159"/>
      <c r="I12" s="159"/>
      <c r="J12" s="159"/>
      <c r="K12" s="159"/>
      <c r="L12" s="159"/>
      <c r="M12" s="159"/>
      <c r="N12" s="159"/>
      <c r="O12" s="159"/>
      <c r="P12" s="159"/>
    </row>
    <row r="13" spans="1:16" x14ac:dyDescent="0.25">
      <c r="A13" s="122">
        <v>1</v>
      </c>
      <c r="B13" s="122">
        <v>2</v>
      </c>
      <c r="C13" s="122">
        <v>3</v>
      </c>
      <c r="D13" s="122">
        <v>4</v>
      </c>
      <c r="E13" s="123">
        <v>5</v>
      </c>
      <c r="F13" s="122">
        <v>6</v>
      </c>
      <c r="G13" s="122">
        <v>7</v>
      </c>
      <c r="H13" s="122">
        <v>8</v>
      </c>
      <c r="I13" s="122">
        <v>9</v>
      </c>
      <c r="J13" s="123">
        <v>10</v>
      </c>
      <c r="K13" s="122">
        <v>11</v>
      </c>
      <c r="L13" s="122">
        <v>12</v>
      </c>
      <c r="M13" s="122">
        <v>13</v>
      </c>
      <c r="N13" s="122">
        <v>14</v>
      </c>
      <c r="O13" s="122">
        <v>15</v>
      </c>
      <c r="P13" s="123">
        <v>16</v>
      </c>
    </row>
    <row r="14" spans="1:16" ht="42.75" x14ac:dyDescent="0.25">
      <c r="A14" s="124" t="s">
        <v>106</v>
      </c>
      <c r="B14" s="125"/>
      <c r="C14" s="126"/>
      <c r="D14" s="127" t="s">
        <v>194</v>
      </c>
      <c r="E14" s="128">
        <v>157325740</v>
      </c>
      <c r="F14" s="129">
        <v>152448643</v>
      </c>
      <c r="G14" s="129">
        <v>72534174</v>
      </c>
      <c r="H14" s="129">
        <v>18315310</v>
      </c>
      <c r="I14" s="129">
        <v>4877097</v>
      </c>
      <c r="J14" s="128">
        <v>241677</v>
      </c>
      <c r="K14" s="129">
        <v>0</v>
      </c>
      <c r="L14" s="129">
        <v>200000</v>
      </c>
      <c r="M14" s="129">
        <v>0</v>
      </c>
      <c r="N14" s="129">
        <v>0</v>
      </c>
      <c r="O14" s="129">
        <v>41677</v>
      </c>
      <c r="P14" s="128">
        <f t="shared" ref="P14:P47" si="0">E14+J14</f>
        <v>157567417</v>
      </c>
    </row>
    <row r="15" spans="1:16" ht="42.75" x14ac:dyDescent="0.25">
      <c r="A15" s="124" t="s">
        <v>108</v>
      </c>
      <c r="B15" s="125"/>
      <c r="C15" s="126"/>
      <c r="D15" s="127" t="s">
        <v>194</v>
      </c>
      <c r="E15" s="128">
        <v>157325740</v>
      </c>
      <c r="F15" s="129">
        <v>152448643</v>
      </c>
      <c r="G15" s="129">
        <v>72534174</v>
      </c>
      <c r="H15" s="129">
        <v>18315310</v>
      </c>
      <c r="I15" s="129">
        <v>4877097</v>
      </c>
      <c r="J15" s="128">
        <v>241677</v>
      </c>
      <c r="K15" s="129">
        <v>0</v>
      </c>
      <c r="L15" s="129">
        <v>200000</v>
      </c>
      <c r="M15" s="129">
        <v>0</v>
      </c>
      <c r="N15" s="129">
        <v>0</v>
      </c>
      <c r="O15" s="129">
        <v>41677</v>
      </c>
      <c r="P15" s="128">
        <f t="shared" si="0"/>
        <v>157567417</v>
      </c>
    </row>
    <row r="16" spans="1:16" ht="75" x14ac:dyDescent="0.25">
      <c r="A16" s="130" t="s">
        <v>195</v>
      </c>
      <c r="B16" s="130" t="s">
        <v>196</v>
      </c>
      <c r="C16" s="131" t="s">
        <v>197</v>
      </c>
      <c r="D16" s="132" t="s">
        <v>198</v>
      </c>
      <c r="E16" s="133">
        <v>38793866</v>
      </c>
      <c r="F16" s="134">
        <v>38773866</v>
      </c>
      <c r="G16" s="134">
        <v>26161670</v>
      </c>
      <c r="H16" s="134">
        <v>2483289</v>
      </c>
      <c r="I16" s="134">
        <v>20000</v>
      </c>
      <c r="J16" s="133">
        <v>200000</v>
      </c>
      <c r="K16" s="134">
        <v>0</v>
      </c>
      <c r="L16" s="134">
        <v>200000</v>
      </c>
      <c r="M16" s="134">
        <v>0</v>
      </c>
      <c r="N16" s="134">
        <v>0</v>
      </c>
      <c r="O16" s="134">
        <v>0</v>
      </c>
      <c r="P16" s="133">
        <f t="shared" si="0"/>
        <v>38993866</v>
      </c>
    </row>
    <row r="17" spans="1:16" ht="45" x14ac:dyDescent="0.25">
      <c r="A17" s="130" t="s">
        <v>199</v>
      </c>
      <c r="B17" s="130" t="s">
        <v>200</v>
      </c>
      <c r="C17" s="131" t="s">
        <v>201</v>
      </c>
      <c r="D17" s="132" t="s">
        <v>202</v>
      </c>
      <c r="E17" s="133">
        <v>21594065</v>
      </c>
      <c r="F17" s="134">
        <v>21594065</v>
      </c>
      <c r="G17" s="134">
        <v>5403852</v>
      </c>
      <c r="H17" s="134">
        <v>10147067</v>
      </c>
      <c r="I17" s="134">
        <v>0</v>
      </c>
      <c r="J17" s="133">
        <v>0</v>
      </c>
      <c r="K17" s="134">
        <v>0</v>
      </c>
      <c r="L17" s="134">
        <v>0</v>
      </c>
      <c r="M17" s="134">
        <v>0</v>
      </c>
      <c r="N17" s="134">
        <v>0</v>
      </c>
      <c r="O17" s="134">
        <v>0</v>
      </c>
      <c r="P17" s="133">
        <f t="shared" si="0"/>
        <v>21594065</v>
      </c>
    </row>
    <row r="18" spans="1:16" ht="45" x14ac:dyDescent="0.25">
      <c r="A18" s="130" t="s">
        <v>242</v>
      </c>
      <c r="B18" s="130" t="s">
        <v>243</v>
      </c>
      <c r="C18" s="131" t="s">
        <v>201</v>
      </c>
      <c r="D18" s="132" t="s">
        <v>244</v>
      </c>
      <c r="E18" s="133">
        <v>31649800</v>
      </c>
      <c r="F18" s="134">
        <v>31649800</v>
      </c>
      <c r="G18" s="134">
        <v>25942459</v>
      </c>
      <c r="H18" s="134">
        <v>0</v>
      </c>
      <c r="I18" s="134">
        <v>0</v>
      </c>
      <c r="J18" s="133">
        <v>0</v>
      </c>
      <c r="K18" s="134">
        <v>0</v>
      </c>
      <c r="L18" s="134">
        <v>0</v>
      </c>
      <c r="M18" s="134">
        <v>0</v>
      </c>
      <c r="N18" s="134">
        <v>0</v>
      </c>
      <c r="O18" s="134">
        <v>0</v>
      </c>
      <c r="P18" s="133">
        <f t="shared" si="0"/>
        <v>31649800</v>
      </c>
    </row>
    <row r="19" spans="1:16" ht="30" x14ac:dyDescent="0.25">
      <c r="A19" s="130" t="s">
        <v>110</v>
      </c>
      <c r="B19" s="130" t="s">
        <v>111</v>
      </c>
      <c r="C19" s="131" t="s">
        <v>112</v>
      </c>
      <c r="D19" s="132" t="s">
        <v>113</v>
      </c>
      <c r="E19" s="133">
        <v>60000</v>
      </c>
      <c r="F19" s="134">
        <v>60000</v>
      </c>
      <c r="G19" s="134">
        <v>0</v>
      </c>
      <c r="H19" s="134">
        <v>0</v>
      </c>
      <c r="I19" s="134">
        <v>0</v>
      </c>
      <c r="J19" s="133">
        <v>0</v>
      </c>
      <c r="K19" s="134">
        <v>0</v>
      </c>
      <c r="L19" s="134">
        <v>0</v>
      </c>
      <c r="M19" s="134">
        <v>0</v>
      </c>
      <c r="N19" s="134">
        <v>0</v>
      </c>
      <c r="O19" s="134">
        <v>0</v>
      </c>
      <c r="P19" s="133">
        <f t="shared" si="0"/>
        <v>60000</v>
      </c>
    </row>
    <row r="20" spans="1:16" ht="30" x14ac:dyDescent="0.25">
      <c r="A20" s="130" t="s">
        <v>115</v>
      </c>
      <c r="B20" s="130" t="s">
        <v>116</v>
      </c>
      <c r="C20" s="131" t="s">
        <v>117</v>
      </c>
      <c r="D20" s="132" t="s">
        <v>118</v>
      </c>
      <c r="E20" s="133">
        <v>1620</v>
      </c>
      <c r="F20" s="134">
        <v>1620</v>
      </c>
      <c r="G20" s="134">
        <v>0</v>
      </c>
      <c r="H20" s="134">
        <v>0</v>
      </c>
      <c r="I20" s="134">
        <v>0</v>
      </c>
      <c r="J20" s="133">
        <v>0</v>
      </c>
      <c r="K20" s="134">
        <v>0</v>
      </c>
      <c r="L20" s="134">
        <v>0</v>
      </c>
      <c r="M20" s="134">
        <v>0</v>
      </c>
      <c r="N20" s="134">
        <v>0</v>
      </c>
      <c r="O20" s="134">
        <v>0</v>
      </c>
      <c r="P20" s="133">
        <f t="shared" si="0"/>
        <v>1620</v>
      </c>
    </row>
    <row r="21" spans="1:16" ht="30" x14ac:dyDescent="0.25">
      <c r="A21" s="130" t="s">
        <v>179</v>
      </c>
      <c r="B21" s="130" t="s">
        <v>180</v>
      </c>
      <c r="C21" s="131" t="s">
        <v>112</v>
      </c>
      <c r="D21" s="132" t="s">
        <v>181</v>
      </c>
      <c r="E21" s="133">
        <v>50000</v>
      </c>
      <c r="F21" s="134">
        <v>50000</v>
      </c>
      <c r="G21" s="134">
        <v>0</v>
      </c>
      <c r="H21" s="134">
        <v>0</v>
      </c>
      <c r="I21" s="134">
        <v>0</v>
      </c>
      <c r="J21" s="133">
        <v>0</v>
      </c>
      <c r="K21" s="134">
        <v>0</v>
      </c>
      <c r="L21" s="134">
        <v>0</v>
      </c>
      <c r="M21" s="134">
        <v>0</v>
      </c>
      <c r="N21" s="134">
        <v>0</v>
      </c>
      <c r="O21" s="134">
        <v>0</v>
      </c>
      <c r="P21" s="133">
        <f t="shared" si="0"/>
        <v>50000</v>
      </c>
    </row>
    <row r="22" spans="1:16" ht="30" x14ac:dyDescent="0.25">
      <c r="A22" s="130" t="s">
        <v>175</v>
      </c>
      <c r="B22" s="130" t="s">
        <v>176</v>
      </c>
      <c r="C22" s="131" t="s">
        <v>177</v>
      </c>
      <c r="D22" s="132" t="s">
        <v>178</v>
      </c>
      <c r="E22" s="133">
        <v>28800</v>
      </c>
      <c r="F22" s="134">
        <v>28800</v>
      </c>
      <c r="G22" s="134">
        <v>0</v>
      </c>
      <c r="H22" s="134">
        <v>0</v>
      </c>
      <c r="I22" s="134">
        <v>0</v>
      </c>
      <c r="J22" s="133">
        <v>0</v>
      </c>
      <c r="K22" s="134">
        <v>0</v>
      </c>
      <c r="L22" s="134">
        <v>0</v>
      </c>
      <c r="M22" s="134">
        <v>0</v>
      </c>
      <c r="N22" s="134">
        <v>0</v>
      </c>
      <c r="O22" s="134">
        <v>0</v>
      </c>
      <c r="P22" s="133">
        <f t="shared" si="0"/>
        <v>28800</v>
      </c>
    </row>
    <row r="23" spans="1:16" ht="75" x14ac:dyDescent="0.25">
      <c r="A23" s="130" t="s">
        <v>119</v>
      </c>
      <c r="B23" s="130" t="s">
        <v>203</v>
      </c>
      <c r="C23" s="131" t="s">
        <v>177</v>
      </c>
      <c r="D23" s="132" t="s">
        <v>120</v>
      </c>
      <c r="E23" s="133">
        <v>320000</v>
      </c>
      <c r="F23" s="134">
        <v>320000</v>
      </c>
      <c r="G23" s="134">
        <v>0</v>
      </c>
      <c r="H23" s="134">
        <v>0</v>
      </c>
      <c r="I23" s="134">
        <v>0</v>
      </c>
      <c r="J23" s="133">
        <v>0</v>
      </c>
      <c r="K23" s="134">
        <v>0</v>
      </c>
      <c r="L23" s="134">
        <v>0</v>
      </c>
      <c r="M23" s="134">
        <v>0</v>
      </c>
      <c r="N23" s="134">
        <v>0</v>
      </c>
      <c r="O23" s="134">
        <v>0</v>
      </c>
      <c r="P23" s="133">
        <f t="shared" si="0"/>
        <v>320000</v>
      </c>
    </row>
    <row r="24" spans="1:16" ht="90" x14ac:dyDescent="0.25">
      <c r="A24" s="130" t="s">
        <v>170</v>
      </c>
      <c r="B24" s="130" t="s">
        <v>171</v>
      </c>
      <c r="C24" s="131" t="s">
        <v>172</v>
      </c>
      <c r="D24" s="132" t="s">
        <v>173</v>
      </c>
      <c r="E24" s="133">
        <v>943002</v>
      </c>
      <c r="F24" s="134">
        <v>943002</v>
      </c>
      <c r="G24" s="134">
        <v>0</v>
      </c>
      <c r="H24" s="134">
        <v>0</v>
      </c>
      <c r="I24" s="134">
        <v>0</v>
      </c>
      <c r="J24" s="133">
        <v>0</v>
      </c>
      <c r="K24" s="134">
        <v>0</v>
      </c>
      <c r="L24" s="134">
        <v>0</v>
      </c>
      <c r="M24" s="134">
        <v>0</v>
      </c>
      <c r="N24" s="134">
        <v>0</v>
      </c>
      <c r="O24" s="134">
        <v>0</v>
      </c>
      <c r="P24" s="133">
        <f t="shared" si="0"/>
        <v>943002</v>
      </c>
    </row>
    <row r="25" spans="1:16" ht="45" x14ac:dyDescent="0.25">
      <c r="A25" s="130" t="s">
        <v>204</v>
      </c>
      <c r="B25" s="130" t="s">
        <v>205</v>
      </c>
      <c r="C25" s="131" t="s">
        <v>123</v>
      </c>
      <c r="D25" s="132" t="s">
        <v>206</v>
      </c>
      <c r="E25" s="133">
        <v>11888673</v>
      </c>
      <c r="F25" s="134">
        <v>11888673</v>
      </c>
      <c r="G25" s="134">
        <v>8173017</v>
      </c>
      <c r="H25" s="134">
        <v>130293</v>
      </c>
      <c r="I25" s="134">
        <v>0</v>
      </c>
      <c r="J25" s="133">
        <v>0</v>
      </c>
      <c r="K25" s="134">
        <v>0</v>
      </c>
      <c r="L25" s="134">
        <v>0</v>
      </c>
      <c r="M25" s="134">
        <v>0</v>
      </c>
      <c r="N25" s="134">
        <v>0</v>
      </c>
      <c r="O25" s="134">
        <v>0</v>
      </c>
      <c r="P25" s="133">
        <f t="shared" si="0"/>
        <v>11888673</v>
      </c>
    </row>
    <row r="26" spans="1:16" ht="30" x14ac:dyDescent="0.25">
      <c r="A26" s="130" t="s">
        <v>121</v>
      </c>
      <c r="B26" s="130" t="s">
        <v>122</v>
      </c>
      <c r="C26" s="131" t="s">
        <v>123</v>
      </c>
      <c r="D26" s="132" t="s">
        <v>124</v>
      </c>
      <c r="E26" s="133">
        <v>3268170</v>
      </c>
      <c r="F26" s="134">
        <v>3268170</v>
      </c>
      <c r="G26" s="134">
        <v>0</v>
      </c>
      <c r="H26" s="134">
        <v>0</v>
      </c>
      <c r="I26" s="134">
        <v>0</v>
      </c>
      <c r="J26" s="133">
        <v>0</v>
      </c>
      <c r="K26" s="134">
        <v>0</v>
      </c>
      <c r="L26" s="134">
        <v>0</v>
      </c>
      <c r="M26" s="134">
        <v>0</v>
      </c>
      <c r="N26" s="134">
        <v>0</v>
      </c>
      <c r="O26" s="134">
        <v>0</v>
      </c>
      <c r="P26" s="133">
        <f t="shared" si="0"/>
        <v>3268170</v>
      </c>
    </row>
    <row r="27" spans="1:16" ht="30" x14ac:dyDescent="0.25">
      <c r="A27" s="130" t="s">
        <v>207</v>
      </c>
      <c r="B27" s="130" t="s">
        <v>208</v>
      </c>
      <c r="C27" s="131" t="s">
        <v>209</v>
      </c>
      <c r="D27" s="132" t="s">
        <v>210</v>
      </c>
      <c r="E27" s="133">
        <v>10772505</v>
      </c>
      <c r="F27" s="134">
        <v>10772505</v>
      </c>
      <c r="G27" s="134">
        <v>6853176</v>
      </c>
      <c r="H27" s="134">
        <v>896498</v>
      </c>
      <c r="I27" s="134">
        <v>0</v>
      </c>
      <c r="J27" s="133">
        <v>0</v>
      </c>
      <c r="K27" s="134">
        <v>0</v>
      </c>
      <c r="L27" s="134">
        <v>0</v>
      </c>
      <c r="M27" s="134">
        <v>0</v>
      </c>
      <c r="N27" s="134">
        <v>0</v>
      </c>
      <c r="O27" s="134">
        <v>0</v>
      </c>
      <c r="P27" s="133">
        <f t="shared" si="0"/>
        <v>10772505</v>
      </c>
    </row>
    <row r="28" spans="1:16" ht="30" x14ac:dyDescent="0.25">
      <c r="A28" s="130" t="s">
        <v>125</v>
      </c>
      <c r="B28" s="130" t="s">
        <v>126</v>
      </c>
      <c r="C28" s="131" t="s">
        <v>127</v>
      </c>
      <c r="D28" s="132" t="s">
        <v>128</v>
      </c>
      <c r="E28" s="133">
        <v>23981658</v>
      </c>
      <c r="F28" s="134">
        <v>23981658</v>
      </c>
      <c r="G28" s="134">
        <v>0</v>
      </c>
      <c r="H28" s="134">
        <v>4658163</v>
      </c>
      <c r="I28" s="134">
        <v>0</v>
      </c>
      <c r="J28" s="133">
        <v>0</v>
      </c>
      <c r="K28" s="134">
        <v>0</v>
      </c>
      <c r="L28" s="134">
        <v>0</v>
      </c>
      <c r="M28" s="134">
        <v>0</v>
      </c>
      <c r="N28" s="134">
        <v>0</v>
      </c>
      <c r="O28" s="134">
        <v>0</v>
      </c>
      <c r="P28" s="133">
        <f t="shared" si="0"/>
        <v>23981658</v>
      </c>
    </row>
    <row r="29" spans="1:16" ht="30" x14ac:dyDescent="0.25">
      <c r="A29" s="130" t="s">
        <v>129</v>
      </c>
      <c r="B29" s="130" t="s">
        <v>130</v>
      </c>
      <c r="C29" s="131" t="s">
        <v>131</v>
      </c>
      <c r="D29" s="132" t="s">
        <v>211</v>
      </c>
      <c r="E29" s="133">
        <v>121892</v>
      </c>
      <c r="F29" s="134">
        <v>121892</v>
      </c>
      <c r="G29" s="134">
        <v>0</v>
      </c>
      <c r="H29" s="134">
        <v>0</v>
      </c>
      <c r="I29" s="134">
        <v>0</v>
      </c>
      <c r="J29" s="133">
        <v>0</v>
      </c>
      <c r="K29" s="134">
        <v>0</v>
      </c>
      <c r="L29" s="134">
        <v>0</v>
      </c>
      <c r="M29" s="134">
        <v>0</v>
      </c>
      <c r="N29" s="134">
        <v>0</v>
      </c>
      <c r="O29" s="134">
        <v>0</v>
      </c>
      <c r="P29" s="133">
        <f t="shared" si="0"/>
        <v>121892</v>
      </c>
    </row>
    <row r="30" spans="1:16" ht="30" x14ac:dyDescent="0.25">
      <c r="A30" s="130" t="s">
        <v>135</v>
      </c>
      <c r="B30" s="130" t="s">
        <v>136</v>
      </c>
      <c r="C30" s="131" t="s">
        <v>131</v>
      </c>
      <c r="D30" s="132" t="s">
        <v>137</v>
      </c>
      <c r="E30" s="133">
        <v>4857097</v>
      </c>
      <c r="F30" s="134">
        <v>0</v>
      </c>
      <c r="G30" s="134">
        <v>0</v>
      </c>
      <c r="H30" s="134">
        <v>0</v>
      </c>
      <c r="I30" s="134">
        <v>4857097</v>
      </c>
      <c r="J30" s="133">
        <v>0</v>
      </c>
      <c r="K30" s="134">
        <v>0</v>
      </c>
      <c r="L30" s="134">
        <v>0</v>
      </c>
      <c r="M30" s="134">
        <v>0</v>
      </c>
      <c r="N30" s="134">
        <v>0</v>
      </c>
      <c r="O30" s="134">
        <v>0</v>
      </c>
      <c r="P30" s="133">
        <f t="shared" si="0"/>
        <v>4857097</v>
      </c>
    </row>
    <row r="31" spans="1:16" ht="45" x14ac:dyDescent="0.25">
      <c r="A31" s="130" t="s">
        <v>140</v>
      </c>
      <c r="B31" s="130" t="s">
        <v>141</v>
      </c>
      <c r="C31" s="131" t="s">
        <v>142</v>
      </c>
      <c r="D31" s="132" t="s">
        <v>143</v>
      </c>
      <c r="E31" s="133">
        <v>300000</v>
      </c>
      <c r="F31" s="134">
        <v>300000</v>
      </c>
      <c r="G31" s="134">
        <v>0</v>
      </c>
      <c r="H31" s="134">
        <v>0</v>
      </c>
      <c r="I31" s="134">
        <v>0</v>
      </c>
      <c r="J31" s="133">
        <v>0</v>
      </c>
      <c r="K31" s="134">
        <v>0</v>
      </c>
      <c r="L31" s="134">
        <v>0</v>
      </c>
      <c r="M31" s="134">
        <v>0</v>
      </c>
      <c r="N31" s="134">
        <v>0</v>
      </c>
      <c r="O31" s="134">
        <v>0</v>
      </c>
      <c r="P31" s="133">
        <f t="shared" si="0"/>
        <v>300000</v>
      </c>
    </row>
    <row r="32" spans="1:16" ht="30" x14ac:dyDescent="0.25">
      <c r="A32" s="130" t="s">
        <v>146</v>
      </c>
      <c r="B32" s="130" t="s">
        <v>212</v>
      </c>
      <c r="C32" s="131" t="s">
        <v>142</v>
      </c>
      <c r="D32" s="132" t="s">
        <v>213</v>
      </c>
      <c r="E32" s="133">
        <v>8165654</v>
      </c>
      <c r="F32" s="134">
        <v>8165654</v>
      </c>
      <c r="G32" s="134">
        <v>0</v>
      </c>
      <c r="H32" s="134">
        <v>0</v>
      </c>
      <c r="I32" s="134">
        <v>0</v>
      </c>
      <c r="J32" s="133">
        <v>0</v>
      </c>
      <c r="K32" s="134">
        <v>0</v>
      </c>
      <c r="L32" s="134">
        <v>0</v>
      </c>
      <c r="M32" s="134">
        <v>0</v>
      </c>
      <c r="N32" s="134">
        <v>0</v>
      </c>
      <c r="O32" s="134">
        <v>0</v>
      </c>
      <c r="P32" s="133">
        <f t="shared" si="0"/>
        <v>8165654</v>
      </c>
    </row>
    <row r="33" spans="1:16" x14ac:dyDescent="0.25">
      <c r="A33" s="130" t="s">
        <v>149</v>
      </c>
      <c r="B33" s="130" t="s">
        <v>150</v>
      </c>
      <c r="C33" s="131" t="s">
        <v>151</v>
      </c>
      <c r="D33" s="132" t="s">
        <v>152</v>
      </c>
      <c r="E33" s="133">
        <v>100000</v>
      </c>
      <c r="F33" s="134">
        <v>100000</v>
      </c>
      <c r="G33" s="134">
        <v>0</v>
      </c>
      <c r="H33" s="134">
        <v>0</v>
      </c>
      <c r="I33" s="134">
        <v>0</v>
      </c>
      <c r="J33" s="133">
        <v>0</v>
      </c>
      <c r="K33" s="134">
        <v>0</v>
      </c>
      <c r="L33" s="134">
        <v>0</v>
      </c>
      <c r="M33" s="134">
        <v>0</v>
      </c>
      <c r="N33" s="134">
        <v>0</v>
      </c>
      <c r="O33" s="134">
        <v>0</v>
      </c>
      <c r="P33" s="133">
        <f t="shared" si="0"/>
        <v>100000</v>
      </c>
    </row>
    <row r="34" spans="1:16" x14ac:dyDescent="0.25">
      <c r="A34" s="130" t="s">
        <v>153</v>
      </c>
      <c r="B34" s="130" t="s">
        <v>154</v>
      </c>
      <c r="C34" s="131" t="s">
        <v>155</v>
      </c>
      <c r="D34" s="132" t="s">
        <v>156</v>
      </c>
      <c r="E34" s="133">
        <v>0</v>
      </c>
      <c r="F34" s="134">
        <v>0</v>
      </c>
      <c r="G34" s="134">
        <v>0</v>
      </c>
      <c r="H34" s="134">
        <v>0</v>
      </c>
      <c r="I34" s="134">
        <v>0</v>
      </c>
      <c r="J34" s="133">
        <v>41677</v>
      </c>
      <c r="K34" s="134">
        <v>0</v>
      </c>
      <c r="L34" s="134">
        <v>0</v>
      </c>
      <c r="M34" s="134">
        <v>0</v>
      </c>
      <c r="N34" s="134">
        <v>0</v>
      </c>
      <c r="O34" s="134">
        <v>41677</v>
      </c>
      <c r="P34" s="133">
        <f t="shared" si="0"/>
        <v>41677</v>
      </c>
    </row>
    <row r="35" spans="1:16" ht="30" x14ac:dyDescent="0.25">
      <c r="A35" s="130" t="s">
        <v>162</v>
      </c>
      <c r="B35" s="130" t="s">
        <v>165</v>
      </c>
      <c r="C35" s="131" t="s">
        <v>166</v>
      </c>
      <c r="D35" s="132" t="s">
        <v>235</v>
      </c>
      <c r="E35" s="133">
        <v>428938</v>
      </c>
      <c r="F35" s="134">
        <v>428938</v>
      </c>
      <c r="G35" s="134">
        <v>0</v>
      </c>
      <c r="H35" s="134">
        <v>0</v>
      </c>
      <c r="I35" s="134">
        <v>0</v>
      </c>
      <c r="J35" s="133">
        <v>0</v>
      </c>
      <c r="K35" s="134">
        <v>0</v>
      </c>
      <c r="L35" s="134">
        <v>0</v>
      </c>
      <c r="M35" s="134">
        <v>0</v>
      </c>
      <c r="N35" s="134">
        <v>0</v>
      </c>
      <c r="O35" s="134">
        <v>0</v>
      </c>
      <c r="P35" s="133">
        <f t="shared" si="0"/>
        <v>428938</v>
      </c>
    </row>
    <row r="36" spans="1:16" x14ac:dyDescent="0.25">
      <c r="A36" s="124" t="s">
        <v>214</v>
      </c>
      <c r="B36" s="125"/>
      <c r="C36" s="126"/>
      <c r="D36" s="127" t="s">
        <v>215</v>
      </c>
      <c r="E36" s="128">
        <v>1710563</v>
      </c>
      <c r="F36" s="129">
        <v>1710563</v>
      </c>
      <c r="G36" s="129">
        <v>1355000</v>
      </c>
      <c r="H36" s="129">
        <v>0</v>
      </c>
      <c r="I36" s="129">
        <v>0</v>
      </c>
      <c r="J36" s="128">
        <v>0</v>
      </c>
      <c r="K36" s="129">
        <v>0</v>
      </c>
      <c r="L36" s="129">
        <v>0</v>
      </c>
      <c r="M36" s="129">
        <v>0</v>
      </c>
      <c r="N36" s="129">
        <v>0</v>
      </c>
      <c r="O36" s="129">
        <v>0</v>
      </c>
      <c r="P36" s="128">
        <f t="shared" si="0"/>
        <v>1710563</v>
      </c>
    </row>
    <row r="37" spans="1:16" x14ac:dyDescent="0.25">
      <c r="A37" s="124" t="s">
        <v>216</v>
      </c>
      <c r="B37" s="125"/>
      <c r="C37" s="126"/>
      <c r="D37" s="127" t="s">
        <v>217</v>
      </c>
      <c r="E37" s="128">
        <v>1710563</v>
      </c>
      <c r="F37" s="129">
        <v>1710563</v>
      </c>
      <c r="G37" s="129">
        <v>1355000</v>
      </c>
      <c r="H37" s="129">
        <v>0</v>
      </c>
      <c r="I37" s="129">
        <v>0</v>
      </c>
      <c r="J37" s="128">
        <v>0</v>
      </c>
      <c r="K37" s="129">
        <v>0</v>
      </c>
      <c r="L37" s="129">
        <v>0</v>
      </c>
      <c r="M37" s="129">
        <v>0</v>
      </c>
      <c r="N37" s="129">
        <v>0</v>
      </c>
      <c r="O37" s="129">
        <v>0</v>
      </c>
      <c r="P37" s="128">
        <f t="shared" si="0"/>
        <v>1710563</v>
      </c>
    </row>
    <row r="38" spans="1:16" ht="45" x14ac:dyDescent="0.25">
      <c r="A38" s="130" t="s">
        <v>218</v>
      </c>
      <c r="B38" s="130" t="s">
        <v>219</v>
      </c>
      <c r="C38" s="131" t="s">
        <v>197</v>
      </c>
      <c r="D38" s="132" t="s">
        <v>220</v>
      </c>
      <c r="E38" s="133">
        <v>1710563</v>
      </c>
      <c r="F38" s="134">
        <v>1710563</v>
      </c>
      <c r="G38" s="134">
        <v>1355000</v>
      </c>
      <c r="H38" s="134">
        <v>0</v>
      </c>
      <c r="I38" s="134">
        <v>0</v>
      </c>
      <c r="J38" s="133">
        <v>0</v>
      </c>
      <c r="K38" s="134">
        <v>0</v>
      </c>
      <c r="L38" s="134">
        <v>0</v>
      </c>
      <c r="M38" s="134">
        <v>0</v>
      </c>
      <c r="N38" s="134">
        <v>0</v>
      </c>
      <c r="O38" s="134">
        <v>0</v>
      </c>
      <c r="P38" s="133">
        <f t="shared" si="0"/>
        <v>1710563</v>
      </c>
    </row>
    <row r="39" spans="1:16" x14ac:dyDescent="0.25">
      <c r="A39" s="124" t="s">
        <v>221</v>
      </c>
      <c r="B39" s="125"/>
      <c r="C39" s="126"/>
      <c r="D39" s="127" t="s">
        <v>222</v>
      </c>
      <c r="E39" s="128">
        <v>8434868</v>
      </c>
      <c r="F39" s="129">
        <v>8434868</v>
      </c>
      <c r="G39" s="129">
        <v>5242295</v>
      </c>
      <c r="H39" s="129">
        <v>187968</v>
      </c>
      <c r="I39" s="129">
        <v>0</v>
      </c>
      <c r="J39" s="128">
        <v>0</v>
      </c>
      <c r="K39" s="129">
        <v>0</v>
      </c>
      <c r="L39" s="129">
        <v>0</v>
      </c>
      <c r="M39" s="129">
        <v>0</v>
      </c>
      <c r="N39" s="129">
        <v>0</v>
      </c>
      <c r="O39" s="129">
        <v>0</v>
      </c>
      <c r="P39" s="128">
        <f t="shared" si="0"/>
        <v>8434868</v>
      </c>
    </row>
    <row r="40" spans="1:16" x14ac:dyDescent="0.25">
      <c r="A40" s="124" t="s">
        <v>223</v>
      </c>
      <c r="B40" s="125"/>
      <c r="C40" s="126"/>
      <c r="D40" s="127" t="s">
        <v>222</v>
      </c>
      <c r="E40" s="128">
        <v>8434868</v>
      </c>
      <c r="F40" s="129">
        <v>8434868</v>
      </c>
      <c r="G40" s="129">
        <v>5242295</v>
      </c>
      <c r="H40" s="129">
        <v>187968</v>
      </c>
      <c r="I40" s="129">
        <v>0</v>
      </c>
      <c r="J40" s="128">
        <v>0</v>
      </c>
      <c r="K40" s="129">
        <v>0</v>
      </c>
      <c r="L40" s="129">
        <v>0</v>
      </c>
      <c r="M40" s="129">
        <v>0</v>
      </c>
      <c r="N40" s="129">
        <v>0</v>
      </c>
      <c r="O40" s="129">
        <v>0</v>
      </c>
      <c r="P40" s="128">
        <f t="shared" si="0"/>
        <v>8434868</v>
      </c>
    </row>
    <row r="41" spans="1:16" ht="45" x14ac:dyDescent="0.25">
      <c r="A41" s="130" t="s">
        <v>224</v>
      </c>
      <c r="B41" s="130" t="s">
        <v>219</v>
      </c>
      <c r="C41" s="131" t="s">
        <v>197</v>
      </c>
      <c r="D41" s="132" t="s">
        <v>220</v>
      </c>
      <c r="E41" s="133">
        <v>7434868</v>
      </c>
      <c r="F41" s="134">
        <v>7434868</v>
      </c>
      <c r="G41" s="134">
        <v>5242295</v>
      </c>
      <c r="H41" s="134">
        <v>187968</v>
      </c>
      <c r="I41" s="134">
        <v>0</v>
      </c>
      <c r="J41" s="133">
        <v>0</v>
      </c>
      <c r="K41" s="134">
        <v>0</v>
      </c>
      <c r="L41" s="134">
        <v>0</v>
      </c>
      <c r="M41" s="134">
        <v>0</v>
      </c>
      <c r="N41" s="134">
        <v>0</v>
      </c>
      <c r="O41" s="134">
        <v>0</v>
      </c>
      <c r="P41" s="133">
        <f t="shared" si="0"/>
        <v>7434868</v>
      </c>
    </row>
    <row r="42" spans="1:16" ht="30" x14ac:dyDescent="0.25">
      <c r="A42" s="130" t="s">
        <v>225</v>
      </c>
      <c r="B42" s="130" t="s">
        <v>126</v>
      </c>
      <c r="C42" s="131" t="s">
        <v>127</v>
      </c>
      <c r="D42" s="132" t="s">
        <v>128</v>
      </c>
      <c r="E42" s="133">
        <v>1000000</v>
      </c>
      <c r="F42" s="134">
        <v>1000000</v>
      </c>
      <c r="G42" s="134">
        <v>0</v>
      </c>
      <c r="H42" s="134">
        <v>0</v>
      </c>
      <c r="I42" s="134">
        <v>0</v>
      </c>
      <c r="J42" s="133">
        <v>0</v>
      </c>
      <c r="K42" s="134">
        <v>0</v>
      </c>
      <c r="L42" s="134">
        <v>0</v>
      </c>
      <c r="M42" s="134">
        <v>0</v>
      </c>
      <c r="N42" s="134">
        <v>0</v>
      </c>
      <c r="O42" s="134">
        <v>0</v>
      </c>
      <c r="P42" s="133">
        <f t="shared" si="0"/>
        <v>1000000</v>
      </c>
    </row>
    <row r="43" spans="1:16" ht="42.75" x14ac:dyDescent="0.25">
      <c r="A43" s="124" t="s">
        <v>226</v>
      </c>
      <c r="B43" s="125"/>
      <c r="C43" s="126"/>
      <c r="D43" s="127" t="s">
        <v>227</v>
      </c>
      <c r="E43" s="128">
        <v>2480729</v>
      </c>
      <c r="F43" s="129">
        <v>2380729</v>
      </c>
      <c r="G43" s="129">
        <v>1893630</v>
      </c>
      <c r="H43" s="129">
        <v>0</v>
      </c>
      <c r="I43" s="129">
        <v>0</v>
      </c>
      <c r="J43" s="128">
        <v>0</v>
      </c>
      <c r="K43" s="129">
        <v>0</v>
      </c>
      <c r="L43" s="129">
        <v>0</v>
      </c>
      <c r="M43" s="129">
        <v>0</v>
      </c>
      <c r="N43" s="129">
        <v>0</v>
      </c>
      <c r="O43" s="129">
        <v>0</v>
      </c>
      <c r="P43" s="128">
        <f t="shared" si="0"/>
        <v>2480729</v>
      </c>
    </row>
    <row r="44" spans="1:16" x14ac:dyDescent="0.25">
      <c r="A44" s="124" t="s">
        <v>228</v>
      </c>
      <c r="B44" s="125"/>
      <c r="C44" s="126"/>
      <c r="D44" s="127" t="s">
        <v>229</v>
      </c>
      <c r="E44" s="128">
        <v>2480729</v>
      </c>
      <c r="F44" s="129">
        <v>2380729</v>
      </c>
      <c r="G44" s="129">
        <v>1893630</v>
      </c>
      <c r="H44" s="129">
        <v>0</v>
      </c>
      <c r="I44" s="129">
        <v>0</v>
      </c>
      <c r="J44" s="128">
        <v>0</v>
      </c>
      <c r="K44" s="129">
        <v>0</v>
      </c>
      <c r="L44" s="129">
        <v>0</v>
      </c>
      <c r="M44" s="129">
        <v>0</v>
      </c>
      <c r="N44" s="129">
        <v>0</v>
      </c>
      <c r="O44" s="129">
        <v>0</v>
      </c>
      <c r="P44" s="128">
        <f t="shared" si="0"/>
        <v>2480729</v>
      </c>
    </row>
    <row r="45" spans="1:16" ht="45" x14ac:dyDescent="0.25">
      <c r="A45" s="130" t="s">
        <v>230</v>
      </c>
      <c r="B45" s="130" t="s">
        <v>219</v>
      </c>
      <c r="C45" s="131" t="s">
        <v>197</v>
      </c>
      <c r="D45" s="132" t="s">
        <v>220</v>
      </c>
      <c r="E45" s="133">
        <v>2380729</v>
      </c>
      <c r="F45" s="134">
        <v>2380729</v>
      </c>
      <c r="G45" s="134">
        <v>1893630</v>
      </c>
      <c r="H45" s="134">
        <v>0</v>
      </c>
      <c r="I45" s="134">
        <v>0</v>
      </c>
      <c r="J45" s="133">
        <v>0</v>
      </c>
      <c r="K45" s="134">
        <v>0</v>
      </c>
      <c r="L45" s="134">
        <v>0</v>
      </c>
      <c r="M45" s="134">
        <v>0</v>
      </c>
      <c r="N45" s="134">
        <v>0</v>
      </c>
      <c r="O45" s="134">
        <v>0</v>
      </c>
      <c r="P45" s="133">
        <f t="shared" si="0"/>
        <v>2380729</v>
      </c>
    </row>
    <row r="46" spans="1:16" x14ac:dyDescent="0.25">
      <c r="A46" s="130" t="s">
        <v>231</v>
      </c>
      <c r="B46" s="130" t="s">
        <v>232</v>
      </c>
      <c r="C46" s="131" t="s">
        <v>233</v>
      </c>
      <c r="D46" s="132" t="s">
        <v>234</v>
      </c>
      <c r="E46" s="133">
        <v>100000</v>
      </c>
      <c r="F46" s="134">
        <v>0</v>
      </c>
      <c r="G46" s="134">
        <v>0</v>
      </c>
      <c r="H46" s="134">
        <v>0</v>
      </c>
      <c r="I46" s="134">
        <v>0</v>
      </c>
      <c r="J46" s="133">
        <v>0</v>
      </c>
      <c r="K46" s="134">
        <v>0</v>
      </c>
      <c r="L46" s="134">
        <v>0</v>
      </c>
      <c r="M46" s="134">
        <v>0</v>
      </c>
      <c r="N46" s="134">
        <v>0</v>
      </c>
      <c r="O46" s="134">
        <v>0</v>
      </c>
      <c r="P46" s="133">
        <f t="shared" si="0"/>
        <v>100000</v>
      </c>
    </row>
    <row r="47" spans="1:16" x14ac:dyDescent="0.25">
      <c r="A47" s="135" t="s">
        <v>74</v>
      </c>
      <c r="B47" s="136" t="s">
        <v>74</v>
      </c>
      <c r="C47" s="137" t="s">
        <v>74</v>
      </c>
      <c r="D47" s="138" t="s">
        <v>159</v>
      </c>
      <c r="E47" s="128">
        <v>169951900</v>
      </c>
      <c r="F47" s="128">
        <v>164974803</v>
      </c>
      <c r="G47" s="128">
        <v>81025099</v>
      </c>
      <c r="H47" s="128">
        <v>18503278</v>
      </c>
      <c r="I47" s="128">
        <v>4877097</v>
      </c>
      <c r="J47" s="128">
        <v>241677</v>
      </c>
      <c r="K47" s="128">
        <v>0</v>
      </c>
      <c r="L47" s="128">
        <v>200000</v>
      </c>
      <c r="M47" s="128">
        <v>0</v>
      </c>
      <c r="N47" s="128">
        <v>0</v>
      </c>
      <c r="O47" s="128">
        <v>41677</v>
      </c>
      <c r="P47" s="128">
        <f t="shared" si="0"/>
        <v>170193577</v>
      </c>
    </row>
    <row r="48" spans="1:16" x14ac:dyDescent="0.25">
      <c r="A48" s="120"/>
      <c r="B48" s="120"/>
      <c r="C48" s="120"/>
      <c r="D48" s="120"/>
      <c r="E48" s="120"/>
      <c r="F48" s="120"/>
      <c r="G48" s="120"/>
      <c r="H48" s="120"/>
      <c r="I48" s="120"/>
      <c r="J48" s="120"/>
      <c r="K48" s="120"/>
      <c r="L48" s="120"/>
      <c r="M48" s="120"/>
      <c r="N48" s="120"/>
      <c r="O48" s="120"/>
      <c r="P48" s="120"/>
    </row>
    <row r="49" spans="1:16" x14ac:dyDescent="0.25">
      <c r="A49" s="120"/>
      <c r="B49" s="120"/>
      <c r="C49" s="120"/>
      <c r="D49" s="120"/>
      <c r="E49" s="120"/>
      <c r="F49" s="120"/>
      <c r="G49" s="120"/>
      <c r="H49" s="120"/>
      <c r="I49" s="120"/>
      <c r="J49" s="120"/>
      <c r="K49" s="120"/>
      <c r="L49" s="120"/>
      <c r="M49" s="120"/>
      <c r="N49" s="120"/>
      <c r="O49" s="120"/>
      <c r="P49" s="120"/>
    </row>
    <row r="50" spans="1:16" x14ac:dyDescent="0.25">
      <c r="A50" s="156" t="s">
        <v>75</v>
      </c>
      <c r="B50" s="156"/>
      <c r="C50" s="156"/>
      <c r="D50" s="156"/>
      <c r="E50" s="120"/>
      <c r="F50" s="120"/>
      <c r="G50" s="120"/>
      <c r="H50" s="120"/>
      <c r="I50" s="139" t="s">
        <v>76</v>
      </c>
      <c r="J50" s="120"/>
      <c r="K50" s="120"/>
      <c r="L50" s="120"/>
      <c r="M50" s="120"/>
      <c r="N50" s="120"/>
      <c r="O50" s="120"/>
      <c r="P50" s="120"/>
    </row>
    <row r="51" spans="1:16" x14ac:dyDescent="0.25">
      <c r="A51" s="120"/>
      <c r="B51" s="120"/>
      <c r="C51" s="120"/>
      <c r="D51" s="120"/>
      <c r="E51" s="120"/>
      <c r="F51" s="120"/>
      <c r="G51" s="120"/>
      <c r="H51" s="120"/>
      <c r="I51" s="120"/>
      <c r="J51" s="120"/>
      <c r="K51" s="120"/>
      <c r="L51" s="120"/>
      <c r="M51" s="120"/>
      <c r="N51" s="120"/>
      <c r="O51" s="120"/>
      <c r="P51" s="120"/>
    </row>
    <row r="52" spans="1:16" x14ac:dyDescent="0.25">
      <c r="A52" s="120"/>
      <c r="B52" s="120"/>
      <c r="C52" s="120"/>
      <c r="D52" s="120"/>
      <c r="E52" s="120"/>
      <c r="F52" s="120"/>
      <c r="G52" s="120"/>
      <c r="H52" s="120"/>
      <c r="I52" s="120"/>
      <c r="J52" s="120"/>
      <c r="K52" s="120"/>
      <c r="L52" s="120"/>
      <c r="M52" s="120"/>
      <c r="N52" s="120"/>
      <c r="O52" s="120"/>
      <c r="P52" s="120"/>
    </row>
    <row r="53" spans="1:16" x14ac:dyDescent="0.25">
      <c r="A53" s="120"/>
      <c r="B53" s="120"/>
      <c r="C53" s="120"/>
      <c r="D53" s="120"/>
      <c r="E53" s="120"/>
      <c r="F53" s="120"/>
      <c r="G53" s="120"/>
      <c r="H53" s="120"/>
      <c r="I53" s="120"/>
      <c r="J53" s="120"/>
      <c r="K53" s="120"/>
      <c r="L53" s="120"/>
      <c r="M53" s="120"/>
      <c r="N53" s="120"/>
      <c r="O53" s="120"/>
      <c r="P53" s="120"/>
    </row>
    <row r="54" spans="1:16" x14ac:dyDescent="0.25">
      <c r="A54" s="120"/>
      <c r="B54" s="120"/>
      <c r="C54" s="120"/>
      <c r="D54" s="120"/>
      <c r="E54" s="120"/>
      <c r="F54" s="120"/>
      <c r="G54" s="120"/>
      <c r="H54" s="120"/>
      <c r="I54" s="120"/>
      <c r="J54" s="120"/>
      <c r="K54" s="120"/>
      <c r="L54" s="120"/>
      <c r="M54" s="120"/>
      <c r="N54" s="120"/>
      <c r="O54" s="120"/>
      <c r="P54" s="120"/>
    </row>
    <row r="55" spans="1:16" x14ac:dyDescent="0.25">
      <c r="A55" s="120"/>
      <c r="B55" s="120"/>
      <c r="C55" s="120"/>
      <c r="D55" s="120"/>
      <c r="E55" s="120"/>
      <c r="F55" s="120"/>
      <c r="G55" s="120"/>
      <c r="H55" s="120"/>
      <c r="I55" s="120"/>
      <c r="J55" s="120"/>
      <c r="K55" s="120"/>
      <c r="L55" s="120"/>
      <c r="M55" s="120"/>
      <c r="N55" s="120"/>
      <c r="O55" s="120"/>
      <c r="P55" s="120"/>
    </row>
    <row r="56" spans="1:16" x14ac:dyDescent="0.25">
      <c r="A56" s="120"/>
      <c r="B56" s="120"/>
      <c r="C56" s="120"/>
      <c r="D56" s="120"/>
      <c r="E56" s="120"/>
      <c r="F56" s="120"/>
      <c r="G56" s="120"/>
      <c r="H56" s="120"/>
      <c r="I56" s="120"/>
      <c r="J56" s="120"/>
      <c r="K56" s="120"/>
      <c r="L56" s="120"/>
      <c r="M56" s="120"/>
      <c r="N56" s="120"/>
      <c r="O56" s="120"/>
      <c r="P56" s="120"/>
    </row>
    <row r="57" spans="1:16" x14ac:dyDescent="0.25">
      <c r="A57" s="120"/>
      <c r="B57" s="120"/>
      <c r="C57" s="120"/>
      <c r="D57" s="120"/>
      <c r="E57" s="120"/>
      <c r="F57" s="120"/>
      <c r="G57" s="120"/>
      <c r="H57" s="120"/>
      <c r="I57" s="120"/>
      <c r="J57" s="120"/>
      <c r="K57" s="120"/>
      <c r="L57" s="120"/>
      <c r="M57" s="120"/>
      <c r="N57" s="120"/>
      <c r="O57" s="120"/>
      <c r="P57" s="120"/>
    </row>
  </sheetData>
  <mergeCells count="25">
    <mergeCell ref="N2:O2"/>
    <mergeCell ref="N3:O3"/>
    <mergeCell ref="A50:D50"/>
    <mergeCell ref="M10:N10"/>
    <mergeCell ref="O10:O12"/>
    <mergeCell ref="G11:G12"/>
    <mergeCell ref="H11:H12"/>
    <mergeCell ref="M11:M12"/>
    <mergeCell ref="N11:N12"/>
    <mergeCell ref="F10:F12"/>
    <mergeCell ref="G10:H10"/>
    <mergeCell ref="I10:I12"/>
    <mergeCell ref="J10:J12"/>
    <mergeCell ref="K10:K12"/>
    <mergeCell ref="L10:L12"/>
    <mergeCell ref="A5:P5"/>
    <mergeCell ref="A6:P6"/>
    <mergeCell ref="A9:A12"/>
    <mergeCell ref="B9:B12"/>
    <mergeCell ref="C9:C12"/>
    <mergeCell ref="D9:D12"/>
    <mergeCell ref="E9:I9"/>
    <mergeCell ref="J9:O9"/>
    <mergeCell ref="P9:P12"/>
    <mergeCell ref="E10:E12"/>
  </mergeCells>
  <pageMargins left="0.19685039370078741" right="0.19685039370078741" top="0.39370078740157483" bottom="0.19685039370078741" header="0" footer="0"/>
  <pageSetup paperSize="9" scale="56" fitToHeight="50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3ADF-83F4-49CE-A571-07DBCFED4BE4}">
  <sheetPr>
    <pageSetUpPr fitToPage="1"/>
  </sheetPr>
  <dimension ref="A1:U51"/>
  <sheetViews>
    <sheetView topLeftCell="A7" workbookViewId="0">
      <selection activeCell="K25" sqref="K25"/>
    </sheetView>
  </sheetViews>
  <sheetFormatPr defaultRowHeight="12.75" x14ac:dyDescent="0.2"/>
  <cols>
    <col min="1" max="1" width="14.7109375" style="3" customWidth="1"/>
    <col min="2" max="2" width="12.85546875" style="3" customWidth="1"/>
    <col min="3" max="3" width="65.5703125" style="3" customWidth="1"/>
    <col min="4" max="4" width="17.42578125" style="3" customWidth="1"/>
    <col min="5" max="16384" width="9.140625" style="3"/>
  </cols>
  <sheetData>
    <row r="1" spans="1:21" ht="15" x14ac:dyDescent="0.25">
      <c r="A1" s="2"/>
      <c r="B1" s="2"/>
      <c r="C1" s="2"/>
      <c r="D1" s="2" t="s">
        <v>81</v>
      </c>
    </row>
    <row r="2" spans="1:21" ht="47.25" customHeight="1" x14ac:dyDescent="0.25">
      <c r="A2" s="2"/>
      <c r="B2" s="2"/>
      <c r="C2" s="2"/>
      <c r="D2" s="4" t="s">
        <v>80</v>
      </c>
      <c r="E2" s="4"/>
    </row>
    <row r="3" spans="1:21" ht="18.75" customHeight="1" x14ac:dyDescent="0.25">
      <c r="A3" s="2"/>
      <c r="B3" s="2"/>
      <c r="C3" s="2"/>
      <c r="D3" s="2" t="s">
        <v>79</v>
      </c>
      <c r="E3" s="2"/>
    </row>
    <row r="4" spans="1:21" ht="15" x14ac:dyDescent="0.25">
      <c r="A4" s="2"/>
      <c r="B4" s="2"/>
      <c r="C4" s="2"/>
      <c r="D4" s="2"/>
    </row>
    <row r="5" spans="1:21" ht="15" x14ac:dyDescent="0.25">
      <c r="A5" s="2"/>
      <c r="B5" s="2"/>
      <c r="C5" s="2"/>
      <c r="D5" s="2"/>
    </row>
    <row r="6" spans="1:21" ht="15" x14ac:dyDescent="0.25">
      <c r="A6" s="2"/>
      <c r="B6" s="2"/>
      <c r="C6" s="2"/>
      <c r="D6" s="2"/>
    </row>
    <row r="7" spans="1:21" ht="15.75" x14ac:dyDescent="0.25">
      <c r="A7" s="167" t="s">
        <v>183</v>
      </c>
      <c r="B7" s="167"/>
      <c r="C7" s="167"/>
      <c r="D7" s="167"/>
    </row>
    <row r="8" spans="1:21" ht="15.75" x14ac:dyDescent="0.25">
      <c r="A8" s="168" t="s">
        <v>77</v>
      </c>
      <c r="B8" s="168"/>
      <c r="C8" s="168"/>
      <c r="D8" s="168"/>
    </row>
    <row r="9" spans="1:21" ht="15" customHeight="1" x14ac:dyDescent="0.2">
      <c r="A9" s="169" t="s">
        <v>82</v>
      </c>
      <c r="B9" s="169"/>
      <c r="C9" s="169"/>
      <c r="D9" s="169"/>
    </row>
    <row r="10" spans="1:21" ht="14.25" x14ac:dyDescent="0.2">
      <c r="A10" s="170" t="s">
        <v>83</v>
      </c>
      <c r="B10" s="170"/>
      <c r="C10" s="170"/>
      <c r="D10" s="170"/>
    </row>
    <row r="11" spans="1:21" ht="15" x14ac:dyDescent="0.25">
      <c r="A11" s="2"/>
      <c r="B11" s="2"/>
      <c r="C11" s="2"/>
      <c r="D11" s="2"/>
    </row>
    <row r="12" spans="1:21" ht="48" customHeight="1" x14ac:dyDescent="0.25">
      <c r="A12" s="171" t="s">
        <v>84</v>
      </c>
      <c r="B12" s="172"/>
      <c r="C12" s="5" t="s">
        <v>85</v>
      </c>
      <c r="D12" s="6" t="s">
        <v>5</v>
      </c>
      <c r="E12" s="7"/>
      <c r="F12" s="7"/>
      <c r="G12" s="7"/>
      <c r="H12" s="7"/>
      <c r="I12" s="7"/>
      <c r="J12" s="7"/>
      <c r="K12" s="7"/>
      <c r="L12" s="7"/>
      <c r="M12" s="2"/>
      <c r="N12" s="2"/>
      <c r="O12" s="2"/>
      <c r="P12" s="2"/>
      <c r="Q12" s="2"/>
      <c r="R12" s="2"/>
      <c r="S12" s="2"/>
      <c r="T12" s="2"/>
      <c r="U12" s="2"/>
    </row>
    <row r="13" spans="1:21" ht="15" x14ac:dyDescent="0.25">
      <c r="A13" s="173">
        <v>1</v>
      </c>
      <c r="B13" s="174"/>
      <c r="C13" s="6">
        <v>2</v>
      </c>
      <c r="D13" s="6">
        <v>3</v>
      </c>
      <c r="E13" s="2"/>
      <c r="F13" s="2"/>
      <c r="G13" s="2"/>
      <c r="H13" s="2"/>
      <c r="I13" s="2"/>
      <c r="J13" s="2"/>
      <c r="K13" s="2"/>
      <c r="L13" s="2"/>
      <c r="M13" s="2"/>
      <c r="N13" s="2"/>
      <c r="O13" s="2"/>
      <c r="P13" s="2"/>
      <c r="Q13" s="2"/>
      <c r="R13" s="2"/>
      <c r="S13" s="2"/>
      <c r="T13" s="2"/>
      <c r="U13" s="2"/>
    </row>
    <row r="14" spans="1:21" ht="15" x14ac:dyDescent="0.25">
      <c r="A14" s="175" t="s">
        <v>86</v>
      </c>
      <c r="B14" s="175"/>
      <c r="C14" s="175"/>
      <c r="D14" s="175"/>
      <c r="E14" s="2"/>
      <c r="F14" s="2"/>
      <c r="G14" s="2"/>
      <c r="H14" s="2"/>
      <c r="I14" s="2"/>
      <c r="J14" s="2"/>
      <c r="K14" s="2"/>
      <c r="L14" s="2"/>
      <c r="M14" s="2"/>
      <c r="N14" s="2"/>
      <c r="O14" s="2"/>
      <c r="P14" s="2"/>
      <c r="Q14" s="2"/>
      <c r="R14" s="2"/>
      <c r="S14" s="2"/>
      <c r="T14" s="2"/>
      <c r="U14" s="2"/>
    </row>
    <row r="15" spans="1:21" ht="26.25" customHeight="1" x14ac:dyDescent="0.25">
      <c r="A15" s="176">
        <v>41020100</v>
      </c>
      <c r="B15" s="177"/>
      <c r="C15" s="8" t="s">
        <v>71</v>
      </c>
      <c r="D15" s="9">
        <f>D16</f>
        <v>17634200</v>
      </c>
      <c r="E15" s="2"/>
      <c r="F15" s="2"/>
      <c r="G15" s="2"/>
      <c r="H15" s="2"/>
      <c r="I15" s="2"/>
      <c r="J15" s="2"/>
      <c r="K15" s="2"/>
      <c r="L15" s="2"/>
      <c r="M15" s="2"/>
      <c r="N15" s="2"/>
      <c r="O15" s="2"/>
      <c r="P15" s="2"/>
      <c r="Q15" s="2"/>
      <c r="R15" s="2"/>
      <c r="S15" s="2"/>
      <c r="T15" s="2"/>
      <c r="U15" s="2"/>
    </row>
    <row r="16" spans="1:21" ht="20.25" customHeight="1" x14ac:dyDescent="0.25">
      <c r="A16" s="173">
        <v>9900000000</v>
      </c>
      <c r="B16" s="174"/>
      <c r="C16" s="10" t="s">
        <v>87</v>
      </c>
      <c r="D16" s="11">
        <v>17634200</v>
      </c>
      <c r="E16" s="2"/>
      <c r="F16" s="2"/>
      <c r="G16" s="2"/>
      <c r="H16" s="2"/>
      <c r="I16" s="2"/>
      <c r="J16" s="2"/>
      <c r="K16" s="2"/>
      <c r="L16" s="2"/>
      <c r="M16" s="2"/>
      <c r="N16" s="2"/>
      <c r="O16" s="2"/>
      <c r="P16" s="2"/>
      <c r="Q16" s="2"/>
      <c r="R16" s="2"/>
      <c r="S16" s="2"/>
      <c r="T16" s="2"/>
      <c r="U16" s="2"/>
    </row>
    <row r="17" spans="1:21" ht="84.75" customHeight="1" x14ac:dyDescent="0.25">
      <c r="A17" s="176">
        <v>41021400</v>
      </c>
      <c r="B17" s="177"/>
      <c r="C17" s="116" t="s">
        <v>72</v>
      </c>
      <c r="D17" s="9">
        <f>D18</f>
        <v>2498900</v>
      </c>
      <c r="E17" s="2"/>
      <c r="F17" s="2"/>
      <c r="G17" s="2"/>
      <c r="H17" s="2"/>
      <c r="I17" s="2"/>
      <c r="J17" s="2"/>
      <c r="K17" s="2"/>
      <c r="L17" s="2"/>
      <c r="M17" s="2"/>
      <c r="N17" s="2"/>
      <c r="O17" s="2"/>
      <c r="P17" s="2"/>
      <c r="Q17" s="2"/>
      <c r="R17" s="2"/>
      <c r="S17" s="2"/>
      <c r="T17" s="2"/>
      <c r="U17" s="2"/>
    </row>
    <row r="18" spans="1:21" ht="20.25" customHeight="1" x14ac:dyDescent="0.25">
      <c r="A18" s="173">
        <v>9900000000</v>
      </c>
      <c r="B18" s="174"/>
      <c r="C18" s="10" t="s">
        <v>87</v>
      </c>
      <c r="D18" s="11">
        <v>2498900</v>
      </c>
      <c r="E18" s="2"/>
      <c r="F18" s="2"/>
      <c r="G18" s="2"/>
      <c r="H18" s="2"/>
      <c r="I18" s="2"/>
      <c r="J18" s="2"/>
      <c r="K18" s="2"/>
      <c r="L18" s="2"/>
      <c r="M18" s="2"/>
      <c r="N18" s="2"/>
      <c r="O18" s="2"/>
      <c r="P18" s="2"/>
      <c r="Q18" s="2"/>
      <c r="R18" s="2"/>
      <c r="S18" s="2"/>
      <c r="T18" s="2"/>
      <c r="U18" s="2"/>
    </row>
    <row r="19" spans="1:21" ht="20.25" customHeight="1" x14ac:dyDescent="0.25">
      <c r="A19" s="178">
        <v>41033900</v>
      </c>
      <c r="B19" s="179"/>
      <c r="C19" s="116" t="s">
        <v>239</v>
      </c>
      <c r="D19" s="140">
        <f>D20</f>
        <v>31649800</v>
      </c>
      <c r="E19" s="2"/>
      <c r="F19" s="2"/>
      <c r="G19" s="2"/>
      <c r="H19" s="2"/>
      <c r="I19" s="2"/>
      <c r="J19" s="2"/>
      <c r="K19" s="2"/>
      <c r="L19" s="2"/>
      <c r="M19" s="2"/>
      <c r="N19" s="2"/>
      <c r="O19" s="2"/>
      <c r="P19" s="2"/>
      <c r="Q19" s="2"/>
      <c r="R19" s="2"/>
      <c r="S19" s="2"/>
      <c r="T19" s="2"/>
      <c r="U19" s="2"/>
    </row>
    <row r="20" spans="1:21" ht="20.25" customHeight="1" x14ac:dyDescent="0.25">
      <c r="A20" s="180">
        <v>9900000000</v>
      </c>
      <c r="B20" s="181"/>
      <c r="C20" s="141" t="s">
        <v>87</v>
      </c>
      <c r="D20" s="142">
        <v>31649800</v>
      </c>
      <c r="E20" s="2"/>
      <c r="F20" s="2"/>
      <c r="G20" s="2"/>
      <c r="H20" s="2"/>
      <c r="I20" s="2"/>
      <c r="J20" s="2"/>
      <c r="K20" s="2"/>
      <c r="L20" s="2"/>
      <c r="M20" s="2"/>
      <c r="N20" s="2"/>
      <c r="O20" s="2"/>
      <c r="P20" s="2"/>
      <c r="Q20" s="2"/>
      <c r="R20" s="2"/>
      <c r="S20" s="2"/>
      <c r="T20" s="2"/>
      <c r="U20" s="2"/>
    </row>
    <row r="21" spans="1:21" ht="15" x14ac:dyDescent="0.25">
      <c r="A21" s="164" t="s">
        <v>88</v>
      </c>
      <c r="B21" s="165"/>
      <c r="C21" s="165"/>
      <c r="D21" s="166"/>
      <c r="E21" s="2"/>
      <c r="F21" s="2"/>
      <c r="G21" s="2"/>
      <c r="H21" s="2"/>
      <c r="I21" s="2"/>
      <c r="J21" s="2"/>
      <c r="K21" s="2"/>
      <c r="L21" s="2"/>
      <c r="M21" s="2"/>
      <c r="N21" s="2"/>
      <c r="O21" s="2"/>
      <c r="P21" s="2"/>
      <c r="Q21" s="2"/>
      <c r="R21" s="2"/>
      <c r="S21" s="2"/>
      <c r="T21" s="2"/>
      <c r="U21" s="2"/>
    </row>
    <row r="22" spans="1:21" ht="15.75" x14ac:dyDescent="0.25">
      <c r="A22" s="182"/>
      <c r="B22" s="183"/>
      <c r="C22" s="12"/>
      <c r="D22" s="13"/>
      <c r="E22" s="2"/>
      <c r="F22" s="2"/>
      <c r="G22" s="2"/>
      <c r="H22" s="2"/>
      <c r="I22" s="2"/>
      <c r="J22" s="2"/>
      <c r="K22" s="2"/>
      <c r="L22" s="2"/>
      <c r="M22" s="2"/>
      <c r="N22" s="2"/>
      <c r="O22" s="2"/>
      <c r="P22" s="2"/>
      <c r="Q22" s="2"/>
      <c r="R22" s="2"/>
      <c r="S22" s="2"/>
      <c r="T22" s="2"/>
      <c r="U22" s="2"/>
    </row>
    <row r="23" spans="1:21" ht="15" x14ac:dyDescent="0.25">
      <c r="A23" s="184" t="s">
        <v>89</v>
      </c>
      <c r="B23" s="185"/>
      <c r="C23" s="14" t="s">
        <v>90</v>
      </c>
      <c r="D23" s="9">
        <f>SUM(D24:D25)</f>
        <v>51782900</v>
      </c>
      <c r="E23" s="2"/>
      <c r="F23" s="2"/>
      <c r="G23" s="2"/>
      <c r="H23" s="2"/>
      <c r="I23" s="2"/>
      <c r="J23" s="2"/>
      <c r="K23" s="2"/>
      <c r="L23" s="2"/>
      <c r="M23" s="2"/>
      <c r="N23" s="2"/>
      <c r="O23" s="2"/>
      <c r="P23" s="2"/>
      <c r="Q23" s="2"/>
      <c r="R23" s="2"/>
      <c r="S23" s="2"/>
      <c r="T23" s="2"/>
      <c r="U23" s="2"/>
    </row>
    <row r="24" spans="1:21" ht="15" x14ac:dyDescent="0.25">
      <c r="A24" s="184" t="s">
        <v>89</v>
      </c>
      <c r="B24" s="185"/>
      <c r="C24" s="15" t="s">
        <v>91</v>
      </c>
      <c r="D24" s="16">
        <f>D15+D17+D19</f>
        <v>51782900</v>
      </c>
      <c r="E24" s="2"/>
      <c r="F24" s="2"/>
      <c r="G24" s="2"/>
      <c r="H24" s="2"/>
      <c r="I24" s="2"/>
      <c r="J24" s="2"/>
      <c r="K24" s="2"/>
      <c r="L24" s="2"/>
      <c r="M24" s="2"/>
      <c r="N24" s="2"/>
      <c r="O24" s="2"/>
      <c r="P24" s="2"/>
      <c r="Q24" s="2"/>
      <c r="R24" s="2"/>
      <c r="S24" s="2"/>
      <c r="T24" s="2"/>
      <c r="U24" s="2"/>
    </row>
    <row r="25" spans="1:21" ht="15" x14ac:dyDescent="0.25">
      <c r="A25" s="184" t="s">
        <v>89</v>
      </c>
      <c r="B25" s="185"/>
      <c r="C25" s="15" t="s">
        <v>92</v>
      </c>
      <c r="D25" s="16">
        <f>D22</f>
        <v>0</v>
      </c>
      <c r="E25" s="2"/>
      <c r="F25" s="2"/>
      <c r="G25" s="2"/>
      <c r="H25" s="2"/>
      <c r="I25" s="2"/>
      <c r="J25" s="2"/>
      <c r="K25" s="2"/>
      <c r="L25" s="2"/>
      <c r="M25" s="2"/>
      <c r="N25" s="2"/>
      <c r="O25" s="2"/>
      <c r="P25" s="2"/>
      <c r="Q25" s="2"/>
      <c r="R25" s="2"/>
      <c r="S25" s="2"/>
      <c r="T25" s="2"/>
      <c r="U25" s="2"/>
    </row>
    <row r="26" spans="1:21" ht="15" x14ac:dyDescent="0.25">
      <c r="A26" s="15"/>
      <c r="B26" s="15"/>
      <c r="C26" s="15"/>
      <c r="D26" s="16"/>
      <c r="E26" s="2"/>
      <c r="F26" s="2"/>
      <c r="G26" s="2"/>
      <c r="H26" s="2"/>
      <c r="I26" s="2"/>
      <c r="J26" s="2"/>
      <c r="K26" s="2"/>
      <c r="L26" s="2"/>
      <c r="M26" s="2"/>
      <c r="N26" s="2"/>
      <c r="O26" s="2"/>
      <c r="P26" s="2"/>
      <c r="Q26" s="2"/>
      <c r="R26" s="2"/>
      <c r="S26" s="2"/>
      <c r="T26" s="2"/>
      <c r="U26" s="2"/>
    </row>
    <row r="27" spans="1:21" ht="15" x14ac:dyDescent="0.25">
      <c r="A27" s="2"/>
      <c r="B27" s="2"/>
      <c r="C27" s="2"/>
      <c r="D27" s="17"/>
      <c r="E27" s="2"/>
      <c r="F27" s="2"/>
      <c r="G27" s="2"/>
      <c r="H27" s="2"/>
      <c r="I27" s="2"/>
      <c r="J27" s="2"/>
      <c r="K27" s="2"/>
      <c r="L27" s="2"/>
      <c r="M27" s="2"/>
      <c r="N27" s="2"/>
      <c r="O27" s="2"/>
      <c r="P27" s="2"/>
      <c r="Q27" s="2"/>
      <c r="R27" s="2"/>
      <c r="S27" s="2"/>
      <c r="T27" s="2"/>
      <c r="U27" s="2"/>
    </row>
    <row r="28" spans="1:21" ht="15" x14ac:dyDescent="0.25">
      <c r="A28" s="170" t="s">
        <v>93</v>
      </c>
      <c r="B28" s="170"/>
      <c r="C28" s="170"/>
      <c r="D28" s="170"/>
      <c r="E28" s="2"/>
      <c r="F28" s="2"/>
      <c r="G28" s="2"/>
      <c r="H28" s="2"/>
      <c r="I28" s="2"/>
      <c r="J28" s="2"/>
      <c r="K28" s="2"/>
      <c r="L28" s="2"/>
      <c r="M28" s="2"/>
      <c r="N28" s="2"/>
      <c r="O28" s="2"/>
      <c r="P28" s="2"/>
      <c r="Q28" s="2"/>
      <c r="R28" s="2"/>
      <c r="S28" s="2"/>
      <c r="T28" s="2"/>
      <c r="U28" s="2"/>
    </row>
    <row r="29" spans="1:21" ht="15" x14ac:dyDescent="0.25">
      <c r="A29" s="2"/>
      <c r="B29" s="2"/>
      <c r="C29" s="2"/>
      <c r="D29" s="2"/>
      <c r="E29" s="2"/>
      <c r="F29" s="2"/>
      <c r="G29" s="2"/>
      <c r="H29" s="2"/>
      <c r="I29" s="2"/>
      <c r="J29" s="2"/>
      <c r="K29" s="2"/>
      <c r="L29" s="2"/>
      <c r="M29" s="2"/>
      <c r="N29" s="2"/>
      <c r="O29" s="2"/>
      <c r="P29" s="2"/>
      <c r="Q29" s="2"/>
      <c r="R29" s="2"/>
      <c r="S29" s="2"/>
      <c r="T29" s="2"/>
      <c r="U29" s="2"/>
    </row>
    <row r="30" spans="1:21" ht="125.25" customHeight="1" x14ac:dyDescent="0.25">
      <c r="A30" s="5" t="s">
        <v>94</v>
      </c>
      <c r="B30" s="5" t="s">
        <v>95</v>
      </c>
      <c r="C30" s="5" t="s">
        <v>96</v>
      </c>
      <c r="D30" s="6" t="s">
        <v>5</v>
      </c>
      <c r="E30" s="7"/>
      <c r="F30" s="7"/>
      <c r="G30" s="7"/>
      <c r="H30" s="7"/>
      <c r="I30" s="7"/>
      <c r="J30" s="7"/>
      <c r="K30" s="7"/>
      <c r="L30" s="7"/>
      <c r="M30" s="2"/>
      <c r="N30" s="2"/>
      <c r="O30" s="2"/>
      <c r="P30" s="2"/>
      <c r="Q30" s="2"/>
      <c r="R30" s="2"/>
      <c r="S30" s="2"/>
      <c r="T30" s="2"/>
      <c r="U30" s="2"/>
    </row>
    <row r="31" spans="1:21" ht="15" x14ac:dyDescent="0.25">
      <c r="A31" s="6">
        <v>1</v>
      </c>
      <c r="B31" s="6">
        <v>2</v>
      </c>
      <c r="C31" s="6">
        <v>3</v>
      </c>
      <c r="D31" s="6">
        <v>4</v>
      </c>
      <c r="E31" s="2"/>
      <c r="F31" s="2"/>
      <c r="G31" s="2"/>
      <c r="H31" s="2"/>
      <c r="I31" s="2"/>
      <c r="J31" s="2"/>
      <c r="K31" s="2"/>
      <c r="L31" s="2"/>
      <c r="M31" s="2"/>
      <c r="N31" s="2"/>
      <c r="O31" s="2"/>
      <c r="P31" s="2"/>
      <c r="Q31" s="2"/>
      <c r="R31" s="2"/>
      <c r="S31" s="2"/>
      <c r="T31" s="2"/>
      <c r="U31" s="2"/>
    </row>
    <row r="32" spans="1:21" ht="15" x14ac:dyDescent="0.25">
      <c r="A32" s="175" t="s">
        <v>86</v>
      </c>
      <c r="B32" s="175"/>
      <c r="C32" s="175"/>
      <c r="D32" s="175"/>
      <c r="E32" s="2"/>
      <c r="F32" s="2"/>
      <c r="G32" s="2"/>
      <c r="H32" s="2"/>
      <c r="I32" s="2"/>
      <c r="J32" s="2"/>
      <c r="K32" s="2"/>
      <c r="L32" s="2"/>
      <c r="M32" s="2"/>
      <c r="N32" s="2"/>
      <c r="O32" s="2"/>
      <c r="P32" s="2"/>
      <c r="Q32" s="2"/>
      <c r="R32" s="2"/>
      <c r="S32" s="2"/>
      <c r="T32" s="2"/>
      <c r="U32" s="2"/>
    </row>
    <row r="33" spans="1:21" ht="15.75" x14ac:dyDescent="0.25">
      <c r="A33" s="6"/>
      <c r="B33" s="6"/>
      <c r="C33" s="18"/>
      <c r="D33" s="16"/>
      <c r="E33" s="2"/>
      <c r="F33" s="2"/>
      <c r="G33" s="2"/>
      <c r="H33" s="2"/>
      <c r="I33" s="2"/>
      <c r="J33" s="2"/>
      <c r="K33" s="2"/>
      <c r="L33" s="2"/>
      <c r="M33" s="2"/>
      <c r="N33" s="2"/>
      <c r="O33" s="2"/>
      <c r="P33" s="2"/>
      <c r="Q33" s="2"/>
      <c r="R33" s="2"/>
      <c r="S33" s="2"/>
      <c r="T33" s="2"/>
      <c r="U33" s="2"/>
    </row>
    <row r="34" spans="1:21" ht="15" x14ac:dyDescent="0.25">
      <c r="A34" s="164" t="s">
        <v>88</v>
      </c>
      <c r="B34" s="165"/>
      <c r="C34" s="165"/>
      <c r="D34" s="166"/>
      <c r="E34" s="2"/>
      <c r="F34" s="2"/>
      <c r="G34" s="2"/>
      <c r="H34" s="2"/>
      <c r="I34" s="2"/>
      <c r="J34" s="2"/>
      <c r="K34" s="2"/>
      <c r="L34" s="2"/>
      <c r="M34" s="2"/>
      <c r="N34" s="2"/>
      <c r="O34" s="2"/>
      <c r="P34" s="2"/>
      <c r="Q34" s="2"/>
      <c r="R34" s="2"/>
      <c r="S34" s="2"/>
      <c r="T34" s="2"/>
      <c r="U34" s="2"/>
    </row>
    <row r="35" spans="1:21" ht="15" x14ac:dyDescent="0.25">
      <c r="A35" s="19"/>
      <c r="B35" s="19"/>
      <c r="C35" s="19"/>
      <c r="D35" s="19"/>
      <c r="E35" s="2"/>
      <c r="F35" s="2"/>
      <c r="G35" s="2"/>
      <c r="H35" s="2"/>
      <c r="I35" s="2"/>
      <c r="J35" s="2"/>
      <c r="K35" s="2"/>
      <c r="L35" s="2"/>
      <c r="M35" s="2"/>
      <c r="N35" s="2"/>
      <c r="O35" s="2"/>
      <c r="P35" s="2"/>
      <c r="Q35" s="2"/>
      <c r="R35" s="2"/>
      <c r="S35" s="2"/>
      <c r="T35" s="2"/>
      <c r="U35" s="2"/>
    </row>
    <row r="36" spans="1:21" ht="15" x14ac:dyDescent="0.25">
      <c r="A36" s="19" t="s">
        <v>89</v>
      </c>
      <c r="B36" s="19" t="s">
        <v>89</v>
      </c>
      <c r="C36" s="15" t="s">
        <v>90</v>
      </c>
      <c r="D36" s="16"/>
      <c r="E36" s="2"/>
      <c r="F36" s="2"/>
      <c r="G36" s="2"/>
      <c r="H36" s="2"/>
      <c r="I36" s="2"/>
      <c r="J36" s="2"/>
      <c r="K36" s="2"/>
      <c r="L36" s="2"/>
      <c r="M36" s="2"/>
      <c r="N36" s="2"/>
      <c r="O36" s="2"/>
      <c r="P36" s="2"/>
      <c r="Q36" s="2"/>
      <c r="R36" s="2"/>
      <c r="S36" s="2"/>
      <c r="T36" s="2"/>
      <c r="U36" s="2"/>
    </row>
    <row r="37" spans="1:21" ht="15" x14ac:dyDescent="0.25">
      <c r="A37" s="19" t="s">
        <v>89</v>
      </c>
      <c r="B37" s="19" t="s">
        <v>89</v>
      </c>
      <c r="C37" s="15" t="s">
        <v>91</v>
      </c>
      <c r="D37" s="16"/>
      <c r="E37" s="2"/>
      <c r="F37" s="2"/>
      <c r="G37" s="2"/>
      <c r="H37" s="2"/>
      <c r="I37" s="2"/>
      <c r="J37" s="2"/>
      <c r="K37" s="2"/>
      <c r="L37" s="2"/>
      <c r="M37" s="2"/>
      <c r="N37" s="2"/>
      <c r="O37" s="2"/>
      <c r="P37" s="2"/>
      <c r="Q37" s="2"/>
      <c r="R37" s="2"/>
      <c r="S37" s="2"/>
      <c r="T37" s="2"/>
      <c r="U37" s="2"/>
    </row>
    <row r="38" spans="1:21" ht="15" x14ac:dyDescent="0.25">
      <c r="A38" s="19" t="s">
        <v>89</v>
      </c>
      <c r="B38" s="19" t="s">
        <v>89</v>
      </c>
      <c r="C38" s="15" t="s">
        <v>92</v>
      </c>
      <c r="D38" s="16"/>
      <c r="E38" s="2"/>
      <c r="F38" s="2"/>
      <c r="G38" s="2"/>
      <c r="H38" s="2"/>
      <c r="I38" s="2"/>
      <c r="J38" s="2"/>
      <c r="K38" s="2"/>
      <c r="L38" s="2"/>
      <c r="M38" s="2"/>
      <c r="N38" s="2"/>
      <c r="O38" s="2"/>
      <c r="P38" s="2"/>
      <c r="Q38" s="2"/>
      <c r="R38" s="2"/>
      <c r="S38" s="2"/>
      <c r="T38" s="2"/>
      <c r="U38" s="2"/>
    </row>
    <row r="39" spans="1:21" ht="15" x14ac:dyDescent="0.25">
      <c r="A39" s="15"/>
      <c r="B39" s="15"/>
      <c r="C39" s="15"/>
      <c r="D39" s="16"/>
      <c r="E39" s="2"/>
      <c r="F39" s="2"/>
      <c r="G39" s="2"/>
      <c r="H39" s="2"/>
      <c r="I39" s="2"/>
      <c r="J39" s="2"/>
      <c r="K39" s="2"/>
      <c r="L39" s="2"/>
      <c r="M39" s="2"/>
      <c r="N39" s="2"/>
      <c r="O39" s="2"/>
      <c r="P39" s="2"/>
      <c r="Q39" s="2"/>
      <c r="R39" s="2"/>
      <c r="S39" s="2"/>
      <c r="T39" s="2"/>
      <c r="U39" s="2"/>
    </row>
    <row r="40" spans="1:21" ht="15" x14ac:dyDescent="0.25">
      <c r="A40" s="2"/>
      <c r="B40" s="2"/>
      <c r="C40" s="2"/>
      <c r="D40" s="2"/>
      <c r="E40" s="2"/>
      <c r="F40" s="2"/>
      <c r="G40" s="2"/>
      <c r="H40" s="2"/>
      <c r="I40" s="2"/>
      <c r="J40" s="2"/>
      <c r="K40" s="2"/>
      <c r="L40" s="2"/>
      <c r="M40" s="2"/>
      <c r="N40" s="2"/>
      <c r="O40" s="2"/>
      <c r="P40" s="2"/>
      <c r="Q40" s="2"/>
      <c r="R40" s="2"/>
      <c r="S40" s="2"/>
      <c r="T40" s="2"/>
      <c r="U40" s="2"/>
    </row>
    <row r="41" spans="1:21" ht="15" x14ac:dyDescent="0.25">
      <c r="A41" s="20" t="s">
        <v>75</v>
      </c>
      <c r="B41" s="20"/>
      <c r="C41" s="2"/>
      <c r="D41" s="21" t="s">
        <v>76</v>
      </c>
      <c r="E41" s="22"/>
      <c r="G41" s="2"/>
      <c r="H41" s="2"/>
      <c r="I41" s="2"/>
      <c r="J41" s="2"/>
      <c r="K41" s="2"/>
      <c r="L41" s="2"/>
      <c r="M41" s="2"/>
      <c r="N41" s="2"/>
      <c r="O41" s="2"/>
      <c r="P41" s="2"/>
      <c r="Q41" s="2"/>
      <c r="R41" s="2"/>
      <c r="S41" s="2"/>
      <c r="T41" s="2"/>
      <c r="U41" s="2"/>
    </row>
    <row r="42" spans="1:21" ht="15" x14ac:dyDescent="0.25">
      <c r="A42" s="2"/>
      <c r="B42" s="2"/>
      <c r="C42" s="2"/>
      <c r="D42" s="2"/>
      <c r="E42" s="2"/>
      <c r="F42" s="2"/>
      <c r="G42" s="2"/>
      <c r="H42" s="2"/>
      <c r="I42" s="2"/>
      <c r="J42" s="2"/>
      <c r="K42" s="2"/>
      <c r="L42" s="2"/>
      <c r="M42" s="2"/>
      <c r="N42" s="2"/>
      <c r="O42" s="2"/>
      <c r="P42" s="2"/>
      <c r="Q42" s="2"/>
      <c r="R42" s="2"/>
      <c r="S42" s="2"/>
      <c r="T42" s="2"/>
      <c r="U42" s="2"/>
    </row>
    <row r="43" spans="1:21" ht="15" x14ac:dyDescent="0.25">
      <c r="A43" s="2"/>
      <c r="B43" s="2"/>
      <c r="C43" s="2"/>
      <c r="D43" s="2"/>
      <c r="E43" s="2"/>
      <c r="F43" s="2"/>
      <c r="G43" s="2"/>
      <c r="H43" s="2"/>
      <c r="I43" s="2"/>
      <c r="J43" s="2"/>
      <c r="K43" s="2"/>
      <c r="L43" s="2"/>
      <c r="M43" s="2"/>
      <c r="N43" s="2"/>
      <c r="O43" s="2"/>
      <c r="P43" s="2"/>
      <c r="Q43" s="2"/>
      <c r="R43" s="2"/>
      <c r="S43" s="2"/>
      <c r="T43" s="2"/>
      <c r="U43" s="2"/>
    </row>
    <row r="44" spans="1:21" ht="15" x14ac:dyDescent="0.25">
      <c r="A44" s="2"/>
      <c r="B44" s="2"/>
      <c r="C44" s="2"/>
      <c r="D44" s="2"/>
      <c r="E44" s="2"/>
      <c r="F44" s="2"/>
      <c r="G44" s="2"/>
      <c r="H44" s="2"/>
      <c r="I44" s="2"/>
      <c r="J44" s="2"/>
      <c r="K44" s="2"/>
      <c r="L44" s="2"/>
      <c r="M44" s="2"/>
      <c r="N44" s="2"/>
      <c r="O44" s="2"/>
      <c r="P44" s="2"/>
      <c r="Q44" s="2"/>
      <c r="R44" s="2"/>
      <c r="S44" s="2"/>
      <c r="T44" s="2"/>
      <c r="U44" s="2"/>
    </row>
    <row r="45" spans="1:21" ht="15" x14ac:dyDescent="0.25">
      <c r="A45" s="2"/>
      <c r="B45" s="2"/>
      <c r="C45" s="2"/>
      <c r="D45" s="2"/>
      <c r="E45" s="2"/>
      <c r="F45" s="2"/>
      <c r="G45" s="2"/>
      <c r="H45" s="2"/>
      <c r="I45" s="2"/>
      <c r="J45" s="2"/>
      <c r="K45" s="2"/>
      <c r="L45" s="2"/>
      <c r="M45" s="2"/>
      <c r="N45" s="2"/>
      <c r="O45" s="2"/>
      <c r="P45" s="2"/>
      <c r="Q45" s="2"/>
      <c r="R45" s="2"/>
      <c r="S45" s="2"/>
      <c r="T45" s="2"/>
      <c r="U45" s="2"/>
    </row>
    <row r="46" spans="1:21" ht="15" x14ac:dyDescent="0.25">
      <c r="A46" s="2"/>
      <c r="B46" s="2"/>
      <c r="C46" s="2"/>
      <c r="D46" s="2"/>
      <c r="E46" s="2"/>
      <c r="F46" s="2"/>
      <c r="G46" s="2"/>
      <c r="H46" s="2"/>
      <c r="I46" s="2"/>
      <c r="J46" s="2"/>
      <c r="K46" s="2"/>
      <c r="L46" s="2"/>
      <c r="M46" s="2"/>
      <c r="N46" s="2"/>
      <c r="O46" s="2"/>
      <c r="P46" s="2"/>
      <c r="Q46" s="2"/>
      <c r="R46" s="2"/>
      <c r="S46" s="2"/>
      <c r="T46" s="2"/>
      <c r="U46" s="2"/>
    </row>
    <row r="47" spans="1:21" ht="15" x14ac:dyDescent="0.25">
      <c r="A47" s="2"/>
      <c r="B47" s="2"/>
      <c r="C47" s="2"/>
      <c r="D47" s="2"/>
      <c r="E47" s="2"/>
      <c r="F47" s="2"/>
      <c r="G47" s="2"/>
      <c r="H47" s="2"/>
      <c r="I47" s="2"/>
      <c r="J47" s="2"/>
      <c r="K47" s="2"/>
      <c r="L47" s="2"/>
      <c r="M47" s="2"/>
      <c r="N47" s="2"/>
      <c r="O47" s="2"/>
      <c r="P47" s="2"/>
      <c r="Q47" s="2"/>
      <c r="R47" s="2"/>
      <c r="S47" s="2"/>
      <c r="T47" s="2"/>
      <c r="U47" s="2"/>
    </row>
    <row r="48" spans="1:21" ht="15" x14ac:dyDescent="0.25">
      <c r="A48" s="2"/>
      <c r="B48" s="2"/>
      <c r="C48" s="2"/>
      <c r="D48" s="2"/>
      <c r="E48" s="2"/>
      <c r="F48" s="2"/>
      <c r="G48" s="2"/>
      <c r="H48" s="2"/>
      <c r="I48" s="2"/>
      <c r="J48" s="2"/>
      <c r="K48" s="2"/>
      <c r="L48" s="2"/>
      <c r="M48" s="2"/>
      <c r="N48" s="2"/>
      <c r="O48" s="2"/>
      <c r="P48" s="2"/>
      <c r="Q48" s="2"/>
      <c r="R48" s="2"/>
      <c r="S48" s="2"/>
      <c r="T48" s="2"/>
      <c r="U48" s="2"/>
    </row>
    <row r="49" spans="1:21" ht="15" x14ac:dyDescent="0.25">
      <c r="A49" s="2"/>
      <c r="B49" s="2"/>
      <c r="C49" s="2"/>
      <c r="D49" s="2"/>
      <c r="E49" s="2"/>
      <c r="F49" s="2"/>
      <c r="G49" s="2"/>
      <c r="H49" s="2"/>
      <c r="I49" s="2"/>
      <c r="J49" s="2"/>
      <c r="K49" s="2"/>
      <c r="L49" s="2"/>
      <c r="M49" s="2"/>
      <c r="N49" s="2"/>
      <c r="O49" s="2"/>
      <c r="P49" s="2"/>
      <c r="Q49" s="2"/>
      <c r="R49" s="2"/>
      <c r="S49" s="2"/>
      <c r="T49" s="2"/>
      <c r="U49" s="2"/>
    </row>
    <row r="50" spans="1:21" ht="15" x14ac:dyDescent="0.25">
      <c r="A50" s="2"/>
      <c r="B50" s="2"/>
      <c r="C50" s="2"/>
      <c r="D50" s="2"/>
      <c r="E50" s="2"/>
      <c r="F50" s="2"/>
      <c r="G50" s="2"/>
      <c r="H50" s="2"/>
      <c r="I50" s="2"/>
      <c r="J50" s="2"/>
      <c r="K50" s="2"/>
      <c r="L50" s="2"/>
      <c r="M50" s="2"/>
      <c r="N50" s="2"/>
      <c r="O50" s="2"/>
      <c r="P50" s="2"/>
      <c r="Q50" s="2"/>
      <c r="R50" s="2"/>
      <c r="S50" s="2"/>
      <c r="T50" s="2"/>
      <c r="U50" s="2"/>
    </row>
    <row r="51" spans="1:21" ht="15" x14ac:dyDescent="0.25">
      <c r="A51" s="2"/>
      <c r="B51" s="2"/>
      <c r="C51" s="2"/>
      <c r="D51" s="2"/>
      <c r="E51" s="2"/>
      <c r="F51" s="2"/>
      <c r="G51" s="2"/>
      <c r="H51" s="2"/>
      <c r="I51" s="2"/>
      <c r="J51" s="2"/>
      <c r="K51" s="2"/>
      <c r="L51" s="2"/>
      <c r="M51" s="2"/>
      <c r="N51" s="2"/>
      <c r="O51" s="2"/>
      <c r="P51" s="2"/>
      <c r="Q51" s="2"/>
      <c r="R51" s="2"/>
      <c r="S51" s="2"/>
      <c r="T51" s="2"/>
      <c r="U51" s="2"/>
    </row>
  </sheetData>
  <mergeCells count="21">
    <mergeCell ref="A34:D34"/>
    <mergeCell ref="A22:B22"/>
    <mergeCell ref="A23:B23"/>
    <mergeCell ref="A24:B24"/>
    <mergeCell ref="A25:B25"/>
    <mergeCell ref="A28:D28"/>
    <mergeCell ref="A32:D32"/>
    <mergeCell ref="A21:D21"/>
    <mergeCell ref="A7:D7"/>
    <mergeCell ref="A8:D8"/>
    <mergeCell ref="A9:D9"/>
    <mergeCell ref="A10:D10"/>
    <mergeCell ref="A12:B12"/>
    <mergeCell ref="A13:B13"/>
    <mergeCell ref="A14:D14"/>
    <mergeCell ref="A15:B15"/>
    <mergeCell ref="A16:B16"/>
    <mergeCell ref="A17:B17"/>
    <mergeCell ref="A18:B18"/>
    <mergeCell ref="A19:B19"/>
    <mergeCell ref="A20:B20"/>
  </mergeCells>
  <pageMargins left="0.70866141732283472" right="0.31496062992125984" top="0.55118110236220474" bottom="0.55118110236220474" header="0.31496062992125984" footer="0.31496062992125984"/>
  <pageSetup paperSize="9"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226C-51FA-4CE3-9117-BA973D1CA663}">
  <sheetPr>
    <pageSetUpPr fitToPage="1"/>
  </sheetPr>
  <dimension ref="A1:J44"/>
  <sheetViews>
    <sheetView tabSelected="1" zoomScale="90" zoomScaleNormal="90" zoomScaleSheetLayoutView="100" workbookViewId="0">
      <pane xSplit="3" ySplit="10" topLeftCell="D11" activePane="bottomRight" state="frozen"/>
      <selection pane="topRight" activeCell="D1" sqref="D1"/>
      <selection pane="bottomLeft" activeCell="A9" sqref="A9"/>
      <selection pane="bottomRight" activeCell="I26" sqref="I26"/>
    </sheetView>
  </sheetViews>
  <sheetFormatPr defaultColWidth="7.85546875" defaultRowHeight="22.5" customHeight="1" x14ac:dyDescent="0.2"/>
  <cols>
    <col min="1" max="1" width="14.140625" style="25" customWidth="1"/>
    <col min="2" max="2" width="15.28515625" style="24" customWidth="1"/>
    <col min="3" max="3" width="16" style="25" customWidth="1"/>
    <col min="4" max="4" width="52.5703125" style="25" customWidth="1"/>
    <col min="5" max="5" width="62.5703125" style="25" customWidth="1"/>
    <col min="6" max="6" width="22.5703125" style="25" customWidth="1"/>
    <col min="7" max="7" width="18.85546875" style="25" customWidth="1"/>
    <col min="8" max="8" width="18.7109375" style="25" customWidth="1"/>
    <col min="9" max="10" width="16.7109375" style="25" customWidth="1"/>
    <col min="11" max="11" width="6.85546875" style="25" customWidth="1"/>
    <col min="12" max="12" width="14" style="25" customWidth="1"/>
    <col min="13" max="249" width="7.85546875" style="25"/>
    <col min="250" max="250" width="12.42578125" style="25" customWidth="1"/>
    <col min="251" max="251" width="11.85546875" style="25" customWidth="1"/>
    <col min="252" max="252" width="13.7109375" style="25" customWidth="1"/>
    <col min="253" max="253" width="47.5703125" style="25" customWidth="1"/>
    <col min="254" max="254" width="42.42578125" style="25" customWidth="1"/>
    <col min="255" max="255" width="19.7109375" style="25" customWidth="1"/>
    <col min="256" max="256" width="20" style="25" customWidth="1"/>
    <col min="257" max="257" width="19.140625" style="25" customWidth="1"/>
    <col min="258" max="258" width="12.7109375" style="25" customWidth="1"/>
    <col min="259" max="505" width="7.85546875" style="25"/>
    <col min="506" max="506" width="12.42578125" style="25" customWidth="1"/>
    <col min="507" max="507" width="11.85546875" style="25" customWidth="1"/>
    <col min="508" max="508" width="13.7109375" style="25" customWidth="1"/>
    <col min="509" max="509" width="47.5703125" style="25" customWidth="1"/>
    <col min="510" max="510" width="42.42578125" style="25" customWidth="1"/>
    <col min="511" max="511" width="19.7109375" style="25" customWidth="1"/>
    <col min="512" max="512" width="20" style="25" customWidth="1"/>
    <col min="513" max="513" width="19.140625" style="25" customWidth="1"/>
    <col min="514" max="514" width="12.7109375" style="25" customWidth="1"/>
    <col min="515" max="761" width="7.85546875" style="25"/>
    <col min="762" max="762" width="12.42578125" style="25" customWidth="1"/>
    <col min="763" max="763" width="11.85546875" style="25" customWidth="1"/>
    <col min="764" max="764" width="13.7109375" style="25" customWidth="1"/>
    <col min="765" max="765" width="47.5703125" style="25" customWidth="1"/>
    <col min="766" max="766" width="42.42578125" style="25" customWidth="1"/>
    <col min="767" max="767" width="19.7109375" style="25" customWidth="1"/>
    <col min="768" max="768" width="20" style="25" customWidth="1"/>
    <col min="769" max="769" width="19.140625" style="25" customWidth="1"/>
    <col min="770" max="770" width="12.7109375" style="25" customWidth="1"/>
    <col min="771" max="1017" width="7.85546875" style="25"/>
    <col min="1018" max="1018" width="12.42578125" style="25" customWidth="1"/>
    <col min="1019" max="1019" width="11.85546875" style="25" customWidth="1"/>
    <col min="1020" max="1020" width="13.7109375" style="25" customWidth="1"/>
    <col min="1021" max="1021" width="47.5703125" style="25" customWidth="1"/>
    <col min="1022" max="1022" width="42.42578125" style="25" customWidth="1"/>
    <col min="1023" max="1023" width="19.7109375" style="25" customWidth="1"/>
    <col min="1024" max="1024" width="20" style="25" customWidth="1"/>
    <col min="1025" max="1025" width="19.140625" style="25" customWidth="1"/>
    <col min="1026" max="1026" width="12.7109375" style="25" customWidth="1"/>
    <col min="1027" max="1273" width="7.85546875" style="25"/>
    <col min="1274" max="1274" width="12.42578125" style="25" customWidth="1"/>
    <col min="1275" max="1275" width="11.85546875" style="25" customWidth="1"/>
    <col min="1276" max="1276" width="13.7109375" style="25" customWidth="1"/>
    <col min="1277" max="1277" width="47.5703125" style="25" customWidth="1"/>
    <col min="1278" max="1278" width="42.42578125" style="25" customWidth="1"/>
    <col min="1279" max="1279" width="19.7109375" style="25" customWidth="1"/>
    <col min="1280" max="1280" width="20" style="25" customWidth="1"/>
    <col min="1281" max="1281" width="19.140625" style="25" customWidth="1"/>
    <col min="1282" max="1282" width="12.7109375" style="25" customWidth="1"/>
    <col min="1283" max="1529" width="7.85546875" style="25"/>
    <col min="1530" max="1530" width="12.42578125" style="25" customWidth="1"/>
    <col min="1531" max="1531" width="11.85546875" style="25" customWidth="1"/>
    <col min="1532" max="1532" width="13.7109375" style="25" customWidth="1"/>
    <col min="1533" max="1533" width="47.5703125" style="25" customWidth="1"/>
    <col min="1534" max="1534" width="42.42578125" style="25" customWidth="1"/>
    <col min="1535" max="1535" width="19.7109375" style="25" customWidth="1"/>
    <col min="1536" max="1536" width="20" style="25" customWidth="1"/>
    <col min="1537" max="1537" width="19.140625" style="25" customWidth="1"/>
    <col min="1538" max="1538" width="12.7109375" style="25" customWidth="1"/>
    <col min="1539" max="1785" width="7.85546875" style="25"/>
    <col min="1786" max="1786" width="12.42578125" style="25" customWidth="1"/>
    <col min="1787" max="1787" width="11.85546875" style="25" customWidth="1"/>
    <col min="1788" max="1788" width="13.7109375" style="25" customWidth="1"/>
    <col min="1789" max="1789" width="47.5703125" style="25" customWidth="1"/>
    <col min="1790" max="1790" width="42.42578125" style="25" customWidth="1"/>
    <col min="1791" max="1791" width="19.7109375" style="25" customWidth="1"/>
    <col min="1792" max="1792" width="20" style="25" customWidth="1"/>
    <col min="1793" max="1793" width="19.140625" style="25" customWidth="1"/>
    <col min="1794" max="1794" width="12.7109375" style="25" customWidth="1"/>
    <col min="1795" max="2041" width="7.85546875" style="25"/>
    <col min="2042" max="2042" width="12.42578125" style="25" customWidth="1"/>
    <col min="2043" max="2043" width="11.85546875" style="25" customWidth="1"/>
    <col min="2044" max="2044" width="13.7109375" style="25" customWidth="1"/>
    <col min="2045" max="2045" width="47.5703125" style="25" customWidth="1"/>
    <col min="2046" max="2046" width="42.42578125" style="25" customWidth="1"/>
    <col min="2047" max="2047" width="19.7109375" style="25" customWidth="1"/>
    <col min="2048" max="2048" width="20" style="25" customWidth="1"/>
    <col min="2049" max="2049" width="19.140625" style="25" customWidth="1"/>
    <col min="2050" max="2050" width="12.7109375" style="25" customWidth="1"/>
    <col min="2051" max="2297" width="7.85546875" style="25"/>
    <col min="2298" max="2298" width="12.42578125" style="25" customWidth="1"/>
    <col min="2299" max="2299" width="11.85546875" style="25" customWidth="1"/>
    <col min="2300" max="2300" width="13.7109375" style="25" customWidth="1"/>
    <col min="2301" max="2301" width="47.5703125" style="25" customWidth="1"/>
    <col min="2302" max="2302" width="42.42578125" style="25" customWidth="1"/>
    <col min="2303" max="2303" width="19.7109375" style="25" customWidth="1"/>
    <col min="2304" max="2304" width="20" style="25" customWidth="1"/>
    <col min="2305" max="2305" width="19.140625" style="25" customWidth="1"/>
    <col min="2306" max="2306" width="12.7109375" style="25" customWidth="1"/>
    <col min="2307" max="2553" width="7.85546875" style="25"/>
    <col min="2554" max="2554" width="12.42578125" style="25" customWidth="1"/>
    <col min="2555" max="2555" width="11.85546875" style="25" customWidth="1"/>
    <col min="2556" max="2556" width="13.7109375" style="25" customWidth="1"/>
    <col min="2557" max="2557" width="47.5703125" style="25" customWidth="1"/>
    <col min="2558" max="2558" width="42.42578125" style="25" customWidth="1"/>
    <col min="2559" max="2559" width="19.7109375" style="25" customWidth="1"/>
    <col min="2560" max="2560" width="20" style="25" customWidth="1"/>
    <col min="2561" max="2561" width="19.140625" style="25" customWidth="1"/>
    <col min="2562" max="2562" width="12.7109375" style="25" customWidth="1"/>
    <col min="2563" max="2809" width="7.85546875" style="25"/>
    <col min="2810" max="2810" width="12.42578125" style="25" customWidth="1"/>
    <col min="2811" max="2811" width="11.85546875" style="25" customWidth="1"/>
    <col min="2812" max="2812" width="13.7109375" style="25" customWidth="1"/>
    <col min="2813" max="2813" width="47.5703125" style="25" customWidth="1"/>
    <col min="2814" max="2814" width="42.42578125" style="25" customWidth="1"/>
    <col min="2815" max="2815" width="19.7109375" style="25" customWidth="1"/>
    <col min="2816" max="2816" width="20" style="25" customWidth="1"/>
    <col min="2817" max="2817" width="19.140625" style="25" customWidth="1"/>
    <col min="2818" max="2818" width="12.7109375" style="25" customWidth="1"/>
    <col min="2819" max="3065" width="7.85546875" style="25"/>
    <col min="3066" max="3066" width="12.42578125" style="25" customWidth="1"/>
    <col min="3067" max="3067" width="11.85546875" style="25" customWidth="1"/>
    <col min="3068" max="3068" width="13.7109375" style="25" customWidth="1"/>
    <col min="3069" max="3069" width="47.5703125" style="25" customWidth="1"/>
    <col min="3070" max="3070" width="42.42578125" style="25" customWidth="1"/>
    <col min="3071" max="3071" width="19.7109375" style="25" customWidth="1"/>
    <col min="3072" max="3072" width="20" style="25" customWidth="1"/>
    <col min="3073" max="3073" width="19.140625" style="25" customWidth="1"/>
    <col min="3074" max="3074" width="12.7109375" style="25" customWidth="1"/>
    <col min="3075" max="3321" width="7.85546875" style="25"/>
    <col min="3322" max="3322" width="12.42578125" style="25" customWidth="1"/>
    <col min="3323" max="3323" width="11.85546875" style="25" customWidth="1"/>
    <col min="3324" max="3324" width="13.7109375" style="25" customWidth="1"/>
    <col min="3325" max="3325" width="47.5703125" style="25" customWidth="1"/>
    <col min="3326" max="3326" width="42.42578125" style="25" customWidth="1"/>
    <col min="3327" max="3327" width="19.7109375" style="25" customWidth="1"/>
    <col min="3328" max="3328" width="20" style="25" customWidth="1"/>
    <col min="3329" max="3329" width="19.140625" style="25" customWidth="1"/>
    <col min="3330" max="3330" width="12.7109375" style="25" customWidth="1"/>
    <col min="3331" max="3577" width="7.85546875" style="25"/>
    <col min="3578" max="3578" width="12.42578125" style="25" customWidth="1"/>
    <col min="3579" max="3579" width="11.85546875" style="25" customWidth="1"/>
    <col min="3580" max="3580" width="13.7109375" style="25" customWidth="1"/>
    <col min="3581" max="3581" width="47.5703125" style="25" customWidth="1"/>
    <col min="3582" max="3582" width="42.42578125" style="25" customWidth="1"/>
    <col min="3583" max="3583" width="19.7109375" style="25" customWidth="1"/>
    <col min="3584" max="3584" width="20" style="25" customWidth="1"/>
    <col min="3585" max="3585" width="19.140625" style="25" customWidth="1"/>
    <col min="3586" max="3586" width="12.7109375" style="25" customWidth="1"/>
    <col min="3587" max="3833" width="7.85546875" style="25"/>
    <col min="3834" max="3834" width="12.42578125" style="25" customWidth="1"/>
    <col min="3835" max="3835" width="11.85546875" style="25" customWidth="1"/>
    <col min="3836" max="3836" width="13.7109375" style="25" customWidth="1"/>
    <col min="3837" max="3837" width="47.5703125" style="25" customWidth="1"/>
    <col min="3838" max="3838" width="42.42578125" style="25" customWidth="1"/>
    <col min="3839" max="3839" width="19.7109375" style="25" customWidth="1"/>
    <col min="3840" max="3840" width="20" style="25" customWidth="1"/>
    <col min="3841" max="3841" width="19.140625" style="25" customWidth="1"/>
    <col min="3842" max="3842" width="12.7109375" style="25" customWidth="1"/>
    <col min="3843" max="4089" width="7.85546875" style="25"/>
    <col min="4090" max="4090" width="12.42578125" style="25" customWidth="1"/>
    <col min="4091" max="4091" width="11.85546875" style="25" customWidth="1"/>
    <col min="4092" max="4092" width="13.7109375" style="25" customWidth="1"/>
    <col min="4093" max="4093" width="47.5703125" style="25" customWidth="1"/>
    <col min="4094" max="4094" width="42.42578125" style="25" customWidth="1"/>
    <col min="4095" max="4095" width="19.7109375" style="25" customWidth="1"/>
    <col min="4096" max="4096" width="20" style="25" customWidth="1"/>
    <col min="4097" max="4097" width="19.140625" style="25" customWidth="1"/>
    <col min="4098" max="4098" width="12.7109375" style="25" customWidth="1"/>
    <col min="4099" max="4345" width="7.85546875" style="25"/>
    <col min="4346" max="4346" width="12.42578125" style="25" customWidth="1"/>
    <col min="4347" max="4347" width="11.85546875" style="25" customWidth="1"/>
    <col min="4348" max="4348" width="13.7109375" style="25" customWidth="1"/>
    <col min="4349" max="4349" width="47.5703125" style="25" customWidth="1"/>
    <col min="4350" max="4350" width="42.42578125" style="25" customWidth="1"/>
    <col min="4351" max="4351" width="19.7109375" style="25" customWidth="1"/>
    <col min="4352" max="4352" width="20" style="25" customWidth="1"/>
    <col min="4353" max="4353" width="19.140625" style="25" customWidth="1"/>
    <col min="4354" max="4354" width="12.7109375" style="25" customWidth="1"/>
    <col min="4355" max="4601" width="7.85546875" style="25"/>
    <col min="4602" max="4602" width="12.42578125" style="25" customWidth="1"/>
    <col min="4603" max="4603" width="11.85546875" style="25" customWidth="1"/>
    <col min="4604" max="4604" width="13.7109375" style="25" customWidth="1"/>
    <col min="4605" max="4605" width="47.5703125" style="25" customWidth="1"/>
    <col min="4606" max="4606" width="42.42578125" style="25" customWidth="1"/>
    <col min="4607" max="4607" width="19.7109375" style="25" customWidth="1"/>
    <col min="4608" max="4608" width="20" style="25" customWidth="1"/>
    <col min="4609" max="4609" width="19.140625" style="25" customWidth="1"/>
    <col min="4610" max="4610" width="12.7109375" style="25" customWidth="1"/>
    <col min="4611" max="4857" width="7.85546875" style="25"/>
    <col min="4858" max="4858" width="12.42578125" style="25" customWidth="1"/>
    <col min="4859" max="4859" width="11.85546875" style="25" customWidth="1"/>
    <col min="4860" max="4860" width="13.7109375" style="25" customWidth="1"/>
    <col min="4861" max="4861" width="47.5703125" style="25" customWidth="1"/>
    <col min="4862" max="4862" width="42.42578125" style="25" customWidth="1"/>
    <col min="4863" max="4863" width="19.7109375" style="25" customWidth="1"/>
    <col min="4864" max="4864" width="20" style="25" customWidth="1"/>
    <col min="4865" max="4865" width="19.140625" style="25" customWidth="1"/>
    <col min="4866" max="4866" width="12.7109375" style="25" customWidth="1"/>
    <col min="4867" max="5113" width="7.85546875" style="25"/>
    <col min="5114" max="5114" width="12.42578125" style="25" customWidth="1"/>
    <col min="5115" max="5115" width="11.85546875" style="25" customWidth="1"/>
    <col min="5116" max="5116" width="13.7109375" style="25" customWidth="1"/>
    <col min="5117" max="5117" width="47.5703125" style="25" customWidth="1"/>
    <col min="5118" max="5118" width="42.42578125" style="25" customWidth="1"/>
    <col min="5119" max="5119" width="19.7109375" style="25" customWidth="1"/>
    <col min="5120" max="5120" width="20" style="25" customWidth="1"/>
    <col min="5121" max="5121" width="19.140625" style="25" customWidth="1"/>
    <col min="5122" max="5122" width="12.7109375" style="25" customWidth="1"/>
    <col min="5123" max="5369" width="7.85546875" style="25"/>
    <col min="5370" max="5370" width="12.42578125" style="25" customWidth="1"/>
    <col min="5371" max="5371" width="11.85546875" style="25" customWidth="1"/>
    <col min="5372" max="5372" width="13.7109375" style="25" customWidth="1"/>
    <col min="5373" max="5373" width="47.5703125" style="25" customWidth="1"/>
    <col min="5374" max="5374" width="42.42578125" style="25" customWidth="1"/>
    <col min="5375" max="5375" width="19.7109375" style="25" customWidth="1"/>
    <col min="5376" max="5376" width="20" style="25" customWidth="1"/>
    <col min="5377" max="5377" width="19.140625" style="25" customWidth="1"/>
    <col min="5378" max="5378" width="12.7109375" style="25" customWidth="1"/>
    <col min="5379" max="5625" width="7.85546875" style="25"/>
    <col min="5626" max="5626" width="12.42578125" style="25" customWidth="1"/>
    <col min="5627" max="5627" width="11.85546875" style="25" customWidth="1"/>
    <col min="5628" max="5628" width="13.7109375" style="25" customWidth="1"/>
    <col min="5629" max="5629" width="47.5703125" style="25" customWidth="1"/>
    <col min="5630" max="5630" width="42.42578125" style="25" customWidth="1"/>
    <col min="5631" max="5631" width="19.7109375" style="25" customWidth="1"/>
    <col min="5632" max="5632" width="20" style="25" customWidth="1"/>
    <col min="5633" max="5633" width="19.140625" style="25" customWidth="1"/>
    <col min="5634" max="5634" width="12.7109375" style="25" customWidth="1"/>
    <col min="5635" max="5881" width="7.85546875" style="25"/>
    <col min="5882" max="5882" width="12.42578125" style="25" customWidth="1"/>
    <col min="5883" max="5883" width="11.85546875" style="25" customWidth="1"/>
    <col min="5884" max="5884" width="13.7109375" style="25" customWidth="1"/>
    <col min="5885" max="5885" width="47.5703125" style="25" customWidth="1"/>
    <col min="5886" max="5886" width="42.42578125" style="25" customWidth="1"/>
    <col min="5887" max="5887" width="19.7109375" style="25" customWidth="1"/>
    <col min="5888" max="5888" width="20" style="25" customWidth="1"/>
    <col min="5889" max="5889" width="19.140625" style="25" customWidth="1"/>
    <col min="5890" max="5890" width="12.7109375" style="25" customWidth="1"/>
    <col min="5891" max="6137" width="7.85546875" style="25"/>
    <col min="6138" max="6138" width="12.42578125" style="25" customWidth="1"/>
    <col min="6139" max="6139" width="11.85546875" style="25" customWidth="1"/>
    <col min="6140" max="6140" width="13.7109375" style="25" customWidth="1"/>
    <col min="6141" max="6141" width="47.5703125" style="25" customWidth="1"/>
    <col min="6142" max="6142" width="42.42578125" style="25" customWidth="1"/>
    <col min="6143" max="6143" width="19.7109375" style="25" customWidth="1"/>
    <col min="6144" max="6144" width="20" style="25" customWidth="1"/>
    <col min="6145" max="6145" width="19.140625" style="25" customWidth="1"/>
    <col min="6146" max="6146" width="12.7109375" style="25" customWidth="1"/>
    <col min="6147" max="6393" width="7.85546875" style="25"/>
    <col min="6394" max="6394" width="12.42578125" style="25" customWidth="1"/>
    <col min="6395" max="6395" width="11.85546875" style="25" customWidth="1"/>
    <col min="6396" max="6396" width="13.7109375" style="25" customWidth="1"/>
    <col min="6397" max="6397" width="47.5703125" style="25" customWidth="1"/>
    <col min="6398" max="6398" width="42.42578125" style="25" customWidth="1"/>
    <col min="6399" max="6399" width="19.7109375" style="25" customWidth="1"/>
    <col min="6400" max="6400" width="20" style="25" customWidth="1"/>
    <col min="6401" max="6401" width="19.140625" style="25" customWidth="1"/>
    <col min="6402" max="6402" width="12.7109375" style="25" customWidth="1"/>
    <col min="6403" max="6649" width="7.85546875" style="25"/>
    <col min="6650" max="6650" width="12.42578125" style="25" customWidth="1"/>
    <col min="6651" max="6651" width="11.85546875" style="25" customWidth="1"/>
    <col min="6652" max="6652" width="13.7109375" style="25" customWidth="1"/>
    <col min="6653" max="6653" width="47.5703125" style="25" customWidth="1"/>
    <col min="6654" max="6654" width="42.42578125" style="25" customWidth="1"/>
    <col min="6655" max="6655" width="19.7109375" style="25" customWidth="1"/>
    <col min="6656" max="6656" width="20" style="25" customWidth="1"/>
    <col min="6657" max="6657" width="19.140625" style="25" customWidth="1"/>
    <col min="6658" max="6658" width="12.7109375" style="25" customWidth="1"/>
    <col min="6659" max="6905" width="7.85546875" style="25"/>
    <col min="6906" max="6906" width="12.42578125" style="25" customWidth="1"/>
    <col min="6907" max="6907" width="11.85546875" style="25" customWidth="1"/>
    <col min="6908" max="6908" width="13.7109375" style="25" customWidth="1"/>
    <col min="6909" max="6909" width="47.5703125" style="25" customWidth="1"/>
    <col min="6910" max="6910" width="42.42578125" style="25" customWidth="1"/>
    <col min="6911" max="6911" width="19.7109375" style="25" customWidth="1"/>
    <col min="6912" max="6912" width="20" style="25" customWidth="1"/>
    <col min="6913" max="6913" width="19.140625" style="25" customWidth="1"/>
    <col min="6914" max="6914" width="12.7109375" style="25" customWidth="1"/>
    <col min="6915" max="7161" width="7.85546875" style="25"/>
    <col min="7162" max="7162" width="12.42578125" style="25" customWidth="1"/>
    <col min="7163" max="7163" width="11.85546875" style="25" customWidth="1"/>
    <col min="7164" max="7164" width="13.7109375" style="25" customWidth="1"/>
    <col min="7165" max="7165" width="47.5703125" style="25" customWidth="1"/>
    <col min="7166" max="7166" width="42.42578125" style="25" customWidth="1"/>
    <col min="7167" max="7167" width="19.7109375" style="25" customWidth="1"/>
    <col min="7168" max="7168" width="20" style="25" customWidth="1"/>
    <col min="7169" max="7169" width="19.140625" style="25" customWidth="1"/>
    <col min="7170" max="7170" width="12.7109375" style="25" customWidth="1"/>
    <col min="7171" max="7417" width="7.85546875" style="25"/>
    <col min="7418" max="7418" width="12.42578125" style="25" customWidth="1"/>
    <col min="7419" max="7419" width="11.85546875" style="25" customWidth="1"/>
    <col min="7420" max="7420" width="13.7109375" style="25" customWidth="1"/>
    <col min="7421" max="7421" width="47.5703125" style="25" customWidth="1"/>
    <col min="7422" max="7422" width="42.42578125" style="25" customWidth="1"/>
    <col min="7423" max="7423" width="19.7109375" style="25" customWidth="1"/>
    <col min="7424" max="7424" width="20" style="25" customWidth="1"/>
    <col min="7425" max="7425" width="19.140625" style="25" customWidth="1"/>
    <col min="7426" max="7426" width="12.7109375" style="25" customWidth="1"/>
    <col min="7427" max="7673" width="7.85546875" style="25"/>
    <col min="7674" max="7674" width="12.42578125" style="25" customWidth="1"/>
    <col min="7675" max="7675" width="11.85546875" style="25" customWidth="1"/>
    <col min="7676" max="7676" width="13.7109375" style="25" customWidth="1"/>
    <col min="7677" max="7677" width="47.5703125" style="25" customWidth="1"/>
    <col min="7678" max="7678" width="42.42578125" style="25" customWidth="1"/>
    <col min="7679" max="7679" width="19.7109375" style="25" customWidth="1"/>
    <col min="7680" max="7680" width="20" style="25" customWidth="1"/>
    <col min="7681" max="7681" width="19.140625" style="25" customWidth="1"/>
    <col min="7682" max="7682" width="12.7109375" style="25" customWidth="1"/>
    <col min="7683" max="7929" width="7.85546875" style="25"/>
    <col min="7930" max="7930" width="12.42578125" style="25" customWidth="1"/>
    <col min="7931" max="7931" width="11.85546875" style="25" customWidth="1"/>
    <col min="7932" max="7932" width="13.7109375" style="25" customWidth="1"/>
    <col min="7933" max="7933" width="47.5703125" style="25" customWidth="1"/>
    <col min="7934" max="7934" width="42.42578125" style="25" customWidth="1"/>
    <col min="7935" max="7935" width="19.7109375" style="25" customWidth="1"/>
    <col min="7936" max="7936" width="20" style="25" customWidth="1"/>
    <col min="7937" max="7937" width="19.140625" style="25" customWidth="1"/>
    <col min="7938" max="7938" width="12.7109375" style="25" customWidth="1"/>
    <col min="7939" max="8185" width="7.85546875" style="25"/>
    <col min="8186" max="8186" width="12.42578125" style="25" customWidth="1"/>
    <col min="8187" max="8187" width="11.85546875" style="25" customWidth="1"/>
    <col min="8188" max="8188" width="13.7109375" style="25" customWidth="1"/>
    <col min="8189" max="8189" width="47.5703125" style="25" customWidth="1"/>
    <col min="8190" max="8190" width="42.42578125" style="25" customWidth="1"/>
    <col min="8191" max="8191" width="19.7109375" style="25" customWidth="1"/>
    <col min="8192" max="8192" width="20" style="25" customWidth="1"/>
    <col min="8193" max="8193" width="19.140625" style="25" customWidth="1"/>
    <col min="8194" max="8194" width="12.7109375" style="25" customWidth="1"/>
    <col min="8195" max="8441" width="7.85546875" style="25"/>
    <col min="8442" max="8442" width="12.42578125" style="25" customWidth="1"/>
    <col min="8443" max="8443" width="11.85546875" style="25" customWidth="1"/>
    <col min="8444" max="8444" width="13.7109375" style="25" customWidth="1"/>
    <col min="8445" max="8445" width="47.5703125" style="25" customWidth="1"/>
    <col min="8446" max="8446" width="42.42578125" style="25" customWidth="1"/>
    <col min="8447" max="8447" width="19.7109375" style="25" customWidth="1"/>
    <col min="8448" max="8448" width="20" style="25" customWidth="1"/>
    <col min="8449" max="8449" width="19.140625" style="25" customWidth="1"/>
    <col min="8450" max="8450" width="12.7109375" style="25" customWidth="1"/>
    <col min="8451" max="8697" width="7.85546875" style="25"/>
    <col min="8698" max="8698" width="12.42578125" style="25" customWidth="1"/>
    <col min="8699" max="8699" width="11.85546875" style="25" customWidth="1"/>
    <col min="8700" max="8700" width="13.7109375" style="25" customWidth="1"/>
    <col min="8701" max="8701" width="47.5703125" style="25" customWidth="1"/>
    <col min="8702" max="8702" width="42.42578125" style="25" customWidth="1"/>
    <col min="8703" max="8703" width="19.7109375" style="25" customWidth="1"/>
    <col min="8704" max="8704" width="20" style="25" customWidth="1"/>
    <col min="8705" max="8705" width="19.140625" style="25" customWidth="1"/>
    <col min="8706" max="8706" width="12.7109375" style="25" customWidth="1"/>
    <col min="8707" max="8953" width="7.85546875" style="25"/>
    <col min="8954" max="8954" width="12.42578125" style="25" customWidth="1"/>
    <col min="8955" max="8955" width="11.85546875" style="25" customWidth="1"/>
    <col min="8956" max="8956" width="13.7109375" style="25" customWidth="1"/>
    <col min="8957" max="8957" width="47.5703125" style="25" customWidth="1"/>
    <col min="8958" max="8958" width="42.42578125" style="25" customWidth="1"/>
    <col min="8959" max="8959" width="19.7109375" style="25" customWidth="1"/>
    <col min="8960" max="8960" width="20" style="25" customWidth="1"/>
    <col min="8961" max="8961" width="19.140625" style="25" customWidth="1"/>
    <col min="8962" max="8962" width="12.7109375" style="25" customWidth="1"/>
    <col min="8963" max="9209" width="7.85546875" style="25"/>
    <col min="9210" max="9210" width="12.42578125" style="25" customWidth="1"/>
    <col min="9211" max="9211" width="11.85546875" style="25" customWidth="1"/>
    <col min="9212" max="9212" width="13.7109375" style="25" customWidth="1"/>
    <col min="9213" max="9213" width="47.5703125" style="25" customWidth="1"/>
    <col min="9214" max="9214" width="42.42578125" style="25" customWidth="1"/>
    <col min="9215" max="9215" width="19.7109375" style="25" customWidth="1"/>
    <col min="9216" max="9216" width="20" style="25" customWidth="1"/>
    <col min="9217" max="9217" width="19.140625" style="25" customWidth="1"/>
    <col min="9218" max="9218" width="12.7109375" style="25" customWidth="1"/>
    <col min="9219" max="9465" width="7.85546875" style="25"/>
    <col min="9466" max="9466" width="12.42578125" style="25" customWidth="1"/>
    <col min="9467" max="9467" width="11.85546875" style="25" customWidth="1"/>
    <col min="9468" max="9468" width="13.7109375" style="25" customWidth="1"/>
    <col min="9469" max="9469" width="47.5703125" style="25" customWidth="1"/>
    <col min="9470" max="9470" width="42.42578125" style="25" customWidth="1"/>
    <col min="9471" max="9471" width="19.7109375" style="25" customWidth="1"/>
    <col min="9472" max="9472" width="20" style="25" customWidth="1"/>
    <col min="9473" max="9473" width="19.140625" style="25" customWidth="1"/>
    <col min="9474" max="9474" width="12.7109375" style="25" customWidth="1"/>
    <col min="9475" max="9721" width="7.85546875" style="25"/>
    <col min="9722" max="9722" width="12.42578125" style="25" customWidth="1"/>
    <col min="9723" max="9723" width="11.85546875" style="25" customWidth="1"/>
    <col min="9724" max="9724" width="13.7109375" style="25" customWidth="1"/>
    <col min="9725" max="9725" width="47.5703125" style="25" customWidth="1"/>
    <col min="9726" max="9726" width="42.42578125" style="25" customWidth="1"/>
    <col min="9727" max="9727" width="19.7109375" style="25" customWidth="1"/>
    <col min="9728" max="9728" width="20" style="25" customWidth="1"/>
    <col min="9729" max="9729" width="19.140625" style="25" customWidth="1"/>
    <col min="9730" max="9730" width="12.7109375" style="25" customWidth="1"/>
    <col min="9731" max="9977" width="7.85546875" style="25"/>
    <col min="9978" max="9978" width="12.42578125" style="25" customWidth="1"/>
    <col min="9979" max="9979" width="11.85546875" style="25" customWidth="1"/>
    <col min="9980" max="9980" width="13.7109375" style="25" customWidth="1"/>
    <col min="9981" max="9981" width="47.5703125" style="25" customWidth="1"/>
    <col min="9982" max="9982" width="42.42578125" style="25" customWidth="1"/>
    <col min="9983" max="9983" width="19.7109375" style="25" customWidth="1"/>
    <col min="9984" max="9984" width="20" style="25" customWidth="1"/>
    <col min="9985" max="9985" width="19.140625" style="25" customWidth="1"/>
    <col min="9986" max="9986" width="12.7109375" style="25" customWidth="1"/>
    <col min="9987" max="10233" width="7.85546875" style="25"/>
    <col min="10234" max="10234" width="12.42578125" style="25" customWidth="1"/>
    <col min="10235" max="10235" width="11.85546875" style="25" customWidth="1"/>
    <col min="10236" max="10236" width="13.7109375" style="25" customWidth="1"/>
    <col min="10237" max="10237" width="47.5703125" style="25" customWidth="1"/>
    <col min="10238" max="10238" width="42.42578125" style="25" customWidth="1"/>
    <col min="10239" max="10239" width="19.7109375" style="25" customWidth="1"/>
    <col min="10240" max="10240" width="20" style="25" customWidth="1"/>
    <col min="10241" max="10241" width="19.140625" style="25" customWidth="1"/>
    <col min="10242" max="10242" width="12.7109375" style="25" customWidth="1"/>
    <col min="10243" max="10489" width="7.85546875" style="25"/>
    <col min="10490" max="10490" width="12.42578125" style="25" customWidth="1"/>
    <col min="10491" max="10491" width="11.85546875" style="25" customWidth="1"/>
    <col min="10492" max="10492" width="13.7109375" style="25" customWidth="1"/>
    <col min="10493" max="10493" width="47.5703125" style="25" customWidth="1"/>
    <col min="10494" max="10494" width="42.42578125" style="25" customWidth="1"/>
    <col min="10495" max="10495" width="19.7109375" style="25" customWidth="1"/>
    <col min="10496" max="10496" width="20" style="25" customWidth="1"/>
    <col min="10497" max="10497" width="19.140625" style="25" customWidth="1"/>
    <col min="10498" max="10498" width="12.7109375" style="25" customWidth="1"/>
    <col min="10499" max="10745" width="7.85546875" style="25"/>
    <col min="10746" max="10746" width="12.42578125" style="25" customWidth="1"/>
    <col min="10747" max="10747" width="11.85546875" style="25" customWidth="1"/>
    <col min="10748" max="10748" width="13.7109375" style="25" customWidth="1"/>
    <col min="10749" max="10749" width="47.5703125" style="25" customWidth="1"/>
    <col min="10750" max="10750" width="42.42578125" style="25" customWidth="1"/>
    <col min="10751" max="10751" width="19.7109375" style="25" customWidth="1"/>
    <col min="10752" max="10752" width="20" style="25" customWidth="1"/>
    <col min="10753" max="10753" width="19.140625" style="25" customWidth="1"/>
    <col min="10754" max="10754" width="12.7109375" style="25" customWidth="1"/>
    <col min="10755" max="11001" width="7.85546875" style="25"/>
    <col min="11002" max="11002" width="12.42578125" style="25" customWidth="1"/>
    <col min="11003" max="11003" width="11.85546875" style="25" customWidth="1"/>
    <col min="11004" max="11004" width="13.7109375" style="25" customWidth="1"/>
    <col min="11005" max="11005" width="47.5703125" style="25" customWidth="1"/>
    <col min="11006" max="11006" width="42.42578125" style="25" customWidth="1"/>
    <col min="11007" max="11007" width="19.7109375" style="25" customWidth="1"/>
    <col min="11008" max="11008" width="20" style="25" customWidth="1"/>
    <col min="11009" max="11009" width="19.140625" style="25" customWidth="1"/>
    <col min="11010" max="11010" width="12.7109375" style="25" customWidth="1"/>
    <col min="11011" max="11257" width="7.85546875" style="25"/>
    <col min="11258" max="11258" width="12.42578125" style="25" customWidth="1"/>
    <col min="11259" max="11259" width="11.85546875" style="25" customWidth="1"/>
    <col min="11260" max="11260" width="13.7109375" style="25" customWidth="1"/>
    <col min="11261" max="11261" width="47.5703125" style="25" customWidth="1"/>
    <col min="11262" max="11262" width="42.42578125" style="25" customWidth="1"/>
    <col min="11263" max="11263" width="19.7109375" style="25" customWidth="1"/>
    <col min="11264" max="11264" width="20" style="25" customWidth="1"/>
    <col min="11265" max="11265" width="19.140625" style="25" customWidth="1"/>
    <col min="11266" max="11266" width="12.7109375" style="25" customWidth="1"/>
    <col min="11267" max="11513" width="7.85546875" style="25"/>
    <col min="11514" max="11514" width="12.42578125" style="25" customWidth="1"/>
    <col min="11515" max="11515" width="11.85546875" style="25" customWidth="1"/>
    <col min="11516" max="11516" width="13.7109375" style="25" customWidth="1"/>
    <col min="11517" max="11517" width="47.5703125" style="25" customWidth="1"/>
    <col min="11518" max="11518" width="42.42578125" style="25" customWidth="1"/>
    <col min="11519" max="11519" width="19.7109375" style="25" customWidth="1"/>
    <col min="11520" max="11520" width="20" style="25" customWidth="1"/>
    <col min="11521" max="11521" width="19.140625" style="25" customWidth="1"/>
    <col min="11522" max="11522" width="12.7109375" style="25" customWidth="1"/>
    <col min="11523" max="11769" width="7.85546875" style="25"/>
    <col min="11770" max="11770" width="12.42578125" style="25" customWidth="1"/>
    <col min="11771" max="11771" width="11.85546875" style="25" customWidth="1"/>
    <col min="11772" max="11772" width="13.7109375" style="25" customWidth="1"/>
    <col min="11773" max="11773" width="47.5703125" style="25" customWidth="1"/>
    <col min="11774" max="11774" width="42.42578125" style="25" customWidth="1"/>
    <col min="11775" max="11775" width="19.7109375" style="25" customWidth="1"/>
    <col min="11776" max="11776" width="20" style="25" customWidth="1"/>
    <col min="11777" max="11777" width="19.140625" style="25" customWidth="1"/>
    <col min="11778" max="11778" width="12.7109375" style="25" customWidth="1"/>
    <col min="11779" max="12025" width="7.85546875" style="25"/>
    <col min="12026" max="12026" width="12.42578125" style="25" customWidth="1"/>
    <col min="12027" max="12027" width="11.85546875" style="25" customWidth="1"/>
    <col min="12028" max="12028" width="13.7109375" style="25" customWidth="1"/>
    <col min="12029" max="12029" width="47.5703125" style="25" customWidth="1"/>
    <col min="12030" max="12030" width="42.42578125" style="25" customWidth="1"/>
    <col min="12031" max="12031" width="19.7109375" style="25" customWidth="1"/>
    <col min="12032" max="12032" width="20" style="25" customWidth="1"/>
    <col min="12033" max="12033" width="19.140625" style="25" customWidth="1"/>
    <col min="12034" max="12034" width="12.7109375" style="25" customWidth="1"/>
    <col min="12035" max="12281" width="7.85546875" style="25"/>
    <col min="12282" max="12282" width="12.42578125" style="25" customWidth="1"/>
    <col min="12283" max="12283" width="11.85546875" style="25" customWidth="1"/>
    <col min="12284" max="12284" width="13.7109375" style="25" customWidth="1"/>
    <col min="12285" max="12285" width="47.5703125" style="25" customWidth="1"/>
    <col min="12286" max="12286" width="42.42578125" style="25" customWidth="1"/>
    <col min="12287" max="12287" width="19.7109375" style="25" customWidth="1"/>
    <col min="12288" max="12288" width="20" style="25" customWidth="1"/>
    <col min="12289" max="12289" width="19.140625" style="25" customWidth="1"/>
    <col min="12290" max="12290" width="12.7109375" style="25" customWidth="1"/>
    <col min="12291" max="12537" width="7.85546875" style="25"/>
    <col min="12538" max="12538" width="12.42578125" style="25" customWidth="1"/>
    <col min="12539" max="12539" width="11.85546875" style="25" customWidth="1"/>
    <col min="12540" max="12540" width="13.7109375" style="25" customWidth="1"/>
    <col min="12541" max="12541" width="47.5703125" style="25" customWidth="1"/>
    <col min="12542" max="12542" width="42.42578125" style="25" customWidth="1"/>
    <col min="12543" max="12543" width="19.7109375" style="25" customWidth="1"/>
    <col min="12544" max="12544" width="20" style="25" customWidth="1"/>
    <col min="12545" max="12545" width="19.140625" style="25" customWidth="1"/>
    <col min="12546" max="12546" width="12.7109375" style="25" customWidth="1"/>
    <col min="12547" max="12793" width="7.85546875" style="25"/>
    <col min="12794" max="12794" width="12.42578125" style="25" customWidth="1"/>
    <col min="12795" max="12795" width="11.85546875" style="25" customWidth="1"/>
    <col min="12796" max="12796" width="13.7109375" style="25" customWidth="1"/>
    <col min="12797" max="12797" width="47.5703125" style="25" customWidth="1"/>
    <col min="12798" max="12798" width="42.42578125" style="25" customWidth="1"/>
    <col min="12799" max="12799" width="19.7109375" style="25" customWidth="1"/>
    <col min="12800" max="12800" width="20" style="25" customWidth="1"/>
    <col min="12801" max="12801" width="19.140625" style="25" customWidth="1"/>
    <col min="12802" max="12802" width="12.7109375" style="25" customWidth="1"/>
    <col min="12803" max="13049" width="7.85546875" style="25"/>
    <col min="13050" max="13050" width="12.42578125" style="25" customWidth="1"/>
    <col min="13051" max="13051" width="11.85546875" style="25" customWidth="1"/>
    <col min="13052" max="13052" width="13.7109375" style="25" customWidth="1"/>
    <col min="13053" max="13053" width="47.5703125" style="25" customWidth="1"/>
    <col min="13054" max="13054" width="42.42578125" style="25" customWidth="1"/>
    <col min="13055" max="13055" width="19.7109375" style="25" customWidth="1"/>
    <col min="13056" max="13056" width="20" style="25" customWidth="1"/>
    <col min="13057" max="13057" width="19.140625" style="25" customWidth="1"/>
    <col min="13058" max="13058" width="12.7109375" style="25" customWidth="1"/>
    <col min="13059" max="13305" width="7.85546875" style="25"/>
    <col min="13306" max="13306" width="12.42578125" style="25" customWidth="1"/>
    <col min="13307" max="13307" width="11.85546875" style="25" customWidth="1"/>
    <col min="13308" max="13308" width="13.7109375" style="25" customWidth="1"/>
    <col min="13309" max="13309" width="47.5703125" style="25" customWidth="1"/>
    <col min="13310" max="13310" width="42.42578125" style="25" customWidth="1"/>
    <col min="13311" max="13311" width="19.7109375" style="25" customWidth="1"/>
    <col min="13312" max="13312" width="20" style="25" customWidth="1"/>
    <col min="13313" max="13313" width="19.140625" style="25" customWidth="1"/>
    <col min="13314" max="13314" width="12.7109375" style="25" customWidth="1"/>
    <col min="13315" max="13561" width="7.85546875" style="25"/>
    <col min="13562" max="13562" width="12.42578125" style="25" customWidth="1"/>
    <col min="13563" max="13563" width="11.85546875" style="25" customWidth="1"/>
    <col min="13564" max="13564" width="13.7109375" style="25" customWidth="1"/>
    <col min="13565" max="13565" width="47.5703125" style="25" customWidth="1"/>
    <col min="13566" max="13566" width="42.42578125" style="25" customWidth="1"/>
    <col min="13567" max="13567" width="19.7109375" style="25" customWidth="1"/>
    <col min="13568" max="13568" width="20" style="25" customWidth="1"/>
    <col min="13569" max="13569" width="19.140625" style="25" customWidth="1"/>
    <col min="13570" max="13570" width="12.7109375" style="25" customWidth="1"/>
    <col min="13571" max="13817" width="7.85546875" style="25"/>
    <col min="13818" max="13818" width="12.42578125" style="25" customWidth="1"/>
    <col min="13819" max="13819" width="11.85546875" style="25" customWidth="1"/>
    <col min="13820" max="13820" width="13.7109375" style="25" customWidth="1"/>
    <col min="13821" max="13821" width="47.5703125" style="25" customWidth="1"/>
    <col min="13822" max="13822" width="42.42578125" style="25" customWidth="1"/>
    <col min="13823" max="13823" width="19.7109375" style="25" customWidth="1"/>
    <col min="13824" max="13824" width="20" style="25" customWidth="1"/>
    <col min="13825" max="13825" width="19.140625" style="25" customWidth="1"/>
    <col min="13826" max="13826" width="12.7109375" style="25" customWidth="1"/>
    <col min="13827" max="14073" width="7.85546875" style="25"/>
    <col min="14074" max="14074" width="12.42578125" style="25" customWidth="1"/>
    <col min="14075" max="14075" width="11.85546875" style="25" customWidth="1"/>
    <col min="14076" max="14076" width="13.7109375" style="25" customWidth="1"/>
    <col min="14077" max="14077" width="47.5703125" style="25" customWidth="1"/>
    <col min="14078" max="14078" width="42.42578125" style="25" customWidth="1"/>
    <col min="14079" max="14079" width="19.7109375" style="25" customWidth="1"/>
    <col min="14080" max="14080" width="20" style="25" customWidth="1"/>
    <col min="14081" max="14081" width="19.140625" style="25" customWidth="1"/>
    <col min="14082" max="14082" width="12.7109375" style="25" customWidth="1"/>
    <col min="14083" max="14329" width="7.85546875" style="25"/>
    <col min="14330" max="14330" width="12.42578125" style="25" customWidth="1"/>
    <col min="14331" max="14331" width="11.85546875" style="25" customWidth="1"/>
    <col min="14332" max="14332" width="13.7109375" style="25" customWidth="1"/>
    <col min="14333" max="14333" width="47.5703125" style="25" customWidth="1"/>
    <col min="14334" max="14334" width="42.42578125" style="25" customWidth="1"/>
    <col min="14335" max="14335" width="19.7109375" style="25" customWidth="1"/>
    <col min="14336" max="14336" width="20" style="25" customWidth="1"/>
    <col min="14337" max="14337" width="19.140625" style="25" customWidth="1"/>
    <col min="14338" max="14338" width="12.7109375" style="25" customWidth="1"/>
    <col min="14339" max="14585" width="7.85546875" style="25"/>
    <col min="14586" max="14586" width="12.42578125" style="25" customWidth="1"/>
    <col min="14587" max="14587" width="11.85546875" style="25" customWidth="1"/>
    <col min="14588" max="14588" width="13.7109375" style="25" customWidth="1"/>
    <col min="14589" max="14589" width="47.5703125" style="25" customWidth="1"/>
    <col min="14590" max="14590" width="42.42578125" style="25" customWidth="1"/>
    <col min="14591" max="14591" width="19.7109375" style="25" customWidth="1"/>
    <col min="14592" max="14592" width="20" style="25" customWidth="1"/>
    <col min="14593" max="14593" width="19.140625" style="25" customWidth="1"/>
    <col min="14594" max="14594" width="12.7109375" style="25" customWidth="1"/>
    <col min="14595" max="14841" width="7.85546875" style="25"/>
    <col min="14842" max="14842" width="12.42578125" style="25" customWidth="1"/>
    <col min="14843" max="14843" width="11.85546875" style="25" customWidth="1"/>
    <col min="14844" max="14844" width="13.7109375" style="25" customWidth="1"/>
    <col min="14845" max="14845" width="47.5703125" style="25" customWidth="1"/>
    <col min="14846" max="14846" width="42.42578125" style="25" customWidth="1"/>
    <col min="14847" max="14847" width="19.7109375" style="25" customWidth="1"/>
    <col min="14848" max="14848" width="20" style="25" customWidth="1"/>
    <col min="14849" max="14849" width="19.140625" style="25" customWidth="1"/>
    <col min="14850" max="14850" width="12.7109375" style="25" customWidth="1"/>
    <col min="14851" max="15097" width="7.85546875" style="25"/>
    <col min="15098" max="15098" width="12.42578125" style="25" customWidth="1"/>
    <col min="15099" max="15099" width="11.85546875" style="25" customWidth="1"/>
    <col min="15100" max="15100" width="13.7109375" style="25" customWidth="1"/>
    <col min="15101" max="15101" width="47.5703125" style="25" customWidth="1"/>
    <col min="15102" max="15102" width="42.42578125" style="25" customWidth="1"/>
    <col min="15103" max="15103" width="19.7109375" style="25" customWidth="1"/>
    <col min="15104" max="15104" width="20" style="25" customWidth="1"/>
    <col min="15105" max="15105" width="19.140625" style="25" customWidth="1"/>
    <col min="15106" max="15106" width="12.7109375" style="25" customWidth="1"/>
    <col min="15107" max="15353" width="7.85546875" style="25"/>
    <col min="15354" max="15354" width="12.42578125" style="25" customWidth="1"/>
    <col min="15355" max="15355" width="11.85546875" style="25" customWidth="1"/>
    <col min="15356" max="15356" width="13.7109375" style="25" customWidth="1"/>
    <col min="15357" max="15357" width="47.5703125" style="25" customWidth="1"/>
    <col min="15358" max="15358" width="42.42578125" style="25" customWidth="1"/>
    <col min="15359" max="15359" width="19.7109375" style="25" customWidth="1"/>
    <col min="15360" max="15360" width="20" style="25" customWidth="1"/>
    <col min="15361" max="15361" width="19.140625" style="25" customWidth="1"/>
    <col min="15362" max="15362" width="12.7109375" style="25" customWidth="1"/>
    <col min="15363" max="15609" width="7.85546875" style="25"/>
    <col min="15610" max="15610" width="12.42578125" style="25" customWidth="1"/>
    <col min="15611" max="15611" width="11.85546875" style="25" customWidth="1"/>
    <col min="15612" max="15612" width="13.7109375" style="25" customWidth="1"/>
    <col min="15613" max="15613" width="47.5703125" style="25" customWidth="1"/>
    <col min="15614" max="15614" width="42.42578125" style="25" customWidth="1"/>
    <col min="15615" max="15615" width="19.7109375" style="25" customWidth="1"/>
    <col min="15616" max="15616" width="20" style="25" customWidth="1"/>
    <col min="15617" max="15617" width="19.140625" style="25" customWidth="1"/>
    <col min="15618" max="15618" width="12.7109375" style="25" customWidth="1"/>
    <col min="15619" max="15865" width="7.85546875" style="25"/>
    <col min="15866" max="15866" width="12.42578125" style="25" customWidth="1"/>
    <col min="15867" max="15867" width="11.85546875" style="25" customWidth="1"/>
    <col min="15868" max="15868" width="13.7109375" style="25" customWidth="1"/>
    <col min="15869" max="15869" width="47.5703125" style="25" customWidth="1"/>
    <col min="15870" max="15870" width="42.42578125" style="25" customWidth="1"/>
    <col min="15871" max="15871" width="19.7109375" style="25" customWidth="1"/>
    <col min="15872" max="15872" width="20" style="25" customWidth="1"/>
    <col min="15873" max="15873" width="19.140625" style="25" customWidth="1"/>
    <col min="15874" max="15874" width="12.7109375" style="25" customWidth="1"/>
    <col min="15875" max="16121" width="7.85546875" style="25"/>
    <col min="16122" max="16122" width="12.42578125" style="25" customWidth="1"/>
    <col min="16123" max="16123" width="11.85546875" style="25" customWidth="1"/>
    <col min="16124" max="16124" width="13.7109375" style="25" customWidth="1"/>
    <col min="16125" max="16125" width="47.5703125" style="25" customWidth="1"/>
    <col min="16126" max="16126" width="42.42578125" style="25" customWidth="1"/>
    <col min="16127" max="16127" width="19.7109375" style="25" customWidth="1"/>
    <col min="16128" max="16128" width="20" style="25" customWidth="1"/>
    <col min="16129" max="16129" width="19.140625" style="25" customWidth="1"/>
    <col min="16130" max="16130" width="12.7109375" style="25" customWidth="1"/>
    <col min="16131" max="16384" width="7.85546875" style="25"/>
  </cols>
  <sheetData>
    <row r="1" spans="1:10" ht="17.25" customHeight="1" x14ac:dyDescent="0.25">
      <c r="A1" s="23"/>
      <c r="I1" s="26" t="s">
        <v>97</v>
      </c>
      <c r="J1" s="26"/>
    </row>
    <row r="2" spans="1:10" ht="45" customHeight="1" x14ac:dyDescent="0.25">
      <c r="H2" s="27"/>
      <c r="I2" s="28" t="s">
        <v>80</v>
      </c>
      <c r="J2" s="4"/>
    </row>
    <row r="3" spans="1:10" ht="15" customHeight="1" x14ac:dyDescent="0.25">
      <c r="H3" s="27"/>
      <c r="I3" s="2" t="s">
        <v>160</v>
      </c>
      <c r="J3" s="2"/>
    </row>
    <row r="4" spans="1:10" ht="15" customHeight="1" x14ac:dyDescent="0.2">
      <c r="H4" s="27"/>
      <c r="I4" s="29"/>
      <c r="J4" s="29"/>
    </row>
    <row r="5" spans="1:10" ht="20.25" customHeight="1" x14ac:dyDescent="0.2">
      <c r="A5" s="189" t="s">
        <v>161</v>
      </c>
      <c r="B5" s="190"/>
      <c r="C5" s="190"/>
      <c r="D5" s="190"/>
      <c r="E5" s="190"/>
      <c r="F5" s="190"/>
      <c r="G5" s="190"/>
      <c r="H5" s="190"/>
      <c r="I5" s="190"/>
      <c r="J5" s="190"/>
    </row>
    <row r="6" spans="1:10" ht="20.25" customHeight="1" x14ac:dyDescent="0.25">
      <c r="A6" s="191" t="s">
        <v>77</v>
      </c>
      <c r="B6" s="191"/>
      <c r="C6" s="30"/>
      <c r="D6" s="30"/>
      <c r="E6" s="30"/>
      <c r="F6" s="30"/>
      <c r="G6" s="30"/>
      <c r="H6" s="30"/>
      <c r="I6" s="30"/>
      <c r="J6" s="30"/>
    </row>
    <row r="7" spans="1:10" ht="15.75" customHeight="1" x14ac:dyDescent="0.2">
      <c r="A7" s="192" t="s">
        <v>98</v>
      </c>
      <c r="B7" s="192"/>
      <c r="C7" s="30"/>
      <c r="D7" s="30"/>
      <c r="E7" s="30"/>
      <c r="F7" s="30"/>
      <c r="G7" s="30"/>
      <c r="H7" s="30"/>
      <c r="I7" s="30"/>
      <c r="J7" s="30"/>
    </row>
    <row r="8" spans="1:10" ht="11.25" customHeight="1" x14ac:dyDescent="0.3">
      <c r="A8" s="31"/>
      <c r="B8" s="32"/>
      <c r="C8" s="33"/>
      <c r="D8" s="33"/>
      <c r="E8" s="33"/>
      <c r="F8" s="33"/>
      <c r="G8" s="33"/>
      <c r="H8" s="33"/>
      <c r="I8" s="34"/>
      <c r="J8" s="35" t="s">
        <v>99</v>
      </c>
    </row>
    <row r="9" spans="1:10" ht="22.5" customHeight="1" x14ac:dyDescent="0.2">
      <c r="A9" s="193" t="s">
        <v>100</v>
      </c>
      <c r="B9" s="193" t="s">
        <v>101</v>
      </c>
      <c r="C9" s="187" t="s">
        <v>102</v>
      </c>
      <c r="D9" s="187" t="s">
        <v>103</v>
      </c>
      <c r="E9" s="187" t="s">
        <v>104</v>
      </c>
      <c r="F9" s="187" t="s">
        <v>105</v>
      </c>
      <c r="G9" s="187" t="s">
        <v>5</v>
      </c>
      <c r="H9" s="187" t="s">
        <v>6</v>
      </c>
      <c r="I9" s="188" t="s">
        <v>7</v>
      </c>
      <c r="J9" s="188"/>
    </row>
    <row r="10" spans="1:10" ht="100.5" customHeight="1" x14ac:dyDescent="0.2">
      <c r="A10" s="194"/>
      <c r="B10" s="194"/>
      <c r="C10" s="187"/>
      <c r="D10" s="187"/>
      <c r="E10" s="187"/>
      <c r="F10" s="187"/>
      <c r="G10" s="187"/>
      <c r="H10" s="187"/>
      <c r="I10" s="36" t="s">
        <v>8</v>
      </c>
      <c r="J10" s="36" t="s">
        <v>9</v>
      </c>
    </row>
    <row r="11" spans="1:10" s="33" customFormat="1" ht="22.5" customHeight="1" x14ac:dyDescent="0.2">
      <c r="A11" s="37">
        <v>1</v>
      </c>
      <c r="B11" s="36">
        <v>2</v>
      </c>
      <c r="C11" s="36">
        <v>3</v>
      </c>
      <c r="D11" s="36">
        <v>4</v>
      </c>
      <c r="E11" s="36">
        <v>5</v>
      </c>
      <c r="F11" s="36">
        <v>6</v>
      </c>
      <c r="G11" s="36">
        <v>7</v>
      </c>
      <c r="H11" s="36">
        <v>8</v>
      </c>
      <c r="I11" s="36">
        <v>9</v>
      </c>
      <c r="J11" s="36">
        <v>10</v>
      </c>
    </row>
    <row r="12" spans="1:10" s="43" customFormat="1" ht="35.25" customHeight="1" x14ac:dyDescent="0.25">
      <c r="A12" s="38" t="s">
        <v>106</v>
      </c>
      <c r="B12" s="39"/>
      <c r="C12" s="38"/>
      <c r="D12" s="40" t="s">
        <v>107</v>
      </c>
      <c r="E12" s="41"/>
      <c r="F12" s="41"/>
      <c r="G12" s="41"/>
      <c r="H12" s="42"/>
      <c r="I12" s="42"/>
      <c r="J12" s="42"/>
    </row>
    <row r="13" spans="1:10" s="43" customFormat="1" ht="35.25" customHeight="1" x14ac:dyDescent="0.25">
      <c r="A13" s="44" t="s">
        <v>108</v>
      </c>
      <c r="B13" s="45"/>
      <c r="C13" s="44"/>
      <c r="D13" s="40" t="s">
        <v>109</v>
      </c>
      <c r="E13" s="41"/>
      <c r="F13" s="41"/>
      <c r="G13" s="41"/>
      <c r="H13" s="42"/>
      <c r="I13" s="42"/>
      <c r="J13" s="42"/>
    </row>
    <row r="14" spans="1:10" s="32" customFormat="1" ht="47.25" customHeight="1" x14ac:dyDescent="0.25">
      <c r="A14" s="46" t="s">
        <v>110</v>
      </c>
      <c r="B14" s="46" t="s">
        <v>111</v>
      </c>
      <c r="C14" s="47" t="s">
        <v>112</v>
      </c>
      <c r="D14" s="48" t="s">
        <v>113</v>
      </c>
      <c r="E14" s="110" t="s">
        <v>169</v>
      </c>
      <c r="F14" s="50" t="s">
        <v>114</v>
      </c>
      <c r="G14" s="51">
        <f>H14+I14</f>
        <v>60000</v>
      </c>
      <c r="H14" s="52">
        <v>60000</v>
      </c>
      <c r="I14" s="52">
        <v>0</v>
      </c>
      <c r="J14" s="53">
        <v>0</v>
      </c>
    </row>
    <row r="15" spans="1:10" s="32" customFormat="1" ht="48" customHeight="1" x14ac:dyDescent="0.25">
      <c r="A15" s="54" t="s">
        <v>115</v>
      </c>
      <c r="B15" s="54" t="s">
        <v>116</v>
      </c>
      <c r="C15" s="55" t="s">
        <v>117</v>
      </c>
      <c r="D15" s="56" t="s">
        <v>118</v>
      </c>
      <c r="E15" s="110" t="s">
        <v>169</v>
      </c>
      <c r="F15" s="50" t="s">
        <v>114</v>
      </c>
      <c r="G15" s="51">
        <f>H15+I15</f>
        <v>1620</v>
      </c>
      <c r="H15" s="52">
        <v>1620</v>
      </c>
      <c r="I15" s="52">
        <v>0</v>
      </c>
      <c r="J15" s="53">
        <v>0</v>
      </c>
    </row>
    <row r="16" spans="1:10" s="32" customFormat="1" ht="63.75" customHeight="1" x14ac:dyDescent="0.25">
      <c r="A16" s="92" t="s">
        <v>179</v>
      </c>
      <c r="B16" s="92" t="s">
        <v>180</v>
      </c>
      <c r="C16" s="111" t="s">
        <v>112</v>
      </c>
      <c r="D16" s="112" t="s">
        <v>181</v>
      </c>
      <c r="E16" s="113" t="s">
        <v>182</v>
      </c>
      <c r="F16" s="85" t="s">
        <v>164</v>
      </c>
      <c r="G16" s="51">
        <f t="shared" ref="G16:G17" si="0">H16+I16</f>
        <v>50000</v>
      </c>
      <c r="H16" s="52">
        <v>50000</v>
      </c>
      <c r="I16" s="52">
        <v>0</v>
      </c>
      <c r="J16" s="53">
        <v>0</v>
      </c>
    </row>
    <row r="17" spans="1:10" s="32" customFormat="1" ht="45" customHeight="1" x14ac:dyDescent="0.25">
      <c r="A17" s="107" t="s">
        <v>175</v>
      </c>
      <c r="B17" s="107" t="s">
        <v>176</v>
      </c>
      <c r="C17" s="108" t="s">
        <v>177</v>
      </c>
      <c r="D17" s="109" t="s">
        <v>178</v>
      </c>
      <c r="E17" s="110" t="s">
        <v>169</v>
      </c>
      <c r="F17" s="50" t="s">
        <v>114</v>
      </c>
      <c r="G17" s="51">
        <f t="shared" si="0"/>
        <v>28800</v>
      </c>
      <c r="H17" s="52">
        <v>28800</v>
      </c>
      <c r="I17" s="52">
        <v>0</v>
      </c>
      <c r="J17" s="53">
        <v>0</v>
      </c>
    </row>
    <row r="18" spans="1:10" s="32" customFormat="1" ht="71.25" customHeight="1" x14ac:dyDescent="0.25">
      <c r="A18" s="57" t="s">
        <v>119</v>
      </c>
      <c r="B18" s="57">
        <v>3140</v>
      </c>
      <c r="C18" s="58">
        <v>1040</v>
      </c>
      <c r="D18" s="59" t="s">
        <v>120</v>
      </c>
      <c r="E18" s="60" t="s">
        <v>174</v>
      </c>
      <c r="F18" s="85" t="s">
        <v>164</v>
      </c>
      <c r="G18" s="51">
        <f t="shared" ref="G18:G30" si="1">H18+I18</f>
        <v>320000</v>
      </c>
      <c r="H18" s="72">
        <v>320000</v>
      </c>
      <c r="I18" s="53">
        <v>0</v>
      </c>
      <c r="J18" s="53">
        <v>0</v>
      </c>
    </row>
    <row r="19" spans="1:10" s="32" customFormat="1" ht="77.25" customHeight="1" x14ac:dyDescent="0.25">
      <c r="A19" s="96" t="s">
        <v>170</v>
      </c>
      <c r="B19" s="96" t="s">
        <v>171</v>
      </c>
      <c r="C19" s="97" t="s">
        <v>172</v>
      </c>
      <c r="D19" s="98" t="s">
        <v>173</v>
      </c>
      <c r="E19" s="99" t="s">
        <v>169</v>
      </c>
      <c r="F19" s="50" t="s">
        <v>114</v>
      </c>
      <c r="G19" s="51">
        <f t="shared" si="1"/>
        <v>943002</v>
      </c>
      <c r="H19" s="72">
        <v>943002</v>
      </c>
      <c r="I19" s="53">
        <v>0</v>
      </c>
      <c r="J19" s="53">
        <v>0</v>
      </c>
    </row>
    <row r="20" spans="1:10" s="32" customFormat="1" ht="54" customHeight="1" x14ac:dyDescent="0.25">
      <c r="A20" s="100" t="s">
        <v>121</v>
      </c>
      <c r="B20" s="57" t="s">
        <v>122</v>
      </c>
      <c r="C20" s="61" t="s">
        <v>123</v>
      </c>
      <c r="D20" s="62" t="s">
        <v>124</v>
      </c>
      <c r="E20" s="49" t="s">
        <v>169</v>
      </c>
      <c r="F20" s="50" t="s">
        <v>114</v>
      </c>
      <c r="G20" s="51">
        <f t="shared" si="1"/>
        <v>536170</v>
      </c>
      <c r="H20" s="114">
        <f>3268170-2732000</f>
        <v>536170</v>
      </c>
      <c r="I20" s="53">
        <v>0</v>
      </c>
      <c r="J20" s="53">
        <v>0</v>
      </c>
    </row>
    <row r="21" spans="1:10" s="32" customFormat="1" ht="54" customHeight="1" x14ac:dyDescent="0.25">
      <c r="A21" s="100" t="s">
        <v>121</v>
      </c>
      <c r="B21" s="57" t="s">
        <v>122</v>
      </c>
      <c r="C21" s="61" t="s">
        <v>123</v>
      </c>
      <c r="D21" s="62" t="s">
        <v>124</v>
      </c>
      <c r="E21" s="49" t="s">
        <v>236</v>
      </c>
      <c r="F21" s="91" t="s">
        <v>237</v>
      </c>
      <c r="G21" s="51">
        <f t="shared" si="1"/>
        <v>2732000</v>
      </c>
      <c r="H21" s="114">
        <f>2700000+32000</f>
        <v>2732000</v>
      </c>
      <c r="I21" s="53">
        <v>0</v>
      </c>
      <c r="J21" s="53">
        <v>0</v>
      </c>
    </row>
    <row r="22" spans="1:10" s="32" customFormat="1" ht="46.5" customHeight="1" x14ac:dyDescent="0.25">
      <c r="A22" s="101" t="s">
        <v>125</v>
      </c>
      <c r="B22" s="63" t="s">
        <v>126</v>
      </c>
      <c r="C22" s="64" t="s">
        <v>127</v>
      </c>
      <c r="D22" s="65" t="s">
        <v>128</v>
      </c>
      <c r="E22" s="95" t="s">
        <v>168</v>
      </c>
      <c r="F22" s="85" t="s">
        <v>164</v>
      </c>
      <c r="G22" s="68">
        <f t="shared" si="1"/>
        <v>23981658</v>
      </c>
      <c r="H22" s="115">
        <v>23981658</v>
      </c>
      <c r="I22" s="53">
        <v>0</v>
      </c>
      <c r="J22" s="53">
        <f t="shared" ref="J22" si="2">I22</f>
        <v>0</v>
      </c>
    </row>
    <row r="23" spans="1:10" s="32" customFormat="1" ht="36.75" customHeight="1" x14ac:dyDescent="0.25">
      <c r="A23" s="102" t="s">
        <v>129</v>
      </c>
      <c r="B23" s="69" t="s">
        <v>130</v>
      </c>
      <c r="C23" s="69" t="s">
        <v>131</v>
      </c>
      <c r="D23" s="70" t="s">
        <v>132</v>
      </c>
      <c r="E23" s="66" t="s">
        <v>133</v>
      </c>
      <c r="F23" s="67" t="s">
        <v>134</v>
      </c>
      <c r="G23" s="51">
        <f t="shared" si="1"/>
        <v>121892</v>
      </c>
      <c r="H23" s="68">
        <v>121892</v>
      </c>
      <c r="I23" s="51">
        <v>0</v>
      </c>
      <c r="J23" s="53">
        <v>0</v>
      </c>
    </row>
    <row r="24" spans="1:10" s="32" customFormat="1" ht="57.75" customHeight="1" x14ac:dyDescent="0.25">
      <c r="A24" s="100" t="s">
        <v>135</v>
      </c>
      <c r="B24" s="57" t="s">
        <v>136</v>
      </c>
      <c r="C24" s="61" t="s">
        <v>131</v>
      </c>
      <c r="D24" s="71" t="s">
        <v>137</v>
      </c>
      <c r="E24" s="73" t="s">
        <v>138</v>
      </c>
      <c r="F24" s="74" t="s">
        <v>139</v>
      </c>
      <c r="G24" s="68">
        <f t="shared" si="1"/>
        <v>4857097</v>
      </c>
      <c r="H24" s="68">
        <v>4857097</v>
      </c>
      <c r="I24" s="51">
        <v>0</v>
      </c>
      <c r="J24" s="53">
        <f>I24</f>
        <v>0</v>
      </c>
    </row>
    <row r="25" spans="1:10" s="32" customFormat="1" ht="85.5" customHeight="1" x14ac:dyDescent="0.25">
      <c r="A25" s="103" t="s">
        <v>140</v>
      </c>
      <c r="B25" s="46" t="s">
        <v>141</v>
      </c>
      <c r="C25" s="47" t="s">
        <v>142</v>
      </c>
      <c r="D25" s="48" t="s">
        <v>143</v>
      </c>
      <c r="E25" s="75" t="s">
        <v>144</v>
      </c>
      <c r="F25" s="74" t="s">
        <v>145</v>
      </c>
      <c r="G25" s="68">
        <f t="shared" si="1"/>
        <v>300000</v>
      </c>
      <c r="H25" s="68">
        <v>300000</v>
      </c>
      <c r="I25" s="51">
        <v>0</v>
      </c>
      <c r="J25" s="53">
        <v>0</v>
      </c>
    </row>
    <row r="26" spans="1:10" s="32" customFormat="1" ht="68.25" customHeight="1" x14ac:dyDescent="0.25">
      <c r="A26" s="102" t="s">
        <v>146</v>
      </c>
      <c r="B26" s="90">
        <v>8130</v>
      </c>
      <c r="C26" s="69" t="s">
        <v>142</v>
      </c>
      <c r="D26" s="132" t="s">
        <v>213</v>
      </c>
      <c r="E26" s="76" t="s">
        <v>147</v>
      </c>
      <c r="F26" s="91" t="s">
        <v>148</v>
      </c>
      <c r="G26" s="51">
        <f t="shared" si="1"/>
        <v>8165654</v>
      </c>
      <c r="H26" s="68">
        <v>8165654</v>
      </c>
      <c r="I26" s="51">
        <v>0</v>
      </c>
      <c r="J26" s="53">
        <v>0</v>
      </c>
    </row>
    <row r="27" spans="1:10" s="32" customFormat="1" ht="64.5" customHeight="1" x14ac:dyDescent="0.25">
      <c r="A27" s="104" t="s">
        <v>149</v>
      </c>
      <c r="B27" s="54" t="s">
        <v>150</v>
      </c>
      <c r="C27" s="55" t="s">
        <v>151</v>
      </c>
      <c r="D27" s="56" t="s">
        <v>152</v>
      </c>
      <c r="E27" s="66" t="s">
        <v>163</v>
      </c>
      <c r="F27" s="85" t="s">
        <v>164</v>
      </c>
      <c r="G27" s="51">
        <f t="shared" si="1"/>
        <v>100000</v>
      </c>
      <c r="H27" s="68">
        <v>100000</v>
      </c>
      <c r="I27" s="51">
        <v>0</v>
      </c>
      <c r="J27" s="53">
        <v>0</v>
      </c>
    </row>
    <row r="28" spans="1:10" s="32" customFormat="1" ht="54.75" customHeight="1" x14ac:dyDescent="0.25">
      <c r="A28" s="104" t="s">
        <v>153</v>
      </c>
      <c r="B28" s="54" t="s">
        <v>154</v>
      </c>
      <c r="C28" s="55" t="s">
        <v>155</v>
      </c>
      <c r="D28" s="56" t="s">
        <v>156</v>
      </c>
      <c r="E28" s="76" t="s">
        <v>157</v>
      </c>
      <c r="F28" s="67" t="s">
        <v>158</v>
      </c>
      <c r="G28" s="68">
        <f t="shared" si="1"/>
        <v>41677</v>
      </c>
      <c r="H28" s="68">
        <v>0</v>
      </c>
      <c r="I28" s="68">
        <v>41677</v>
      </c>
      <c r="J28" s="72">
        <v>0</v>
      </c>
    </row>
    <row r="29" spans="1:10" s="32" customFormat="1" ht="64.5" customHeight="1" x14ac:dyDescent="0.25">
      <c r="A29" s="105" t="s">
        <v>162</v>
      </c>
      <c r="B29" s="86" t="s">
        <v>165</v>
      </c>
      <c r="C29" s="87" t="s">
        <v>166</v>
      </c>
      <c r="D29" s="88" t="s">
        <v>235</v>
      </c>
      <c r="E29" s="89" t="s">
        <v>167</v>
      </c>
      <c r="F29" s="85" t="s">
        <v>164</v>
      </c>
      <c r="G29" s="51">
        <f t="shared" si="1"/>
        <v>428938</v>
      </c>
      <c r="H29" s="68">
        <v>428938</v>
      </c>
      <c r="I29" s="51">
        <v>0</v>
      </c>
      <c r="J29" s="53">
        <v>0</v>
      </c>
    </row>
    <row r="30" spans="1:10" s="32" customFormat="1" ht="54.75" customHeight="1" x14ac:dyDescent="0.25">
      <c r="A30" s="106">
        <v>1616030</v>
      </c>
      <c r="B30" s="92">
        <v>6030</v>
      </c>
      <c r="C30" s="93" t="s">
        <v>127</v>
      </c>
      <c r="D30" s="94" t="s">
        <v>128</v>
      </c>
      <c r="E30" s="95" t="s">
        <v>168</v>
      </c>
      <c r="F30" s="85" t="s">
        <v>164</v>
      </c>
      <c r="G30" s="68">
        <f t="shared" si="1"/>
        <v>1000000</v>
      </c>
      <c r="H30" s="68">
        <v>1000000</v>
      </c>
      <c r="I30" s="68">
        <v>0</v>
      </c>
      <c r="J30" s="72">
        <v>0</v>
      </c>
    </row>
    <row r="31" spans="1:10" ht="24.75" customHeight="1" x14ac:dyDescent="0.25">
      <c r="A31" s="77" t="s">
        <v>89</v>
      </c>
      <c r="B31" s="77" t="s">
        <v>89</v>
      </c>
      <c r="C31" s="77" t="s">
        <v>89</v>
      </c>
      <c r="D31" s="78" t="s">
        <v>159</v>
      </c>
      <c r="E31" s="77" t="s">
        <v>89</v>
      </c>
      <c r="F31" s="77" t="s">
        <v>89</v>
      </c>
      <c r="G31" s="79">
        <f>SUM(G14:G30)</f>
        <v>43668508</v>
      </c>
      <c r="H31" s="79">
        <f>SUM(H14:H30)</f>
        <v>43626831</v>
      </c>
      <c r="I31" s="79">
        <f>SUM(I14:I30)</f>
        <v>41677</v>
      </c>
      <c r="J31" s="79">
        <f>SUM(J14:J30)</f>
        <v>0</v>
      </c>
    </row>
    <row r="32" spans="1:10" ht="17.25" customHeight="1" x14ac:dyDescent="0.25">
      <c r="A32" s="23"/>
      <c r="B32" s="80"/>
      <c r="C32" s="23"/>
      <c r="D32" s="23"/>
      <c r="E32" s="23"/>
      <c r="F32" s="23"/>
      <c r="G32" s="23"/>
      <c r="H32" s="81"/>
      <c r="I32" s="23"/>
      <c r="J32" s="23"/>
    </row>
    <row r="33" spans="1:10" ht="22.5" customHeight="1" x14ac:dyDescent="0.25">
      <c r="A33" s="23"/>
      <c r="B33" s="80"/>
      <c r="C33" s="23"/>
      <c r="D33" s="23"/>
      <c r="E33" s="23"/>
      <c r="F33" s="23"/>
      <c r="G33" s="23"/>
      <c r="H33" s="81"/>
      <c r="I33" s="23"/>
      <c r="J33" s="23"/>
    </row>
    <row r="34" spans="1:10" s="83" customFormat="1" ht="22.5" customHeight="1" x14ac:dyDescent="0.25">
      <c r="A34" s="186" t="s">
        <v>75</v>
      </c>
      <c r="B34" s="186"/>
      <c r="C34" s="186"/>
      <c r="D34" s="186"/>
      <c r="E34" s="82"/>
      <c r="F34" s="22" t="s">
        <v>76</v>
      </c>
      <c r="G34" s="82"/>
      <c r="H34" s="23"/>
      <c r="I34" s="23"/>
      <c r="J34" s="23"/>
    </row>
    <row r="35" spans="1:10" ht="22.5" customHeight="1" x14ac:dyDescent="0.25">
      <c r="A35" s="23"/>
      <c r="B35" s="80"/>
      <c r="C35" s="23"/>
      <c r="D35" s="23"/>
      <c r="E35" s="23"/>
      <c r="F35" s="23"/>
      <c r="G35" s="23"/>
      <c r="H35" s="23"/>
      <c r="I35" s="23"/>
      <c r="J35" s="23"/>
    </row>
    <row r="44" spans="1:10" ht="22.5" customHeight="1" x14ac:dyDescent="0.2">
      <c r="D44" s="84"/>
    </row>
  </sheetData>
  <mergeCells count="13">
    <mergeCell ref="A34:D34"/>
    <mergeCell ref="H9:H10"/>
    <mergeCell ref="I9:J9"/>
    <mergeCell ref="A5:J5"/>
    <mergeCell ref="A6:B6"/>
    <mergeCell ref="A7:B7"/>
    <mergeCell ref="A9:A10"/>
    <mergeCell ref="B9:B10"/>
    <mergeCell ref="C9:C10"/>
    <mergeCell ref="D9:D10"/>
    <mergeCell ref="E9:E10"/>
    <mergeCell ref="F9:F10"/>
    <mergeCell ref="G9:G10"/>
  </mergeCells>
  <phoneticPr fontId="23" type="noConversion"/>
  <pageMargins left="0.70866141732283472" right="0.51181102362204722" top="0.35433070866141736" bottom="0.43307086614173229" header="0.35433070866141736" footer="0.35433070866141736"/>
  <pageSetup paperSize="9" scale="52" fitToHeight="2" orientation="landscape" r:id="rId1"/>
  <headerFooter alignWithMargins="0">
    <oddFooter>&amp;R&amp;P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A3C3-CA01-4082-823C-025BB0CEF9A0}">
  <dimension ref="A2:J60"/>
  <sheetViews>
    <sheetView topLeftCell="A28" workbookViewId="0">
      <selection activeCell="J39" sqref="J39"/>
    </sheetView>
  </sheetViews>
  <sheetFormatPr defaultRowHeight="15" x14ac:dyDescent="0.25"/>
  <cols>
    <col min="1" max="1" width="11.42578125" customWidth="1"/>
    <col min="2" max="2" width="60.5703125" customWidth="1"/>
    <col min="3" max="3" width="15.5703125" customWidth="1"/>
    <col min="4" max="4" width="16" customWidth="1"/>
    <col min="5" max="5" width="14.5703125" customWidth="1"/>
    <col min="6" max="6" width="13.28515625" customWidth="1"/>
    <col min="7" max="7" width="11.42578125" customWidth="1"/>
  </cols>
  <sheetData>
    <row r="2" spans="1:10" ht="15.75" x14ac:dyDescent="0.25">
      <c r="A2" s="195" t="s">
        <v>245</v>
      </c>
      <c r="B2" s="195"/>
      <c r="C2" s="195"/>
      <c r="D2" s="195"/>
      <c r="E2" s="195"/>
      <c r="F2" s="195"/>
      <c r="G2" s="195"/>
    </row>
    <row r="3" spans="1:10" ht="15.75" x14ac:dyDescent="0.25">
      <c r="A3" s="195" t="s">
        <v>246</v>
      </c>
      <c r="B3" s="195"/>
      <c r="C3" s="195"/>
      <c r="D3" s="195"/>
      <c r="E3" s="195"/>
      <c r="F3" s="195"/>
      <c r="G3" s="195"/>
      <c r="H3" s="196"/>
      <c r="I3" s="196"/>
      <c r="J3" s="196"/>
    </row>
    <row r="4" spans="1:10" ht="15.75" x14ac:dyDescent="0.25">
      <c r="A4" s="197" t="s">
        <v>247</v>
      </c>
      <c r="B4" s="197"/>
      <c r="C4" s="197"/>
      <c r="D4" s="197"/>
      <c r="E4" s="197"/>
      <c r="F4" s="197"/>
      <c r="G4" s="197"/>
      <c r="H4" s="196"/>
      <c r="I4" s="196"/>
      <c r="J4" s="196"/>
    </row>
    <row r="5" spans="1:10" x14ac:dyDescent="0.25">
      <c r="F5" s="198" t="s">
        <v>248</v>
      </c>
    </row>
    <row r="6" spans="1:10" x14ac:dyDescent="0.25">
      <c r="A6" s="199" t="s">
        <v>249</v>
      </c>
      <c r="B6" s="199" t="s">
        <v>250</v>
      </c>
      <c r="C6" s="200" t="s">
        <v>251</v>
      </c>
      <c r="D6" s="200"/>
      <c r="E6" s="200"/>
      <c r="F6" s="200"/>
      <c r="G6" s="200"/>
    </row>
    <row r="7" spans="1:10" ht="42" customHeight="1" x14ac:dyDescent="0.25">
      <c r="A7" s="201"/>
      <c r="B7" s="201"/>
      <c r="C7" s="202" t="s">
        <v>252</v>
      </c>
      <c r="D7" s="202" t="s">
        <v>253</v>
      </c>
      <c r="E7" s="203" t="s">
        <v>254</v>
      </c>
      <c r="F7" s="203" t="s">
        <v>255</v>
      </c>
      <c r="G7" s="202" t="s">
        <v>256</v>
      </c>
    </row>
    <row r="8" spans="1:10" s="208" customFormat="1" x14ac:dyDescent="0.25">
      <c r="A8" s="204">
        <v>10000000</v>
      </c>
      <c r="B8" s="205" t="s">
        <v>10</v>
      </c>
      <c r="C8" s="206">
        <v>128704797</v>
      </c>
      <c r="D8" s="206">
        <v>122212775</v>
      </c>
      <c r="E8" s="206">
        <v>127117080.04999997</v>
      </c>
      <c r="F8" s="206">
        <f t="shared" ref="F8:F37" si="0">E8-D8</f>
        <v>4904305.0499999672</v>
      </c>
      <c r="G8" s="207">
        <f t="shared" ref="G8:G37" si="1">IF(D8=0,0,E8/D8*100)</f>
        <v>104.01292340346578</v>
      </c>
    </row>
    <row r="9" spans="1:10" ht="19.5" customHeight="1" x14ac:dyDescent="0.25">
      <c r="A9" s="209">
        <v>11010000</v>
      </c>
      <c r="B9" s="210" t="s">
        <v>12</v>
      </c>
      <c r="C9" s="211">
        <v>56085633</v>
      </c>
      <c r="D9" s="211">
        <v>52010633</v>
      </c>
      <c r="E9" s="211">
        <v>56020210.959999993</v>
      </c>
      <c r="F9" s="211">
        <f t="shared" si="0"/>
        <v>4009577.9599999934</v>
      </c>
      <c r="G9" s="212">
        <f t="shared" si="1"/>
        <v>107.70915047313497</v>
      </c>
    </row>
    <row r="10" spans="1:10" ht="19.5" customHeight="1" x14ac:dyDescent="0.25">
      <c r="A10" s="209">
        <v>11020000</v>
      </c>
      <c r="B10" s="210" t="s">
        <v>17</v>
      </c>
      <c r="C10" s="211">
        <v>435067</v>
      </c>
      <c r="D10" s="211">
        <v>435067</v>
      </c>
      <c r="E10" s="211">
        <v>497111.19</v>
      </c>
      <c r="F10" s="211">
        <f t="shared" si="0"/>
        <v>62044.19</v>
      </c>
      <c r="G10" s="212">
        <f t="shared" si="1"/>
        <v>114.26083568737688</v>
      </c>
    </row>
    <row r="11" spans="1:10" ht="18.75" customHeight="1" x14ac:dyDescent="0.25">
      <c r="A11" s="209">
        <v>13000000</v>
      </c>
      <c r="B11" s="210" t="s">
        <v>19</v>
      </c>
      <c r="C11" s="211">
        <v>1890</v>
      </c>
      <c r="D11" s="211">
        <v>1620</v>
      </c>
      <c r="E11" s="211">
        <v>10135.540000000001</v>
      </c>
      <c r="F11" s="211">
        <f t="shared" si="0"/>
        <v>8515.5400000000009</v>
      </c>
      <c r="G11" s="212">
        <f t="shared" si="1"/>
        <v>625.65061728395074</v>
      </c>
    </row>
    <row r="12" spans="1:10" ht="20.25" customHeight="1" x14ac:dyDescent="0.25">
      <c r="A12" s="209">
        <v>14000000</v>
      </c>
      <c r="B12" s="210" t="s">
        <v>22</v>
      </c>
      <c r="C12" s="211">
        <v>18594127</v>
      </c>
      <c r="D12" s="211">
        <v>17590447</v>
      </c>
      <c r="E12" s="211">
        <v>20047728.619999997</v>
      </c>
      <c r="F12" s="211">
        <f t="shared" si="0"/>
        <v>2457281.6199999973</v>
      </c>
      <c r="G12" s="212">
        <f t="shared" si="1"/>
        <v>113.96940975974059</v>
      </c>
    </row>
    <row r="13" spans="1:10" s="208" customFormat="1" ht="32.25" customHeight="1" x14ac:dyDescent="0.25">
      <c r="A13" s="204">
        <v>18000000</v>
      </c>
      <c r="B13" s="205" t="s">
        <v>29</v>
      </c>
      <c r="C13" s="206">
        <v>53588080</v>
      </c>
      <c r="D13" s="206">
        <v>52175008</v>
      </c>
      <c r="E13" s="206">
        <v>50541893.740000002</v>
      </c>
      <c r="F13" s="206">
        <f t="shared" si="0"/>
        <v>-1633114.2599999979</v>
      </c>
      <c r="G13" s="207">
        <f t="shared" si="1"/>
        <v>96.869930024735211</v>
      </c>
    </row>
    <row r="14" spans="1:10" x14ac:dyDescent="0.25">
      <c r="A14" s="209">
        <v>18010000</v>
      </c>
      <c r="B14" s="210" t="s">
        <v>30</v>
      </c>
      <c r="C14" s="211">
        <v>14093880</v>
      </c>
      <c r="D14" s="211">
        <v>13647808</v>
      </c>
      <c r="E14" s="211">
        <v>14439572.949999999</v>
      </c>
      <c r="F14" s="211">
        <f t="shared" si="0"/>
        <v>791764.94999999925</v>
      </c>
      <c r="G14" s="212">
        <f t="shared" si="1"/>
        <v>105.80140744946</v>
      </c>
    </row>
    <row r="15" spans="1:10" x14ac:dyDescent="0.25">
      <c r="A15" s="209">
        <v>18050000</v>
      </c>
      <c r="B15" s="210" t="s">
        <v>39</v>
      </c>
      <c r="C15" s="211">
        <v>39494200</v>
      </c>
      <c r="D15" s="211">
        <v>38527200</v>
      </c>
      <c r="E15" s="211">
        <v>36102320.789999999</v>
      </c>
      <c r="F15" s="211">
        <f t="shared" si="0"/>
        <v>-2424879.2100000009</v>
      </c>
      <c r="G15" s="212">
        <f t="shared" si="1"/>
        <v>93.706059069955771</v>
      </c>
    </row>
    <row r="16" spans="1:10" s="208" customFormat="1" x14ac:dyDescent="0.25">
      <c r="A16" s="204">
        <v>20000000</v>
      </c>
      <c r="B16" s="205" t="s">
        <v>48</v>
      </c>
      <c r="C16" s="206">
        <v>13370760</v>
      </c>
      <c r="D16" s="206">
        <v>13249016</v>
      </c>
      <c r="E16" s="206">
        <v>13953546.66</v>
      </c>
      <c r="F16" s="206">
        <f t="shared" si="0"/>
        <v>704530.66000000015</v>
      </c>
      <c r="G16" s="207">
        <f t="shared" si="1"/>
        <v>105.31760743590317</v>
      </c>
    </row>
    <row r="17" spans="1:7" ht="77.25" customHeight="1" x14ac:dyDescent="0.25">
      <c r="A17" s="209">
        <v>21010000</v>
      </c>
      <c r="B17" s="210" t="s">
        <v>257</v>
      </c>
      <c r="C17" s="211">
        <v>2400</v>
      </c>
      <c r="D17" s="211">
        <v>2400</v>
      </c>
      <c r="E17" s="211">
        <v>13610</v>
      </c>
      <c r="F17" s="211">
        <f t="shared" si="0"/>
        <v>11210</v>
      </c>
      <c r="G17" s="212">
        <f t="shared" si="1"/>
        <v>567.08333333333337</v>
      </c>
    </row>
    <row r="18" spans="1:7" x14ac:dyDescent="0.25">
      <c r="A18" s="209">
        <v>21080000</v>
      </c>
      <c r="B18" s="210" t="s">
        <v>52</v>
      </c>
      <c r="C18" s="211">
        <v>415740</v>
      </c>
      <c r="D18" s="211">
        <v>413840</v>
      </c>
      <c r="E18" s="211">
        <v>573554.82000000007</v>
      </c>
      <c r="F18" s="211">
        <f t="shared" si="0"/>
        <v>159714.82000000007</v>
      </c>
      <c r="G18" s="212">
        <f t="shared" si="1"/>
        <v>138.59337425091823</v>
      </c>
    </row>
    <row r="19" spans="1:7" ht="18.75" customHeight="1" x14ac:dyDescent="0.25">
      <c r="A19" s="209">
        <v>22010000</v>
      </c>
      <c r="B19" s="210" t="s">
        <v>56</v>
      </c>
      <c r="C19" s="211">
        <v>2125620</v>
      </c>
      <c r="D19" s="211">
        <v>2010590</v>
      </c>
      <c r="E19" s="211">
        <v>2086489.28</v>
      </c>
      <c r="F19" s="211">
        <f t="shared" si="0"/>
        <v>75899.280000000028</v>
      </c>
      <c r="G19" s="212">
        <f t="shared" si="1"/>
        <v>103.77497550470261</v>
      </c>
    </row>
    <row r="20" spans="1:7" x14ac:dyDescent="0.25">
      <c r="A20" s="209">
        <v>22090000</v>
      </c>
      <c r="B20" s="210" t="s">
        <v>59</v>
      </c>
      <c r="C20" s="211">
        <v>56700</v>
      </c>
      <c r="D20" s="211">
        <v>51886</v>
      </c>
      <c r="E20" s="211">
        <v>58411.61</v>
      </c>
      <c r="F20" s="211">
        <f t="shared" si="0"/>
        <v>6525.6100000000006</v>
      </c>
      <c r="G20" s="212">
        <f t="shared" si="1"/>
        <v>112.57682226419459</v>
      </c>
    </row>
    <row r="21" spans="1:7" x14ac:dyDescent="0.25">
      <c r="A21" s="209">
        <v>24060000</v>
      </c>
      <c r="B21" s="210" t="s">
        <v>52</v>
      </c>
      <c r="C21" s="211">
        <v>10770300</v>
      </c>
      <c r="D21" s="211">
        <v>10770300</v>
      </c>
      <c r="E21" s="211">
        <v>11218333.07</v>
      </c>
      <c r="F21" s="211">
        <f t="shared" si="0"/>
        <v>448033.0700000003</v>
      </c>
      <c r="G21" s="212">
        <f t="shared" si="1"/>
        <v>104.15989406051828</v>
      </c>
    </row>
    <row r="22" spans="1:7" s="208" customFormat="1" x14ac:dyDescent="0.25">
      <c r="A22" s="204">
        <v>40000000</v>
      </c>
      <c r="B22" s="205" t="s">
        <v>68</v>
      </c>
      <c r="C22" s="206">
        <v>165821239</v>
      </c>
      <c r="D22" s="206">
        <v>161119739</v>
      </c>
      <c r="E22" s="206">
        <v>159841534</v>
      </c>
      <c r="F22" s="206">
        <f t="shared" si="0"/>
        <v>-1278205</v>
      </c>
      <c r="G22" s="207">
        <f t="shared" si="1"/>
        <v>99.206673863839853</v>
      </c>
    </row>
    <row r="23" spans="1:7" x14ac:dyDescent="0.25">
      <c r="A23" s="209">
        <v>41020100</v>
      </c>
      <c r="B23" s="210" t="s">
        <v>71</v>
      </c>
      <c r="C23" s="211">
        <v>7320600</v>
      </c>
      <c r="D23" s="211">
        <v>6711100</v>
      </c>
      <c r="E23" s="211">
        <v>6711100</v>
      </c>
      <c r="F23" s="211">
        <f t="shared" si="0"/>
        <v>0</v>
      </c>
      <c r="G23" s="212">
        <f t="shared" si="1"/>
        <v>100</v>
      </c>
    </row>
    <row r="24" spans="1:7" ht="81.75" customHeight="1" x14ac:dyDescent="0.25">
      <c r="A24" s="209">
        <v>41021400</v>
      </c>
      <c r="B24" s="210" t="s">
        <v>258</v>
      </c>
      <c r="C24" s="211">
        <v>16613800</v>
      </c>
      <c r="D24" s="211">
        <v>16613800</v>
      </c>
      <c r="E24" s="211">
        <v>16613800</v>
      </c>
      <c r="F24" s="211">
        <f t="shared" si="0"/>
        <v>0</v>
      </c>
      <c r="G24" s="212">
        <f t="shared" si="1"/>
        <v>100</v>
      </c>
    </row>
    <row r="25" spans="1:7" ht="46.5" customHeight="1" x14ac:dyDescent="0.25">
      <c r="A25" s="209">
        <v>41032800</v>
      </c>
      <c r="B25" s="210" t="s">
        <v>259</v>
      </c>
      <c r="C25" s="211">
        <v>65286261</v>
      </c>
      <c r="D25" s="211">
        <v>65286261</v>
      </c>
      <c r="E25" s="211">
        <v>65286261</v>
      </c>
      <c r="F25" s="211">
        <f t="shared" si="0"/>
        <v>0</v>
      </c>
      <c r="G25" s="212">
        <f t="shared" si="1"/>
        <v>100</v>
      </c>
    </row>
    <row r="26" spans="1:7" ht="49.5" customHeight="1" x14ac:dyDescent="0.25">
      <c r="A26" s="209">
        <v>41033300</v>
      </c>
      <c r="B26" s="210" t="s">
        <v>260</v>
      </c>
      <c r="C26" s="211">
        <v>133600</v>
      </c>
      <c r="D26" s="211">
        <v>0</v>
      </c>
      <c r="E26" s="211">
        <v>0</v>
      </c>
      <c r="F26" s="211">
        <f t="shared" si="0"/>
        <v>0</v>
      </c>
      <c r="G26" s="212">
        <f t="shared" si="1"/>
        <v>0</v>
      </c>
    </row>
    <row r="27" spans="1:7" ht="63.75" customHeight="1" x14ac:dyDescent="0.25">
      <c r="A27" s="209">
        <v>41033500</v>
      </c>
      <c r="B27" s="210" t="s">
        <v>261</v>
      </c>
      <c r="C27" s="211">
        <v>14443900</v>
      </c>
      <c r="D27" s="211">
        <v>14443900</v>
      </c>
      <c r="E27" s="211">
        <v>14443900</v>
      </c>
      <c r="F27" s="211">
        <f t="shared" si="0"/>
        <v>0</v>
      </c>
      <c r="G27" s="212">
        <f t="shared" si="1"/>
        <v>100</v>
      </c>
    </row>
    <row r="28" spans="1:7" ht="24" customHeight="1" x14ac:dyDescent="0.25">
      <c r="A28" s="209">
        <v>41033900</v>
      </c>
      <c r="B28" s="210" t="s">
        <v>241</v>
      </c>
      <c r="C28" s="211">
        <v>44991500</v>
      </c>
      <c r="D28" s="211">
        <v>41033100</v>
      </c>
      <c r="E28" s="211">
        <v>41033100</v>
      </c>
      <c r="F28" s="211">
        <f t="shared" si="0"/>
        <v>0</v>
      </c>
      <c r="G28" s="212">
        <f t="shared" si="1"/>
        <v>100</v>
      </c>
    </row>
    <row r="29" spans="1:7" ht="63.75" customHeight="1" x14ac:dyDescent="0.25">
      <c r="A29" s="209">
        <v>41035600</v>
      </c>
      <c r="B29" s="210" t="s">
        <v>262</v>
      </c>
      <c r="C29" s="211">
        <v>2000000</v>
      </c>
      <c r="D29" s="211">
        <v>2000000</v>
      </c>
      <c r="E29" s="211">
        <v>2000000</v>
      </c>
      <c r="F29" s="211">
        <f t="shared" si="0"/>
        <v>0</v>
      </c>
      <c r="G29" s="212">
        <f t="shared" si="1"/>
        <v>100</v>
      </c>
    </row>
    <row r="30" spans="1:7" ht="30.75" customHeight="1" x14ac:dyDescent="0.25">
      <c r="A30" s="209">
        <v>41051000</v>
      </c>
      <c r="B30" s="210" t="s">
        <v>263</v>
      </c>
      <c r="C30" s="211">
        <v>900332</v>
      </c>
      <c r="D30" s="211">
        <v>900332</v>
      </c>
      <c r="E30" s="211">
        <v>900332</v>
      </c>
      <c r="F30" s="211">
        <f t="shared" si="0"/>
        <v>0</v>
      </c>
      <c r="G30" s="212">
        <f t="shared" si="1"/>
        <v>100</v>
      </c>
    </row>
    <row r="31" spans="1:7" ht="49.5" customHeight="1" x14ac:dyDescent="0.25">
      <c r="A31" s="209">
        <v>41051100</v>
      </c>
      <c r="B31" s="210" t="s">
        <v>264</v>
      </c>
      <c r="C31" s="211">
        <v>6293649</v>
      </c>
      <c r="D31" s="211">
        <v>6293649</v>
      </c>
      <c r="E31" s="211">
        <v>6293649</v>
      </c>
      <c r="F31" s="211">
        <f t="shared" si="0"/>
        <v>0</v>
      </c>
      <c r="G31" s="212">
        <f t="shared" si="1"/>
        <v>100</v>
      </c>
    </row>
    <row r="32" spans="1:7" ht="45.75" customHeight="1" x14ac:dyDescent="0.25">
      <c r="A32" s="209">
        <v>41051400</v>
      </c>
      <c r="B32" s="210" t="s">
        <v>265</v>
      </c>
      <c r="C32" s="211">
        <v>1247490</v>
      </c>
      <c r="D32" s="211">
        <v>1247490</v>
      </c>
      <c r="E32" s="211">
        <v>0</v>
      </c>
      <c r="F32" s="211">
        <f t="shared" si="0"/>
        <v>-1247490</v>
      </c>
      <c r="G32" s="212">
        <f t="shared" si="1"/>
        <v>0</v>
      </c>
    </row>
    <row r="33" spans="1:7" ht="59.25" customHeight="1" x14ac:dyDescent="0.25">
      <c r="A33" s="209">
        <v>41051700</v>
      </c>
      <c r="B33" s="210" t="s">
        <v>266</v>
      </c>
      <c r="C33" s="211">
        <v>926663</v>
      </c>
      <c r="D33" s="211">
        <v>926663</v>
      </c>
      <c r="E33" s="211">
        <v>926663</v>
      </c>
      <c r="F33" s="211">
        <f t="shared" si="0"/>
        <v>0</v>
      </c>
      <c r="G33" s="212">
        <f t="shared" si="1"/>
        <v>100</v>
      </c>
    </row>
    <row r="34" spans="1:7" ht="17.25" customHeight="1" x14ac:dyDescent="0.25">
      <c r="A34" s="209">
        <v>41053900</v>
      </c>
      <c r="B34" s="210" t="s">
        <v>267</v>
      </c>
      <c r="C34" s="211">
        <v>5632729</v>
      </c>
      <c r="D34" s="211">
        <v>5632729</v>
      </c>
      <c r="E34" s="211">
        <v>5632729</v>
      </c>
      <c r="F34" s="211">
        <f t="shared" si="0"/>
        <v>0</v>
      </c>
      <c r="G34" s="212">
        <f t="shared" si="1"/>
        <v>100</v>
      </c>
    </row>
    <row r="35" spans="1:7" ht="75.75" customHeight="1" x14ac:dyDescent="0.25">
      <c r="A35" s="209">
        <v>41059300</v>
      </c>
      <c r="B35" s="210" t="s">
        <v>268</v>
      </c>
      <c r="C35" s="211">
        <v>30715</v>
      </c>
      <c r="D35" s="211">
        <v>30715</v>
      </c>
      <c r="E35" s="211">
        <v>0</v>
      </c>
      <c r="F35" s="211">
        <f t="shared" si="0"/>
        <v>-30715</v>
      </c>
      <c r="G35" s="212">
        <f t="shared" si="1"/>
        <v>0</v>
      </c>
    </row>
    <row r="36" spans="1:7" x14ac:dyDescent="0.25">
      <c r="A36" s="213" t="s">
        <v>269</v>
      </c>
      <c r="B36" s="213"/>
      <c r="C36" s="214">
        <v>142075557</v>
      </c>
      <c r="D36" s="214">
        <v>135461791</v>
      </c>
      <c r="E36" s="214">
        <v>141070626.70999995</v>
      </c>
      <c r="F36" s="214">
        <f t="shared" si="0"/>
        <v>5608835.7099999487</v>
      </c>
      <c r="G36" s="215">
        <f t="shared" si="1"/>
        <v>104.14052971586649</v>
      </c>
    </row>
    <row r="37" spans="1:7" x14ac:dyDescent="0.25">
      <c r="A37" s="213" t="s">
        <v>270</v>
      </c>
      <c r="B37" s="213"/>
      <c r="C37" s="214">
        <v>307896796</v>
      </c>
      <c r="D37" s="214">
        <v>296581530</v>
      </c>
      <c r="E37" s="214">
        <v>300912160.70999992</v>
      </c>
      <c r="F37" s="214">
        <f t="shared" si="0"/>
        <v>4330630.7099999189</v>
      </c>
      <c r="G37" s="215">
        <f t="shared" si="1"/>
        <v>101.46018220015249</v>
      </c>
    </row>
    <row r="39" spans="1:7" ht="15.75" x14ac:dyDescent="0.25">
      <c r="A39" s="197" t="s">
        <v>271</v>
      </c>
      <c r="B39" s="197"/>
      <c r="C39" s="197"/>
      <c r="D39" s="197"/>
      <c r="E39" s="197"/>
      <c r="F39" s="197"/>
      <c r="G39" s="197"/>
    </row>
    <row r="41" spans="1:7" x14ac:dyDescent="0.25">
      <c r="A41" s="199" t="s">
        <v>249</v>
      </c>
      <c r="B41" s="199" t="s">
        <v>250</v>
      </c>
      <c r="C41" s="216" t="s">
        <v>252</v>
      </c>
      <c r="D41" s="216" t="s">
        <v>272</v>
      </c>
      <c r="E41" s="217" t="s">
        <v>254</v>
      </c>
      <c r="F41" s="217" t="s">
        <v>255</v>
      </c>
      <c r="G41" s="216" t="s">
        <v>256</v>
      </c>
    </row>
    <row r="42" spans="1:7" ht="28.5" customHeight="1" x14ac:dyDescent="0.25">
      <c r="A42" s="201"/>
      <c r="B42" s="201"/>
      <c r="C42" s="218"/>
      <c r="D42" s="218"/>
      <c r="E42" s="219"/>
      <c r="F42" s="219"/>
      <c r="G42" s="218"/>
    </row>
    <row r="43" spans="1:7" s="208" customFormat="1" x14ac:dyDescent="0.25">
      <c r="A43" s="204">
        <v>10000000</v>
      </c>
      <c r="B43" s="205" t="s">
        <v>10</v>
      </c>
      <c r="C43" s="206">
        <v>24898</v>
      </c>
      <c r="D43" s="206">
        <v>23015</v>
      </c>
      <c r="E43" s="206">
        <v>40212.26</v>
      </c>
      <c r="F43" s="206">
        <f t="shared" ref="F43:F60" si="2">E43-D43</f>
        <v>17197.260000000002</v>
      </c>
      <c r="G43" s="207">
        <f t="shared" ref="G43:G60" si="3">IF(D43=0,0,E43/D43*100)</f>
        <v>174.72196393656313</v>
      </c>
    </row>
    <row r="44" spans="1:7" x14ac:dyDescent="0.25">
      <c r="A44" s="209">
        <v>19010000</v>
      </c>
      <c r="B44" s="210" t="s">
        <v>44</v>
      </c>
      <c r="C44" s="211">
        <v>24898</v>
      </c>
      <c r="D44" s="211">
        <v>23015</v>
      </c>
      <c r="E44" s="211">
        <v>40212.26</v>
      </c>
      <c r="F44" s="211">
        <f t="shared" si="2"/>
        <v>17197.260000000002</v>
      </c>
      <c r="G44" s="212">
        <f t="shared" si="3"/>
        <v>174.72196393656313</v>
      </c>
    </row>
    <row r="45" spans="1:7" s="208" customFormat="1" x14ac:dyDescent="0.25">
      <c r="A45" s="204">
        <v>20000000</v>
      </c>
      <c r="B45" s="205" t="s">
        <v>48</v>
      </c>
      <c r="C45" s="206">
        <v>250000</v>
      </c>
      <c r="D45" s="206">
        <v>229166.67</v>
      </c>
      <c r="E45" s="206">
        <v>35483783.43</v>
      </c>
      <c r="F45" s="206">
        <f t="shared" si="2"/>
        <v>35254616.759999998</v>
      </c>
      <c r="G45" s="207">
        <f t="shared" si="3"/>
        <v>15483.832544235162</v>
      </c>
    </row>
    <row r="46" spans="1:7" ht="32.25" customHeight="1" x14ac:dyDescent="0.25">
      <c r="A46" s="209">
        <v>21110000</v>
      </c>
      <c r="B46" s="210" t="s">
        <v>273</v>
      </c>
      <c r="C46" s="211">
        <v>0</v>
      </c>
      <c r="D46" s="211">
        <v>0</v>
      </c>
      <c r="E46" s="211">
        <v>77978.28</v>
      </c>
      <c r="F46" s="211">
        <f t="shared" si="2"/>
        <v>77978.28</v>
      </c>
      <c r="G46" s="212">
        <f t="shared" si="3"/>
        <v>0</v>
      </c>
    </row>
    <row r="47" spans="1:7" x14ac:dyDescent="0.25">
      <c r="A47" s="209">
        <v>24060000</v>
      </c>
      <c r="B47" s="210" t="s">
        <v>52</v>
      </c>
      <c r="C47" s="211">
        <v>0</v>
      </c>
      <c r="D47" s="211">
        <v>0</v>
      </c>
      <c r="E47" s="211">
        <v>16297.05</v>
      </c>
      <c r="F47" s="211">
        <f t="shared" si="2"/>
        <v>16297.05</v>
      </c>
      <c r="G47" s="212">
        <f t="shared" si="3"/>
        <v>0</v>
      </c>
    </row>
    <row r="48" spans="1:7" ht="35.25" customHeight="1" x14ac:dyDescent="0.25">
      <c r="A48" s="209">
        <v>25010000</v>
      </c>
      <c r="B48" s="210" t="s">
        <v>65</v>
      </c>
      <c r="C48" s="211">
        <v>250000</v>
      </c>
      <c r="D48" s="211">
        <v>229166.67</v>
      </c>
      <c r="E48" s="211">
        <v>225374.03000000003</v>
      </c>
      <c r="F48" s="211">
        <f t="shared" si="2"/>
        <v>-3792.6399999999849</v>
      </c>
      <c r="G48" s="212">
        <f t="shared" si="3"/>
        <v>98.345029842254121</v>
      </c>
    </row>
    <row r="49" spans="1:7" ht="21" customHeight="1" x14ac:dyDescent="0.25">
      <c r="A49" s="209">
        <v>25020000</v>
      </c>
      <c r="B49" s="210" t="s">
        <v>274</v>
      </c>
      <c r="C49" s="211">
        <v>0</v>
      </c>
      <c r="D49" s="211">
        <v>0</v>
      </c>
      <c r="E49" s="211">
        <v>35164134.07</v>
      </c>
      <c r="F49" s="211">
        <f t="shared" si="2"/>
        <v>35164134.07</v>
      </c>
      <c r="G49" s="212">
        <f t="shared" si="3"/>
        <v>0</v>
      </c>
    </row>
    <row r="50" spans="1:7" ht="17.25" customHeight="1" x14ac:dyDescent="0.25">
      <c r="A50" s="209">
        <v>30000000</v>
      </c>
      <c r="B50" s="210" t="s">
        <v>275</v>
      </c>
      <c r="C50" s="211">
        <v>1101599</v>
      </c>
      <c r="D50" s="211">
        <v>1101599</v>
      </c>
      <c r="E50" s="211">
        <v>1101599.48</v>
      </c>
      <c r="F50" s="211">
        <f t="shared" si="2"/>
        <v>0.47999999998137355</v>
      </c>
      <c r="G50" s="212">
        <f t="shared" si="3"/>
        <v>100.0000435730243</v>
      </c>
    </row>
    <row r="51" spans="1:7" ht="48" customHeight="1" x14ac:dyDescent="0.25">
      <c r="A51" s="209">
        <v>31030000</v>
      </c>
      <c r="B51" s="210" t="s">
        <v>276</v>
      </c>
      <c r="C51" s="211">
        <v>407388</v>
      </c>
      <c r="D51" s="211">
        <v>407388</v>
      </c>
      <c r="E51" s="211">
        <v>407388.48</v>
      </c>
      <c r="F51" s="211">
        <f t="shared" si="2"/>
        <v>0.47999999998137355</v>
      </c>
      <c r="G51" s="212">
        <f t="shared" si="3"/>
        <v>100.00011782379453</v>
      </c>
    </row>
    <row r="52" spans="1:7" x14ac:dyDescent="0.25">
      <c r="A52" s="209">
        <v>33010000</v>
      </c>
      <c r="B52" s="210" t="s">
        <v>277</v>
      </c>
      <c r="C52" s="211">
        <v>694211</v>
      </c>
      <c r="D52" s="211">
        <v>694211</v>
      </c>
      <c r="E52" s="211">
        <v>694211</v>
      </c>
      <c r="F52" s="211">
        <f t="shared" si="2"/>
        <v>0</v>
      </c>
      <c r="G52" s="212">
        <f t="shared" si="3"/>
        <v>100</v>
      </c>
    </row>
    <row r="53" spans="1:7" s="208" customFormat="1" x14ac:dyDescent="0.25">
      <c r="A53" s="204">
        <v>40000000</v>
      </c>
      <c r="B53" s="205" t="s">
        <v>68</v>
      </c>
      <c r="C53" s="206">
        <v>70088415</v>
      </c>
      <c r="D53" s="206">
        <v>70088415</v>
      </c>
      <c r="E53" s="206">
        <v>65308764.630000003</v>
      </c>
      <c r="F53" s="206">
        <f t="shared" si="2"/>
        <v>-4779650.3699999973</v>
      </c>
      <c r="G53" s="207">
        <f t="shared" si="3"/>
        <v>93.180541506039191</v>
      </c>
    </row>
    <row r="54" spans="1:7" ht="47.25" customHeight="1" x14ac:dyDescent="0.25">
      <c r="A54" s="209">
        <v>41051100</v>
      </c>
      <c r="B54" s="210" t="s">
        <v>264</v>
      </c>
      <c r="C54" s="211">
        <v>55913</v>
      </c>
      <c r="D54" s="211">
        <v>55913</v>
      </c>
      <c r="E54" s="211">
        <v>55913</v>
      </c>
      <c r="F54" s="211">
        <f t="shared" si="2"/>
        <v>0</v>
      </c>
      <c r="G54" s="212">
        <f t="shared" si="3"/>
        <v>100</v>
      </c>
    </row>
    <row r="55" spans="1:7" ht="17.25" customHeight="1" x14ac:dyDescent="0.25">
      <c r="A55" s="209">
        <v>41053900</v>
      </c>
      <c r="B55" s="210" t="s">
        <v>267</v>
      </c>
      <c r="C55" s="211">
        <v>27171115</v>
      </c>
      <c r="D55" s="211">
        <v>27171115</v>
      </c>
      <c r="E55" s="211">
        <v>27029845</v>
      </c>
      <c r="F55" s="211">
        <f t="shared" si="2"/>
        <v>-141270</v>
      </c>
      <c r="G55" s="212">
        <f t="shared" si="3"/>
        <v>99.48007286414267</v>
      </c>
    </row>
    <row r="56" spans="1:7" ht="47.25" customHeight="1" x14ac:dyDescent="0.25">
      <c r="A56" s="209">
        <v>41059100</v>
      </c>
      <c r="B56" s="210" t="s">
        <v>278</v>
      </c>
      <c r="C56" s="211">
        <v>42861387</v>
      </c>
      <c r="D56" s="211">
        <v>42861387</v>
      </c>
      <c r="E56" s="211">
        <v>38223006.630000003</v>
      </c>
      <c r="F56" s="211">
        <f t="shared" si="2"/>
        <v>-4638380.3699999973</v>
      </c>
      <c r="G56" s="212">
        <f t="shared" si="3"/>
        <v>89.178184154423192</v>
      </c>
    </row>
    <row r="57" spans="1:7" s="208" customFormat="1" x14ac:dyDescent="0.25">
      <c r="A57" s="204">
        <v>50000000</v>
      </c>
      <c r="B57" s="205" t="s">
        <v>279</v>
      </c>
      <c r="C57" s="206">
        <v>30119</v>
      </c>
      <c r="D57" s="206">
        <v>27380</v>
      </c>
      <c r="E57" s="206">
        <v>5476.12</v>
      </c>
      <c r="F57" s="206">
        <f t="shared" si="2"/>
        <v>-21903.88</v>
      </c>
      <c r="G57" s="207">
        <f t="shared" si="3"/>
        <v>20.000438276113954</v>
      </c>
    </row>
    <row r="58" spans="1:7" ht="48" customHeight="1" x14ac:dyDescent="0.25">
      <c r="A58" s="209">
        <v>50110000</v>
      </c>
      <c r="B58" s="210" t="s">
        <v>280</v>
      </c>
      <c r="C58" s="211">
        <v>30119</v>
      </c>
      <c r="D58" s="211">
        <v>27380</v>
      </c>
      <c r="E58" s="211">
        <v>5476.12</v>
      </c>
      <c r="F58" s="211">
        <f t="shared" si="2"/>
        <v>-21903.88</v>
      </c>
      <c r="G58" s="212">
        <f t="shared" si="3"/>
        <v>20.000438276113954</v>
      </c>
    </row>
    <row r="59" spans="1:7" x14ac:dyDescent="0.25">
      <c r="A59" s="213" t="s">
        <v>269</v>
      </c>
      <c r="B59" s="213"/>
      <c r="C59" s="214">
        <v>1406616</v>
      </c>
      <c r="D59" s="214">
        <v>1381160.67</v>
      </c>
      <c r="E59" s="214">
        <v>36631071.289999992</v>
      </c>
      <c r="F59" s="214">
        <f t="shared" si="2"/>
        <v>35249910.61999999</v>
      </c>
      <c r="G59" s="215">
        <f t="shared" si="3"/>
        <v>2652.1947870119989</v>
      </c>
    </row>
    <row r="60" spans="1:7" x14ac:dyDescent="0.25">
      <c r="A60" s="213" t="s">
        <v>270</v>
      </c>
      <c r="B60" s="213"/>
      <c r="C60" s="214">
        <v>71495031</v>
      </c>
      <c r="D60" s="214">
        <v>71469575.670000002</v>
      </c>
      <c r="E60" s="214">
        <v>101939835.92</v>
      </c>
      <c r="F60" s="214">
        <f t="shared" si="2"/>
        <v>30470260.25</v>
      </c>
      <c r="G60" s="215">
        <f t="shared" si="3"/>
        <v>142.63388996555938</v>
      </c>
    </row>
  </sheetData>
  <mergeCells count="18">
    <mergeCell ref="A59:B59"/>
    <mergeCell ref="A60:B60"/>
    <mergeCell ref="A36:B36"/>
    <mergeCell ref="A37:B37"/>
    <mergeCell ref="A39:G39"/>
    <mergeCell ref="A41:A42"/>
    <mergeCell ref="B41:B42"/>
    <mergeCell ref="C41:C42"/>
    <mergeCell ref="D41:D42"/>
    <mergeCell ref="E41:E42"/>
    <mergeCell ref="F41:F42"/>
    <mergeCell ref="G41:G42"/>
    <mergeCell ref="A2:G2"/>
    <mergeCell ref="A3:G3"/>
    <mergeCell ref="A4:G4"/>
    <mergeCell ref="A6:A7"/>
    <mergeCell ref="B6:B7"/>
    <mergeCell ref="C6:G6"/>
  </mergeCells>
  <pageMargins left="1.1811023622047245" right="0.59055118110236227" top="0.39370078740157483" bottom="0.39370078740157483" header="0" footer="0"/>
  <pageSetup paperSize="9" scale="48" fitToHeight="50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4282-6B0A-4747-8640-0BA551BDD026}">
  <dimension ref="A2:I86"/>
  <sheetViews>
    <sheetView topLeftCell="A13" workbookViewId="0">
      <selection activeCell="L28" sqref="L28"/>
    </sheetView>
  </sheetViews>
  <sheetFormatPr defaultRowHeight="12.75" x14ac:dyDescent="0.2"/>
  <cols>
    <col min="1" max="1" width="12.7109375" style="242" customWidth="1"/>
    <col min="2" max="2" width="50.7109375" style="243" customWidth="1"/>
    <col min="3" max="15" width="15.7109375" style="221" customWidth="1"/>
    <col min="16" max="255" width="9.140625" style="221"/>
    <col min="256" max="256" width="12.7109375" style="221" customWidth="1"/>
    <col min="257" max="257" width="50.7109375" style="221" customWidth="1"/>
    <col min="258" max="271" width="15.7109375" style="221" customWidth="1"/>
    <col min="272" max="511" width="9.140625" style="221"/>
    <col min="512" max="512" width="12.7109375" style="221" customWidth="1"/>
    <col min="513" max="513" width="50.7109375" style="221" customWidth="1"/>
    <col min="514" max="527" width="15.7109375" style="221" customWidth="1"/>
    <col min="528" max="767" width="9.140625" style="221"/>
    <col min="768" max="768" width="12.7109375" style="221" customWidth="1"/>
    <col min="769" max="769" width="50.7109375" style="221" customWidth="1"/>
    <col min="770" max="783" width="15.7109375" style="221" customWidth="1"/>
    <col min="784" max="1023" width="9.140625" style="221"/>
    <col min="1024" max="1024" width="12.7109375" style="221" customWidth="1"/>
    <col min="1025" max="1025" width="50.7109375" style="221" customWidth="1"/>
    <col min="1026" max="1039" width="15.7109375" style="221" customWidth="1"/>
    <col min="1040" max="1279" width="9.140625" style="221"/>
    <col min="1280" max="1280" width="12.7109375" style="221" customWidth="1"/>
    <col min="1281" max="1281" width="50.7109375" style="221" customWidth="1"/>
    <col min="1282" max="1295" width="15.7109375" style="221" customWidth="1"/>
    <col min="1296" max="1535" width="9.140625" style="221"/>
    <col min="1536" max="1536" width="12.7109375" style="221" customWidth="1"/>
    <col min="1537" max="1537" width="50.7109375" style="221" customWidth="1"/>
    <col min="1538" max="1551" width="15.7109375" style="221" customWidth="1"/>
    <col min="1552" max="1791" width="9.140625" style="221"/>
    <col min="1792" max="1792" width="12.7109375" style="221" customWidth="1"/>
    <col min="1793" max="1793" width="50.7109375" style="221" customWidth="1"/>
    <col min="1794" max="1807" width="15.7109375" style="221" customWidth="1"/>
    <col min="1808" max="2047" width="9.140625" style="221"/>
    <col min="2048" max="2048" width="12.7109375" style="221" customWidth="1"/>
    <col min="2049" max="2049" width="50.7109375" style="221" customWidth="1"/>
    <col min="2050" max="2063" width="15.7109375" style="221" customWidth="1"/>
    <col min="2064" max="2303" width="9.140625" style="221"/>
    <col min="2304" max="2304" width="12.7109375" style="221" customWidth="1"/>
    <col min="2305" max="2305" width="50.7109375" style="221" customWidth="1"/>
    <col min="2306" max="2319" width="15.7109375" style="221" customWidth="1"/>
    <col min="2320" max="2559" width="9.140625" style="221"/>
    <col min="2560" max="2560" width="12.7109375" style="221" customWidth="1"/>
    <col min="2561" max="2561" width="50.7109375" style="221" customWidth="1"/>
    <col min="2562" max="2575" width="15.7109375" style="221" customWidth="1"/>
    <col min="2576" max="2815" width="9.140625" style="221"/>
    <col min="2816" max="2816" width="12.7109375" style="221" customWidth="1"/>
    <col min="2817" max="2817" width="50.7109375" style="221" customWidth="1"/>
    <col min="2818" max="2831" width="15.7109375" style="221" customWidth="1"/>
    <col min="2832" max="3071" width="9.140625" style="221"/>
    <col min="3072" max="3072" width="12.7109375" style="221" customWidth="1"/>
    <col min="3073" max="3073" width="50.7109375" style="221" customWidth="1"/>
    <col min="3074" max="3087" width="15.7109375" style="221" customWidth="1"/>
    <col min="3088" max="3327" width="9.140625" style="221"/>
    <col min="3328" max="3328" width="12.7109375" style="221" customWidth="1"/>
    <col min="3329" max="3329" width="50.7109375" style="221" customWidth="1"/>
    <col min="3330" max="3343" width="15.7109375" style="221" customWidth="1"/>
    <col min="3344" max="3583" width="9.140625" style="221"/>
    <col min="3584" max="3584" width="12.7109375" style="221" customWidth="1"/>
    <col min="3585" max="3585" width="50.7109375" style="221" customWidth="1"/>
    <col min="3586" max="3599" width="15.7109375" style="221" customWidth="1"/>
    <col min="3600" max="3839" width="9.140625" style="221"/>
    <col min="3840" max="3840" width="12.7109375" style="221" customWidth="1"/>
    <col min="3841" max="3841" width="50.7109375" style="221" customWidth="1"/>
    <col min="3842" max="3855" width="15.7109375" style="221" customWidth="1"/>
    <col min="3856" max="4095" width="9.140625" style="221"/>
    <col min="4096" max="4096" width="12.7109375" style="221" customWidth="1"/>
    <col min="4097" max="4097" width="50.7109375" style="221" customWidth="1"/>
    <col min="4098" max="4111" width="15.7109375" style="221" customWidth="1"/>
    <col min="4112" max="4351" width="9.140625" style="221"/>
    <col min="4352" max="4352" width="12.7109375" style="221" customWidth="1"/>
    <col min="4353" max="4353" width="50.7109375" style="221" customWidth="1"/>
    <col min="4354" max="4367" width="15.7109375" style="221" customWidth="1"/>
    <col min="4368" max="4607" width="9.140625" style="221"/>
    <col min="4608" max="4608" width="12.7109375" style="221" customWidth="1"/>
    <col min="4609" max="4609" width="50.7109375" style="221" customWidth="1"/>
    <col min="4610" max="4623" width="15.7109375" style="221" customWidth="1"/>
    <col min="4624" max="4863" width="9.140625" style="221"/>
    <col min="4864" max="4864" width="12.7109375" style="221" customWidth="1"/>
    <col min="4865" max="4865" width="50.7109375" style="221" customWidth="1"/>
    <col min="4866" max="4879" width="15.7109375" style="221" customWidth="1"/>
    <col min="4880" max="5119" width="9.140625" style="221"/>
    <col min="5120" max="5120" width="12.7109375" style="221" customWidth="1"/>
    <col min="5121" max="5121" width="50.7109375" style="221" customWidth="1"/>
    <col min="5122" max="5135" width="15.7109375" style="221" customWidth="1"/>
    <col min="5136" max="5375" width="9.140625" style="221"/>
    <col min="5376" max="5376" width="12.7109375" style="221" customWidth="1"/>
    <col min="5377" max="5377" width="50.7109375" style="221" customWidth="1"/>
    <col min="5378" max="5391" width="15.7109375" style="221" customWidth="1"/>
    <col min="5392" max="5631" width="9.140625" style="221"/>
    <col min="5632" max="5632" width="12.7109375" style="221" customWidth="1"/>
    <col min="5633" max="5633" width="50.7109375" style="221" customWidth="1"/>
    <col min="5634" max="5647" width="15.7109375" style="221" customWidth="1"/>
    <col min="5648" max="5887" width="9.140625" style="221"/>
    <col min="5888" max="5888" width="12.7109375" style="221" customWidth="1"/>
    <col min="5889" max="5889" width="50.7109375" style="221" customWidth="1"/>
    <col min="5890" max="5903" width="15.7109375" style="221" customWidth="1"/>
    <col min="5904" max="6143" width="9.140625" style="221"/>
    <col min="6144" max="6144" width="12.7109375" style="221" customWidth="1"/>
    <col min="6145" max="6145" width="50.7109375" style="221" customWidth="1"/>
    <col min="6146" max="6159" width="15.7109375" style="221" customWidth="1"/>
    <col min="6160" max="6399" width="9.140625" style="221"/>
    <col min="6400" max="6400" width="12.7109375" style="221" customWidth="1"/>
    <col min="6401" max="6401" width="50.7109375" style="221" customWidth="1"/>
    <col min="6402" max="6415" width="15.7109375" style="221" customWidth="1"/>
    <col min="6416" max="6655" width="9.140625" style="221"/>
    <col min="6656" max="6656" width="12.7109375" style="221" customWidth="1"/>
    <col min="6657" max="6657" width="50.7109375" style="221" customWidth="1"/>
    <col min="6658" max="6671" width="15.7109375" style="221" customWidth="1"/>
    <col min="6672" max="6911" width="9.140625" style="221"/>
    <col min="6912" max="6912" width="12.7109375" style="221" customWidth="1"/>
    <col min="6913" max="6913" width="50.7109375" style="221" customWidth="1"/>
    <col min="6914" max="6927" width="15.7109375" style="221" customWidth="1"/>
    <col min="6928" max="7167" width="9.140625" style="221"/>
    <col min="7168" max="7168" width="12.7109375" style="221" customWidth="1"/>
    <col min="7169" max="7169" width="50.7109375" style="221" customWidth="1"/>
    <col min="7170" max="7183" width="15.7109375" style="221" customWidth="1"/>
    <col min="7184" max="7423" width="9.140625" style="221"/>
    <col min="7424" max="7424" width="12.7109375" style="221" customWidth="1"/>
    <col min="7425" max="7425" width="50.7109375" style="221" customWidth="1"/>
    <col min="7426" max="7439" width="15.7109375" style="221" customWidth="1"/>
    <col min="7440" max="7679" width="9.140625" style="221"/>
    <col min="7680" max="7680" width="12.7109375" style="221" customWidth="1"/>
    <col min="7681" max="7681" width="50.7109375" style="221" customWidth="1"/>
    <col min="7682" max="7695" width="15.7109375" style="221" customWidth="1"/>
    <col min="7696" max="7935" width="9.140625" style="221"/>
    <col min="7936" max="7936" width="12.7109375" style="221" customWidth="1"/>
    <col min="7937" max="7937" width="50.7109375" style="221" customWidth="1"/>
    <col min="7938" max="7951" width="15.7109375" style="221" customWidth="1"/>
    <col min="7952" max="8191" width="9.140625" style="221"/>
    <col min="8192" max="8192" width="12.7109375" style="221" customWidth="1"/>
    <col min="8193" max="8193" width="50.7109375" style="221" customWidth="1"/>
    <col min="8194" max="8207" width="15.7109375" style="221" customWidth="1"/>
    <col min="8208" max="8447" width="9.140625" style="221"/>
    <col min="8448" max="8448" width="12.7109375" style="221" customWidth="1"/>
    <col min="8449" max="8449" width="50.7109375" style="221" customWidth="1"/>
    <col min="8450" max="8463" width="15.7109375" style="221" customWidth="1"/>
    <col min="8464" max="8703" width="9.140625" style="221"/>
    <col min="8704" max="8704" width="12.7109375" style="221" customWidth="1"/>
    <col min="8705" max="8705" width="50.7109375" style="221" customWidth="1"/>
    <col min="8706" max="8719" width="15.7109375" style="221" customWidth="1"/>
    <col min="8720" max="8959" width="9.140625" style="221"/>
    <col min="8960" max="8960" width="12.7109375" style="221" customWidth="1"/>
    <col min="8961" max="8961" width="50.7109375" style="221" customWidth="1"/>
    <col min="8962" max="8975" width="15.7109375" style="221" customWidth="1"/>
    <col min="8976" max="9215" width="9.140625" style="221"/>
    <col min="9216" max="9216" width="12.7109375" style="221" customWidth="1"/>
    <col min="9217" max="9217" width="50.7109375" style="221" customWidth="1"/>
    <col min="9218" max="9231" width="15.7109375" style="221" customWidth="1"/>
    <col min="9232" max="9471" width="9.140625" style="221"/>
    <col min="9472" max="9472" width="12.7109375" style="221" customWidth="1"/>
    <col min="9473" max="9473" width="50.7109375" style="221" customWidth="1"/>
    <col min="9474" max="9487" width="15.7109375" style="221" customWidth="1"/>
    <col min="9488" max="9727" width="9.140625" style="221"/>
    <col min="9728" max="9728" width="12.7109375" style="221" customWidth="1"/>
    <col min="9729" max="9729" width="50.7109375" style="221" customWidth="1"/>
    <col min="9730" max="9743" width="15.7109375" style="221" customWidth="1"/>
    <col min="9744" max="9983" width="9.140625" style="221"/>
    <col min="9984" max="9984" width="12.7109375" style="221" customWidth="1"/>
    <col min="9985" max="9985" width="50.7109375" style="221" customWidth="1"/>
    <col min="9986" max="9999" width="15.7109375" style="221" customWidth="1"/>
    <col min="10000" max="10239" width="9.140625" style="221"/>
    <col min="10240" max="10240" width="12.7109375" style="221" customWidth="1"/>
    <col min="10241" max="10241" width="50.7109375" style="221" customWidth="1"/>
    <col min="10242" max="10255" width="15.7109375" style="221" customWidth="1"/>
    <col min="10256" max="10495" width="9.140625" style="221"/>
    <col min="10496" max="10496" width="12.7109375" style="221" customWidth="1"/>
    <col min="10497" max="10497" width="50.7109375" style="221" customWidth="1"/>
    <col min="10498" max="10511" width="15.7109375" style="221" customWidth="1"/>
    <col min="10512" max="10751" width="9.140625" style="221"/>
    <col min="10752" max="10752" width="12.7109375" style="221" customWidth="1"/>
    <col min="10753" max="10753" width="50.7109375" style="221" customWidth="1"/>
    <col min="10754" max="10767" width="15.7109375" style="221" customWidth="1"/>
    <col min="10768" max="11007" width="9.140625" style="221"/>
    <col min="11008" max="11008" width="12.7109375" style="221" customWidth="1"/>
    <col min="11009" max="11009" width="50.7109375" style="221" customWidth="1"/>
    <col min="11010" max="11023" width="15.7109375" style="221" customWidth="1"/>
    <col min="11024" max="11263" width="9.140625" style="221"/>
    <col min="11264" max="11264" width="12.7109375" style="221" customWidth="1"/>
    <col min="11265" max="11265" width="50.7109375" style="221" customWidth="1"/>
    <col min="11266" max="11279" width="15.7109375" style="221" customWidth="1"/>
    <col min="11280" max="11519" width="9.140625" style="221"/>
    <col min="11520" max="11520" width="12.7109375" style="221" customWidth="1"/>
    <col min="11521" max="11521" width="50.7109375" style="221" customWidth="1"/>
    <col min="11522" max="11535" width="15.7109375" style="221" customWidth="1"/>
    <col min="11536" max="11775" width="9.140625" style="221"/>
    <col min="11776" max="11776" width="12.7109375" style="221" customWidth="1"/>
    <col min="11777" max="11777" width="50.7109375" style="221" customWidth="1"/>
    <col min="11778" max="11791" width="15.7109375" style="221" customWidth="1"/>
    <col min="11792" max="12031" width="9.140625" style="221"/>
    <col min="12032" max="12032" width="12.7109375" style="221" customWidth="1"/>
    <col min="12033" max="12033" width="50.7109375" style="221" customWidth="1"/>
    <col min="12034" max="12047" width="15.7109375" style="221" customWidth="1"/>
    <col min="12048" max="12287" width="9.140625" style="221"/>
    <col min="12288" max="12288" width="12.7109375" style="221" customWidth="1"/>
    <col min="12289" max="12289" width="50.7109375" style="221" customWidth="1"/>
    <col min="12290" max="12303" width="15.7109375" style="221" customWidth="1"/>
    <col min="12304" max="12543" width="9.140625" style="221"/>
    <col min="12544" max="12544" width="12.7109375" style="221" customWidth="1"/>
    <col min="12545" max="12545" width="50.7109375" style="221" customWidth="1"/>
    <col min="12546" max="12559" width="15.7109375" style="221" customWidth="1"/>
    <col min="12560" max="12799" width="9.140625" style="221"/>
    <col min="12800" max="12800" width="12.7109375" style="221" customWidth="1"/>
    <col min="12801" max="12801" width="50.7109375" style="221" customWidth="1"/>
    <col min="12802" max="12815" width="15.7109375" style="221" customWidth="1"/>
    <col min="12816" max="13055" width="9.140625" style="221"/>
    <col min="13056" max="13056" width="12.7109375" style="221" customWidth="1"/>
    <col min="13057" max="13057" width="50.7109375" style="221" customWidth="1"/>
    <col min="13058" max="13071" width="15.7109375" style="221" customWidth="1"/>
    <col min="13072" max="13311" width="9.140625" style="221"/>
    <col min="13312" max="13312" width="12.7109375" style="221" customWidth="1"/>
    <col min="13313" max="13313" width="50.7109375" style="221" customWidth="1"/>
    <col min="13314" max="13327" width="15.7109375" style="221" customWidth="1"/>
    <col min="13328" max="13567" width="9.140625" style="221"/>
    <col min="13568" max="13568" width="12.7109375" style="221" customWidth="1"/>
    <col min="13569" max="13569" width="50.7109375" style="221" customWidth="1"/>
    <col min="13570" max="13583" width="15.7109375" style="221" customWidth="1"/>
    <col min="13584" max="13823" width="9.140625" style="221"/>
    <col min="13824" max="13824" width="12.7109375" style="221" customWidth="1"/>
    <col min="13825" max="13825" width="50.7109375" style="221" customWidth="1"/>
    <col min="13826" max="13839" width="15.7109375" style="221" customWidth="1"/>
    <col min="13840" max="14079" width="9.140625" style="221"/>
    <col min="14080" max="14080" width="12.7109375" style="221" customWidth="1"/>
    <col min="14081" max="14081" width="50.7109375" style="221" customWidth="1"/>
    <col min="14082" max="14095" width="15.7109375" style="221" customWidth="1"/>
    <col min="14096" max="14335" width="9.140625" style="221"/>
    <col min="14336" max="14336" width="12.7109375" style="221" customWidth="1"/>
    <col min="14337" max="14337" width="50.7109375" style="221" customWidth="1"/>
    <col min="14338" max="14351" width="15.7109375" style="221" customWidth="1"/>
    <col min="14352" max="14591" width="9.140625" style="221"/>
    <col min="14592" max="14592" width="12.7109375" style="221" customWidth="1"/>
    <col min="14593" max="14593" width="50.7109375" style="221" customWidth="1"/>
    <col min="14594" max="14607" width="15.7109375" style="221" customWidth="1"/>
    <col min="14608" max="14847" width="9.140625" style="221"/>
    <col min="14848" max="14848" width="12.7109375" style="221" customWidth="1"/>
    <col min="14849" max="14849" width="50.7109375" style="221" customWidth="1"/>
    <col min="14850" max="14863" width="15.7109375" style="221" customWidth="1"/>
    <col min="14864" max="15103" width="9.140625" style="221"/>
    <col min="15104" max="15104" width="12.7109375" style="221" customWidth="1"/>
    <col min="15105" max="15105" width="50.7109375" style="221" customWidth="1"/>
    <col min="15106" max="15119" width="15.7109375" style="221" customWidth="1"/>
    <col min="15120" max="15359" width="9.140625" style="221"/>
    <col min="15360" max="15360" width="12.7109375" style="221" customWidth="1"/>
    <col min="15361" max="15361" width="50.7109375" style="221" customWidth="1"/>
    <col min="15362" max="15375" width="15.7109375" style="221" customWidth="1"/>
    <col min="15376" max="15615" width="9.140625" style="221"/>
    <col min="15616" max="15616" width="12.7109375" style="221" customWidth="1"/>
    <col min="15617" max="15617" width="50.7109375" style="221" customWidth="1"/>
    <col min="15618" max="15631" width="15.7109375" style="221" customWidth="1"/>
    <col min="15632" max="15871" width="9.140625" style="221"/>
    <col min="15872" max="15872" width="12.7109375" style="221" customWidth="1"/>
    <col min="15873" max="15873" width="50.7109375" style="221" customWidth="1"/>
    <col min="15874" max="15887" width="15.7109375" style="221" customWidth="1"/>
    <col min="15888" max="16127" width="9.140625" style="221"/>
    <col min="16128" max="16128" width="12.7109375" style="221" customWidth="1"/>
    <col min="16129" max="16129" width="50.7109375" style="221" customWidth="1"/>
    <col min="16130" max="16143" width="15.7109375" style="221" customWidth="1"/>
    <col min="16144" max="16384" width="9.140625" style="221"/>
  </cols>
  <sheetData>
    <row r="2" spans="1:8" ht="15.75" x14ac:dyDescent="0.25">
      <c r="A2" s="220" t="s">
        <v>281</v>
      </c>
      <c r="B2" s="220"/>
      <c r="C2" s="220"/>
      <c r="D2" s="220"/>
      <c r="E2" s="220"/>
      <c r="F2" s="220"/>
      <c r="G2" s="220"/>
    </row>
    <row r="3" spans="1:8" ht="15.75" x14ac:dyDescent="0.25">
      <c r="A3" s="220" t="s">
        <v>246</v>
      </c>
      <c r="B3" s="220"/>
      <c r="C3" s="220"/>
      <c r="D3" s="220"/>
      <c r="E3" s="220"/>
      <c r="F3" s="220"/>
      <c r="G3" s="220"/>
    </row>
    <row r="4" spans="1:8" ht="15.75" x14ac:dyDescent="0.25">
      <c r="A4" s="222" t="s">
        <v>247</v>
      </c>
      <c r="B4" s="222"/>
      <c r="C4" s="222"/>
      <c r="D4" s="222"/>
      <c r="E4" s="222"/>
      <c r="F4" s="222"/>
      <c r="G4" s="222"/>
    </row>
    <row r="5" spans="1:8" x14ac:dyDescent="0.2">
      <c r="A5" s="223"/>
      <c r="B5" s="224"/>
      <c r="C5" s="225"/>
      <c r="D5" s="225"/>
      <c r="E5" s="225"/>
      <c r="F5" s="226" t="s">
        <v>248</v>
      </c>
      <c r="G5" s="225"/>
    </row>
    <row r="6" spans="1:8" s="228" customFormat="1" ht="75" x14ac:dyDescent="0.2">
      <c r="A6" s="227" t="s">
        <v>3</v>
      </c>
      <c r="B6" s="227" t="s">
        <v>282</v>
      </c>
      <c r="C6" s="227" t="s">
        <v>283</v>
      </c>
      <c r="D6" s="227" t="s">
        <v>284</v>
      </c>
      <c r="E6" s="227" t="s">
        <v>285</v>
      </c>
      <c r="F6" s="227" t="s">
        <v>286</v>
      </c>
      <c r="G6" s="227" t="s">
        <v>287</v>
      </c>
    </row>
    <row r="7" spans="1:8" ht="15" x14ac:dyDescent="0.2">
      <c r="A7" s="227">
        <v>1</v>
      </c>
      <c r="B7" s="227">
        <v>2</v>
      </c>
      <c r="C7" s="227">
        <v>3</v>
      </c>
      <c r="D7" s="227">
        <v>4</v>
      </c>
      <c r="E7" s="227">
        <v>5</v>
      </c>
      <c r="F7" s="227">
        <v>6</v>
      </c>
      <c r="G7" s="227">
        <v>7</v>
      </c>
    </row>
    <row r="8" spans="1:8" ht="60" x14ac:dyDescent="0.2">
      <c r="A8" s="229" t="s">
        <v>195</v>
      </c>
      <c r="B8" s="230" t="s">
        <v>198</v>
      </c>
      <c r="C8" s="231">
        <v>33599866</v>
      </c>
      <c r="D8" s="231">
        <v>31933481</v>
      </c>
      <c r="E8" s="231">
        <v>25277069.25</v>
      </c>
      <c r="F8" s="232">
        <f t="shared" ref="F8:F50" si="0">D8-E8</f>
        <v>6656411.75</v>
      </c>
      <c r="G8" s="232">
        <f t="shared" ref="G8:G50" si="1">IF(D8=0,0,(E8/D8)*100)</f>
        <v>79.155383185441011</v>
      </c>
      <c r="H8" s="233"/>
    </row>
    <row r="9" spans="1:8" ht="45" x14ac:dyDescent="0.2">
      <c r="A9" s="229" t="s">
        <v>199</v>
      </c>
      <c r="B9" s="230" t="s">
        <v>202</v>
      </c>
      <c r="C9" s="231">
        <v>18965658</v>
      </c>
      <c r="D9" s="231">
        <v>17149835</v>
      </c>
      <c r="E9" s="231">
        <v>12777675.110000003</v>
      </c>
      <c r="F9" s="232">
        <f t="shared" si="0"/>
        <v>4372159.8899999969</v>
      </c>
      <c r="G9" s="232">
        <f t="shared" si="1"/>
        <v>74.50611105004802</v>
      </c>
      <c r="H9" s="233"/>
    </row>
    <row r="10" spans="1:8" ht="45" x14ac:dyDescent="0.2">
      <c r="A10" s="229" t="s">
        <v>242</v>
      </c>
      <c r="B10" s="230" t="s">
        <v>244</v>
      </c>
      <c r="C10" s="231">
        <v>45891832</v>
      </c>
      <c r="D10" s="231">
        <v>41933432</v>
      </c>
      <c r="E10" s="231">
        <v>40522609.829999998</v>
      </c>
      <c r="F10" s="232">
        <f t="shared" si="0"/>
        <v>1410822.1700000018</v>
      </c>
      <c r="G10" s="232">
        <f t="shared" si="1"/>
        <v>96.635567129349198</v>
      </c>
      <c r="H10" s="233"/>
    </row>
    <row r="11" spans="1:8" ht="90" x14ac:dyDescent="0.2">
      <c r="A11" s="229" t="s">
        <v>288</v>
      </c>
      <c r="B11" s="230" t="s">
        <v>289</v>
      </c>
      <c r="C11" s="231">
        <v>4584056</v>
      </c>
      <c r="D11" s="231">
        <v>4584056</v>
      </c>
      <c r="E11" s="231">
        <v>4584055.4000000004</v>
      </c>
      <c r="F11" s="232">
        <f t="shared" si="0"/>
        <v>0.59999999962747097</v>
      </c>
      <c r="G11" s="232">
        <f t="shared" si="1"/>
        <v>99.999986911154664</v>
      </c>
      <c r="H11" s="233"/>
    </row>
    <row r="12" spans="1:8" ht="75" x14ac:dyDescent="0.2">
      <c r="A12" s="229" t="s">
        <v>290</v>
      </c>
      <c r="B12" s="230" t="s">
        <v>291</v>
      </c>
      <c r="C12" s="231">
        <v>45279</v>
      </c>
      <c r="D12" s="231">
        <v>45279</v>
      </c>
      <c r="E12" s="231">
        <v>0</v>
      </c>
      <c r="F12" s="232">
        <f t="shared" si="0"/>
        <v>45279</v>
      </c>
      <c r="G12" s="232">
        <f t="shared" si="1"/>
        <v>0</v>
      </c>
      <c r="H12" s="233"/>
    </row>
    <row r="13" spans="1:8" ht="60" x14ac:dyDescent="0.2">
      <c r="A13" s="229" t="s">
        <v>292</v>
      </c>
      <c r="B13" s="230" t="s">
        <v>293</v>
      </c>
      <c r="C13" s="231">
        <v>407511</v>
      </c>
      <c r="D13" s="231">
        <v>407511</v>
      </c>
      <c r="E13" s="231">
        <v>0</v>
      </c>
      <c r="F13" s="232">
        <f t="shared" si="0"/>
        <v>407511</v>
      </c>
      <c r="G13" s="232">
        <f t="shared" si="1"/>
        <v>0</v>
      </c>
      <c r="H13" s="233"/>
    </row>
    <row r="14" spans="1:8" ht="75" x14ac:dyDescent="0.2">
      <c r="A14" s="229" t="s">
        <v>294</v>
      </c>
      <c r="B14" s="230" t="s">
        <v>295</v>
      </c>
      <c r="C14" s="231">
        <v>1015883.96</v>
      </c>
      <c r="D14" s="231">
        <v>1015883.96</v>
      </c>
      <c r="E14" s="231">
        <v>728240.44</v>
      </c>
      <c r="F14" s="232">
        <f t="shared" si="0"/>
        <v>287643.52000000002</v>
      </c>
      <c r="G14" s="232">
        <f t="shared" si="1"/>
        <v>71.685396036767827</v>
      </c>
      <c r="H14" s="233"/>
    </row>
    <row r="15" spans="1:8" ht="90" x14ac:dyDescent="0.2">
      <c r="A15" s="229" t="s">
        <v>296</v>
      </c>
      <c r="B15" s="230" t="s">
        <v>297</v>
      </c>
      <c r="C15" s="231">
        <v>38653</v>
      </c>
      <c r="D15" s="231">
        <v>38653</v>
      </c>
      <c r="E15" s="231">
        <v>38653</v>
      </c>
      <c r="F15" s="232">
        <f t="shared" si="0"/>
        <v>0</v>
      </c>
      <c r="G15" s="232">
        <f t="shared" si="1"/>
        <v>100</v>
      </c>
      <c r="H15" s="233"/>
    </row>
    <row r="16" spans="1:8" ht="60" x14ac:dyDescent="0.2">
      <c r="A16" s="229" t="s">
        <v>298</v>
      </c>
      <c r="B16" s="230" t="s">
        <v>299</v>
      </c>
      <c r="C16" s="231">
        <v>133600</v>
      </c>
      <c r="D16" s="231">
        <v>0</v>
      </c>
      <c r="E16" s="231">
        <v>0</v>
      </c>
      <c r="F16" s="232">
        <f t="shared" si="0"/>
        <v>0</v>
      </c>
      <c r="G16" s="232">
        <f t="shared" si="1"/>
        <v>0</v>
      </c>
      <c r="H16" s="233"/>
    </row>
    <row r="17" spans="1:8" ht="30" x14ac:dyDescent="0.2">
      <c r="A17" s="229" t="s">
        <v>300</v>
      </c>
      <c r="B17" s="230" t="s">
        <v>301</v>
      </c>
      <c r="C17" s="231">
        <v>4125197</v>
      </c>
      <c r="D17" s="231">
        <v>4125197</v>
      </c>
      <c r="E17" s="231">
        <v>4125197</v>
      </c>
      <c r="F17" s="232">
        <f t="shared" si="0"/>
        <v>0</v>
      </c>
      <c r="G17" s="232">
        <f t="shared" si="1"/>
        <v>100</v>
      </c>
      <c r="H17" s="233"/>
    </row>
    <row r="18" spans="1:8" ht="30" x14ac:dyDescent="0.2">
      <c r="A18" s="229" t="s">
        <v>302</v>
      </c>
      <c r="B18" s="230" t="s">
        <v>303</v>
      </c>
      <c r="C18" s="231">
        <v>852933</v>
      </c>
      <c r="D18" s="231">
        <v>852933</v>
      </c>
      <c r="E18" s="231">
        <v>841087.62</v>
      </c>
      <c r="F18" s="232">
        <f t="shared" si="0"/>
        <v>11845.380000000005</v>
      </c>
      <c r="G18" s="232">
        <f t="shared" si="1"/>
        <v>98.611217997193208</v>
      </c>
      <c r="H18" s="233"/>
    </row>
    <row r="19" spans="1:8" ht="15" x14ac:dyDescent="0.2">
      <c r="A19" s="229" t="s">
        <v>304</v>
      </c>
      <c r="B19" s="230" t="s">
        <v>305</v>
      </c>
      <c r="C19" s="231">
        <v>54000</v>
      </c>
      <c r="D19" s="231">
        <v>54000</v>
      </c>
      <c r="E19" s="231">
        <v>54000</v>
      </c>
      <c r="F19" s="232">
        <f t="shared" si="0"/>
        <v>0</v>
      </c>
      <c r="G19" s="232">
        <f t="shared" si="1"/>
        <v>100</v>
      </c>
      <c r="H19" s="233"/>
    </row>
    <row r="20" spans="1:8" ht="30" x14ac:dyDescent="0.2">
      <c r="A20" s="229" t="s">
        <v>110</v>
      </c>
      <c r="B20" s="230" t="s">
        <v>113</v>
      </c>
      <c r="C20" s="231">
        <v>60000</v>
      </c>
      <c r="D20" s="231">
        <v>60000</v>
      </c>
      <c r="E20" s="231">
        <v>0</v>
      </c>
      <c r="F20" s="232">
        <f t="shared" si="0"/>
        <v>60000</v>
      </c>
      <c r="G20" s="232">
        <f t="shared" si="1"/>
        <v>0</v>
      </c>
      <c r="H20" s="233"/>
    </row>
    <row r="21" spans="1:8" ht="30" x14ac:dyDescent="0.2">
      <c r="A21" s="229" t="s">
        <v>115</v>
      </c>
      <c r="B21" s="230" t="s">
        <v>118</v>
      </c>
      <c r="C21" s="231">
        <v>1434</v>
      </c>
      <c r="D21" s="231">
        <v>1434</v>
      </c>
      <c r="E21" s="231">
        <v>0</v>
      </c>
      <c r="F21" s="232">
        <f t="shared" si="0"/>
        <v>1434</v>
      </c>
      <c r="G21" s="232">
        <f t="shared" si="1"/>
        <v>0</v>
      </c>
      <c r="H21" s="233"/>
    </row>
    <row r="22" spans="1:8" ht="30" x14ac:dyDescent="0.2">
      <c r="A22" s="229" t="s">
        <v>179</v>
      </c>
      <c r="B22" s="230" t="s">
        <v>181</v>
      </c>
      <c r="C22" s="231">
        <v>30000</v>
      </c>
      <c r="D22" s="231">
        <v>30000</v>
      </c>
      <c r="E22" s="231">
        <v>0</v>
      </c>
      <c r="F22" s="232">
        <f t="shared" si="0"/>
        <v>30000</v>
      </c>
      <c r="G22" s="232">
        <f t="shared" si="1"/>
        <v>0</v>
      </c>
      <c r="H22" s="233"/>
    </row>
    <row r="23" spans="1:8" ht="30" x14ac:dyDescent="0.2">
      <c r="A23" s="229" t="s">
        <v>175</v>
      </c>
      <c r="B23" s="230" t="s">
        <v>178</v>
      </c>
      <c r="C23" s="231">
        <v>28800</v>
      </c>
      <c r="D23" s="231">
        <v>28800</v>
      </c>
      <c r="E23" s="231">
        <v>14000</v>
      </c>
      <c r="F23" s="232">
        <f t="shared" si="0"/>
        <v>14800</v>
      </c>
      <c r="G23" s="232">
        <f t="shared" si="1"/>
        <v>48.611111111111107</v>
      </c>
      <c r="H23" s="233"/>
    </row>
    <row r="24" spans="1:8" ht="60" x14ac:dyDescent="0.2">
      <c r="A24" s="229" t="s">
        <v>119</v>
      </c>
      <c r="B24" s="230" t="s">
        <v>120</v>
      </c>
      <c r="C24" s="231">
        <v>0</v>
      </c>
      <c r="D24" s="231">
        <v>0</v>
      </c>
      <c r="E24" s="231">
        <v>0</v>
      </c>
      <c r="F24" s="232">
        <f t="shared" si="0"/>
        <v>0</v>
      </c>
      <c r="G24" s="232">
        <f t="shared" si="1"/>
        <v>0</v>
      </c>
      <c r="H24" s="233"/>
    </row>
    <row r="25" spans="1:8" ht="75" x14ac:dyDescent="0.2">
      <c r="A25" s="229" t="s">
        <v>170</v>
      </c>
      <c r="B25" s="230" t="s">
        <v>173</v>
      </c>
      <c r="C25" s="231">
        <v>741292</v>
      </c>
      <c r="D25" s="231">
        <v>682000</v>
      </c>
      <c r="E25" s="231">
        <v>347126.14</v>
      </c>
      <c r="F25" s="232">
        <f t="shared" si="0"/>
        <v>334873.86</v>
      </c>
      <c r="G25" s="232">
        <f t="shared" si="1"/>
        <v>50.898260997067446</v>
      </c>
      <c r="H25" s="233"/>
    </row>
    <row r="26" spans="1:8" ht="60" x14ac:dyDescent="0.2">
      <c r="A26" s="229" t="s">
        <v>306</v>
      </c>
      <c r="B26" s="230" t="s">
        <v>307</v>
      </c>
      <c r="C26" s="231">
        <v>30715</v>
      </c>
      <c r="D26" s="231">
        <v>30715</v>
      </c>
      <c r="E26" s="231">
        <v>0</v>
      </c>
      <c r="F26" s="232">
        <f t="shared" si="0"/>
        <v>30715</v>
      </c>
      <c r="G26" s="232">
        <f t="shared" si="1"/>
        <v>0</v>
      </c>
      <c r="H26" s="233"/>
    </row>
    <row r="27" spans="1:8" ht="45" x14ac:dyDescent="0.2">
      <c r="A27" s="229" t="s">
        <v>308</v>
      </c>
      <c r="B27" s="230" t="s">
        <v>309</v>
      </c>
      <c r="C27" s="231">
        <v>984375</v>
      </c>
      <c r="D27" s="231">
        <v>984375</v>
      </c>
      <c r="E27" s="231">
        <v>970889.84</v>
      </c>
      <c r="F27" s="232">
        <f t="shared" si="0"/>
        <v>13485.160000000033</v>
      </c>
      <c r="G27" s="232">
        <f t="shared" si="1"/>
        <v>98.630078984126982</v>
      </c>
      <c r="H27" s="233"/>
    </row>
    <row r="28" spans="1:8" ht="30" x14ac:dyDescent="0.2">
      <c r="A28" s="229" t="s">
        <v>204</v>
      </c>
      <c r="B28" s="230" t="s">
        <v>206</v>
      </c>
      <c r="C28" s="231">
        <v>8282955</v>
      </c>
      <c r="D28" s="231">
        <v>7475817</v>
      </c>
      <c r="E28" s="231">
        <v>6011856.9500000002</v>
      </c>
      <c r="F28" s="232">
        <f t="shared" si="0"/>
        <v>1463960.0499999998</v>
      </c>
      <c r="G28" s="232">
        <f t="shared" si="1"/>
        <v>80.417390500596795</v>
      </c>
      <c r="H28" s="233"/>
    </row>
    <row r="29" spans="1:8" ht="30" x14ac:dyDescent="0.2">
      <c r="A29" s="229" t="s">
        <v>121</v>
      </c>
      <c r="B29" s="230" t="s">
        <v>124</v>
      </c>
      <c r="C29" s="231">
        <v>1127078</v>
      </c>
      <c r="D29" s="231">
        <v>1034990</v>
      </c>
      <c r="E29" s="231">
        <v>437588.58</v>
      </c>
      <c r="F29" s="232">
        <f t="shared" si="0"/>
        <v>597401.41999999993</v>
      </c>
      <c r="G29" s="232">
        <f t="shared" si="1"/>
        <v>42.279498352641085</v>
      </c>
      <c r="H29" s="233"/>
    </row>
    <row r="30" spans="1:8" ht="30" x14ac:dyDescent="0.2">
      <c r="A30" s="229" t="s">
        <v>207</v>
      </c>
      <c r="B30" s="230" t="s">
        <v>210</v>
      </c>
      <c r="C30" s="231">
        <v>9200588</v>
      </c>
      <c r="D30" s="231">
        <v>8539885</v>
      </c>
      <c r="E30" s="231">
        <v>7027718.7599999998</v>
      </c>
      <c r="F30" s="232">
        <f t="shared" si="0"/>
        <v>1512166.2400000002</v>
      </c>
      <c r="G30" s="232">
        <f t="shared" si="1"/>
        <v>82.292896918401127</v>
      </c>
      <c r="H30" s="233"/>
    </row>
    <row r="31" spans="1:8" ht="30" x14ac:dyDescent="0.2">
      <c r="A31" s="229" t="s">
        <v>310</v>
      </c>
      <c r="B31" s="230" t="s">
        <v>311</v>
      </c>
      <c r="C31" s="231">
        <v>186000</v>
      </c>
      <c r="D31" s="231">
        <v>186000</v>
      </c>
      <c r="E31" s="231">
        <v>186000</v>
      </c>
      <c r="F31" s="232">
        <f t="shared" si="0"/>
        <v>0</v>
      </c>
      <c r="G31" s="232">
        <f t="shared" si="1"/>
        <v>100</v>
      </c>
      <c r="H31" s="233"/>
    </row>
    <row r="32" spans="1:8" ht="45" x14ac:dyDescent="0.2">
      <c r="A32" s="229" t="s">
        <v>312</v>
      </c>
      <c r="B32" s="230" t="s">
        <v>313</v>
      </c>
      <c r="C32" s="231">
        <v>33937108</v>
      </c>
      <c r="D32" s="231">
        <v>33937108</v>
      </c>
      <c r="E32" s="231">
        <v>33722471.100000001</v>
      </c>
      <c r="F32" s="232">
        <f t="shared" si="0"/>
        <v>214636.89999999851</v>
      </c>
      <c r="G32" s="232">
        <f t="shared" si="1"/>
        <v>99.36754510726135</v>
      </c>
      <c r="H32" s="233"/>
    </row>
    <row r="33" spans="1:8" ht="15" x14ac:dyDescent="0.2">
      <c r="A33" s="229" t="s">
        <v>125</v>
      </c>
      <c r="B33" s="230" t="s">
        <v>128</v>
      </c>
      <c r="C33" s="231">
        <v>29233392</v>
      </c>
      <c r="D33" s="231">
        <v>28460687</v>
      </c>
      <c r="E33" s="231">
        <v>27060524.289999999</v>
      </c>
      <c r="F33" s="232">
        <f t="shared" si="0"/>
        <v>1400162.7100000009</v>
      </c>
      <c r="G33" s="232">
        <f t="shared" si="1"/>
        <v>95.08036222034977</v>
      </c>
      <c r="H33" s="233"/>
    </row>
    <row r="34" spans="1:8" ht="15" x14ac:dyDescent="0.2">
      <c r="A34" s="229" t="s">
        <v>314</v>
      </c>
      <c r="B34" s="230" t="s">
        <v>315</v>
      </c>
      <c r="C34" s="231">
        <v>499995</v>
      </c>
      <c r="D34" s="231">
        <v>499995</v>
      </c>
      <c r="E34" s="231">
        <v>298998</v>
      </c>
      <c r="F34" s="232">
        <f t="shared" si="0"/>
        <v>200997</v>
      </c>
      <c r="G34" s="232">
        <f t="shared" si="1"/>
        <v>59.800198001980021</v>
      </c>
      <c r="H34" s="233"/>
    </row>
    <row r="35" spans="1:8" ht="30" x14ac:dyDescent="0.2">
      <c r="A35" s="229" t="s">
        <v>129</v>
      </c>
      <c r="B35" s="230" t="s">
        <v>211</v>
      </c>
      <c r="C35" s="231">
        <v>83572</v>
      </c>
      <c r="D35" s="231">
        <v>83572</v>
      </c>
      <c r="E35" s="231">
        <v>47988</v>
      </c>
      <c r="F35" s="232">
        <f t="shared" si="0"/>
        <v>35584</v>
      </c>
      <c r="G35" s="232">
        <f t="shared" si="1"/>
        <v>57.421145838319056</v>
      </c>
      <c r="H35" s="233"/>
    </row>
    <row r="36" spans="1:8" ht="15" x14ac:dyDescent="0.2">
      <c r="A36" s="229" t="s">
        <v>135</v>
      </c>
      <c r="B36" s="230" t="s">
        <v>137</v>
      </c>
      <c r="C36" s="231">
        <v>4167990</v>
      </c>
      <c r="D36" s="231">
        <v>3908609</v>
      </c>
      <c r="E36" s="231">
        <v>2698705.19</v>
      </c>
      <c r="F36" s="232">
        <f t="shared" si="0"/>
        <v>1209903.81</v>
      </c>
      <c r="G36" s="232">
        <f t="shared" si="1"/>
        <v>69.045156217979326</v>
      </c>
      <c r="H36" s="233"/>
    </row>
    <row r="37" spans="1:8" ht="30" x14ac:dyDescent="0.2">
      <c r="A37" s="229" t="s">
        <v>140</v>
      </c>
      <c r="B37" s="230" t="s">
        <v>143</v>
      </c>
      <c r="C37" s="231">
        <v>300000</v>
      </c>
      <c r="D37" s="231">
        <v>300000</v>
      </c>
      <c r="E37" s="231">
        <v>0</v>
      </c>
      <c r="F37" s="232">
        <f t="shared" si="0"/>
        <v>300000</v>
      </c>
      <c r="G37" s="232">
        <f t="shared" si="1"/>
        <v>0</v>
      </c>
      <c r="H37" s="233"/>
    </row>
    <row r="38" spans="1:8" ht="30" x14ac:dyDescent="0.2">
      <c r="A38" s="229" t="s">
        <v>146</v>
      </c>
      <c r="B38" s="230" t="s">
        <v>213</v>
      </c>
      <c r="C38" s="231">
        <v>6680512</v>
      </c>
      <c r="D38" s="231">
        <v>6181703</v>
      </c>
      <c r="E38" s="231">
        <v>5220576.99</v>
      </c>
      <c r="F38" s="232">
        <f t="shared" si="0"/>
        <v>961126.00999999978</v>
      </c>
      <c r="G38" s="232">
        <f t="shared" si="1"/>
        <v>84.45208367338256</v>
      </c>
      <c r="H38" s="233"/>
    </row>
    <row r="39" spans="1:8" ht="15" x14ac:dyDescent="0.2">
      <c r="A39" s="229" t="s">
        <v>149</v>
      </c>
      <c r="B39" s="230" t="s">
        <v>152</v>
      </c>
      <c r="C39" s="231">
        <v>187500</v>
      </c>
      <c r="D39" s="231">
        <v>187500</v>
      </c>
      <c r="E39" s="231">
        <v>87500</v>
      </c>
      <c r="F39" s="232">
        <f t="shared" si="0"/>
        <v>100000</v>
      </c>
      <c r="G39" s="232">
        <f t="shared" si="1"/>
        <v>46.666666666666664</v>
      </c>
      <c r="H39" s="233"/>
    </row>
    <row r="40" spans="1:8" ht="15" x14ac:dyDescent="0.2">
      <c r="A40" s="229" t="s">
        <v>162</v>
      </c>
      <c r="B40" s="230" t="s">
        <v>316</v>
      </c>
      <c r="C40" s="231">
        <v>271466</v>
      </c>
      <c r="D40" s="231">
        <v>250536</v>
      </c>
      <c r="E40" s="231">
        <v>216964.8</v>
      </c>
      <c r="F40" s="232">
        <f t="shared" si="0"/>
        <v>33571.200000000012</v>
      </c>
      <c r="G40" s="232">
        <f t="shared" si="1"/>
        <v>86.60024906600249</v>
      </c>
      <c r="H40" s="233"/>
    </row>
    <row r="41" spans="1:8" ht="15" x14ac:dyDescent="0.2">
      <c r="A41" s="229" t="s">
        <v>317</v>
      </c>
      <c r="B41" s="230" t="s">
        <v>318</v>
      </c>
      <c r="C41" s="231">
        <v>1000000</v>
      </c>
      <c r="D41" s="231">
        <v>1000000</v>
      </c>
      <c r="E41" s="231">
        <v>1000000</v>
      </c>
      <c r="F41" s="232">
        <f t="shared" si="0"/>
        <v>0</v>
      </c>
      <c r="G41" s="232">
        <f t="shared" si="1"/>
        <v>100</v>
      </c>
      <c r="H41" s="233"/>
    </row>
    <row r="42" spans="1:8" ht="60" x14ac:dyDescent="0.2">
      <c r="A42" s="229" t="s">
        <v>319</v>
      </c>
      <c r="B42" s="230" t="s">
        <v>266</v>
      </c>
      <c r="C42" s="231">
        <v>399.61</v>
      </c>
      <c r="D42" s="231">
        <v>399.61</v>
      </c>
      <c r="E42" s="231">
        <v>399.61</v>
      </c>
      <c r="F42" s="232">
        <f t="shared" si="0"/>
        <v>0</v>
      </c>
      <c r="G42" s="232">
        <f t="shared" si="1"/>
        <v>100</v>
      </c>
      <c r="H42" s="233"/>
    </row>
    <row r="43" spans="1:8" ht="15" x14ac:dyDescent="0.2">
      <c r="A43" s="229" t="s">
        <v>320</v>
      </c>
      <c r="B43" s="230" t="s">
        <v>267</v>
      </c>
      <c r="C43" s="231">
        <v>22302</v>
      </c>
      <c r="D43" s="231">
        <v>22302</v>
      </c>
      <c r="E43" s="231">
        <v>22302</v>
      </c>
      <c r="F43" s="232">
        <f t="shared" si="0"/>
        <v>0</v>
      </c>
      <c r="G43" s="232">
        <f t="shared" si="1"/>
        <v>100</v>
      </c>
      <c r="H43" s="233"/>
    </row>
    <row r="44" spans="1:8" ht="45" x14ac:dyDescent="0.2">
      <c r="A44" s="229" t="s">
        <v>321</v>
      </c>
      <c r="B44" s="230" t="s">
        <v>322</v>
      </c>
      <c r="C44" s="231">
        <v>886512</v>
      </c>
      <c r="D44" s="231">
        <v>886512</v>
      </c>
      <c r="E44" s="231">
        <v>877417.16</v>
      </c>
      <c r="F44" s="232">
        <f t="shared" si="0"/>
        <v>9094.8399999999674</v>
      </c>
      <c r="G44" s="232">
        <f t="shared" si="1"/>
        <v>98.974087209197393</v>
      </c>
      <c r="H44" s="233"/>
    </row>
    <row r="45" spans="1:8" ht="45" x14ac:dyDescent="0.2">
      <c r="A45" s="229" t="s">
        <v>218</v>
      </c>
      <c r="B45" s="230" t="s">
        <v>220</v>
      </c>
      <c r="C45" s="231">
        <v>1172257</v>
      </c>
      <c r="D45" s="231">
        <v>1075456</v>
      </c>
      <c r="E45" s="231">
        <v>918406.74</v>
      </c>
      <c r="F45" s="232">
        <f t="shared" si="0"/>
        <v>157049.26</v>
      </c>
      <c r="G45" s="232">
        <f t="shared" si="1"/>
        <v>85.396960917043558</v>
      </c>
      <c r="H45" s="233"/>
    </row>
    <row r="46" spans="1:8" ht="45" x14ac:dyDescent="0.2">
      <c r="A46" s="229" t="s">
        <v>224</v>
      </c>
      <c r="B46" s="230" t="s">
        <v>220</v>
      </c>
      <c r="C46" s="231">
        <v>5500156</v>
      </c>
      <c r="D46" s="231">
        <v>5166924</v>
      </c>
      <c r="E46" s="231">
        <v>3850262.02</v>
      </c>
      <c r="F46" s="232">
        <f t="shared" si="0"/>
        <v>1316661.98</v>
      </c>
      <c r="G46" s="232">
        <f t="shared" si="1"/>
        <v>74.517488935389792</v>
      </c>
      <c r="H46" s="233"/>
    </row>
    <row r="47" spans="1:8" ht="15" x14ac:dyDescent="0.2">
      <c r="A47" s="229" t="s">
        <v>225</v>
      </c>
      <c r="B47" s="230" t="s">
        <v>128</v>
      </c>
      <c r="C47" s="231">
        <v>499698</v>
      </c>
      <c r="D47" s="231">
        <v>499698</v>
      </c>
      <c r="E47" s="231">
        <v>499298</v>
      </c>
      <c r="F47" s="232">
        <f t="shared" si="0"/>
        <v>400</v>
      </c>
      <c r="G47" s="232">
        <f t="shared" si="1"/>
        <v>99.919951650797074</v>
      </c>
      <c r="H47" s="233"/>
    </row>
    <row r="48" spans="1:8" ht="45" x14ac:dyDescent="0.2">
      <c r="A48" s="229" t="s">
        <v>230</v>
      </c>
      <c r="B48" s="230" t="s">
        <v>220</v>
      </c>
      <c r="C48" s="231">
        <v>2169373</v>
      </c>
      <c r="D48" s="231">
        <v>2029394</v>
      </c>
      <c r="E48" s="231">
        <v>1697481.7</v>
      </c>
      <c r="F48" s="232">
        <f t="shared" si="0"/>
        <v>331912.30000000005</v>
      </c>
      <c r="G48" s="232">
        <f t="shared" si="1"/>
        <v>83.644757991794592</v>
      </c>
      <c r="H48" s="233"/>
    </row>
    <row r="49" spans="1:9" ht="15" x14ac:dyDescent="0.2">
      <c r="A49" s="229" t="s">
        <v>231</v>
      </c>
      <c r="B49" s="230" t="s">
        <v>234</v>
      </c>
      <c r="C49" s="231">
        <v>100000</v>
      </c>
      <c r="D49" s="231">
        <v>100000</v>
      </c>
      <c r="E49" s="231">
        <v>0</v>
      </c>
      <c r="F49" s="232">
        <f t="shared" si="0"/>
        <v>100000</v>
      </c>
      <c r="G49" s="232">
        <f t="shared" si="1"/>
        <v>0</v>
      </c>
      <c r="H49" s="233"/>
    </row>
    <row r="50" spans="1:9" ht="15.75" x14ac:dyDescent="0.2">
      <c r="A50" s="234" t="s">
        <v>323</v>
      </c>
      <c r="B50" s="235" t="s">
        <v>324</v>
      </c>
      <c r="C50" s="236">
        <v>217099938.56999999</v>
      </c>
      <c r="D50" s="236">
        <v>205784672.56999999</v>
      </c>
      <c r="E50" s="236">
        <v>182163063.52000004</v>
      </c>
      <c r="F50" s="236">
        <f t="shared" si="0"/>
        <v>23621609.049999952</v>
      </c>
      <c r="G50" s="236">
        <f t="shared" si="1"/>
        <v>88.521200945145807</v>
      </c>
      <c r="H50" s="233"/>
    </row>
    <row r="51" spans="1:9" ht="14.25" x14ac:dyDescent="0.2">
      <c r="A51" s="237"/>
      <c r="B51" s="238"/>
      <c r="C51" s="239"/>
      <c r="D51" s="239"/>
      <c r="E51" s="239"/>
      <c r="F51" s="239"/>
      <c r="G51" s="239"/>
    </row>
    <row r="52" spans="1:9" ht="15.75" x14ac:dyDescent="0.2">
      <c r="A52" s="240" t="s">
        <v>271</v>
      </c>
      <c r="B52" s="240"/>
      <c r="C52" s="240"/>
      <c r="D52" s="240"/>
      <c r="E52" s="240"/>
      <c r="F52" s="240"/>
      <c r="G52" s="240"/>
      <c r="H52" s="233"/>
      <c r="I52" s="233"/>
    </row>
    <row r="54" spans="1:9" s="228" customFormat="1" ht="75" x14ac:dyDescent="0.2">
      <c r="A54" s="227" t="s">
        <v>3</v>
      </c>
      <c r="B54" s="227" t="s">
        <v>282</v>
      </c>
      <c r="C54" s="227" t="s">
        <v>283</v>
      </c>
      <c r="D54" s="227" t="s">
        <v>284</v>
      </c>
      <c r="E54" s="227" t="s">
        <v>285</v>
      </c>
      <c r="F54" s="227" t="s">
        <v>286</v>
      </c>
      <c r="G54" s="227" t="s">
        <v>325</v>
      </c>
    </row>
    <row r="55" spans="1:9" ht="15" x14ac:dyDescent="0.2">
      <c r="A55" s="227">
        <v>1</v>
      </c>
      <c r="B55" s="227">
        <v>2</v>
      </c>
      <c r="C55" s="227">
        <v>3</v>
      </c>
      <c r="D55" s="227">
        <v>4</v>
      </c>
      <c r="E55" s="227">
        <v>5</v>
      </c>
      <c r="F55" s="227">
        <v>6</v>
      </c>
      <c r="G55" s="227">
        <v>7</v>
      </c>
    </row>
    <row r="56" spans="1:9" ht="60" x14ac:dyDescent="0.2">
      <c r="A56" s="229" t="s">
        <v>195</v>
      </c>
      <c r="B56" s="230" t="s">
        <v>198</v>
      </c>
      <c r="C56" s="231">
        <v>1528192</v>
      </c>
      <c r="D56" s="231">
        <v>1507358.6666666667</v>
      </c>
      <c r="E56" s="231">
        <v>28662154.52</v>
      </c>
      <c r="F56" s="232">
        <f t="shared" ref="F56:F86" si="2">D56-E56</f>
        <v>-27154795.853333332</v>
      </c>
      <c r="G56" s="232">
        <f t="shared" ref="G56:G86" si="3">IF(D56=0,0,(E56/D56)*100)</f>
        <v>1901.4820529332103</v>
      </c>
      <c r="H56" s="233"/>
    </row>
    <row r="57" spans="1:9" ht="90" x14ac:dyDescent="0.2">
      <c r="A57" s="229" t="s">
        <v>288</v>
      </c>
      <c r="B57" s="230" t="s">
        <v>289</v>
      </c>
      <c r="C57" s="231">
        <v>1709593</v>
      </c>
      <c r="D57" s="231">
        <v>1709593</v>
      </c>
      <c r="E57" s="231">
        <v>1290388</v>
      </c>
      <c r="F57" s="232">
        <f t="shared" si="2"/>
        <v>419205</v>
      </c>
      <c r="G57" s="232">
        <f t="shared" si="3"/>
        <v>75.47925149436152</v>
      </c>
      <c r="H57" s="233"/>
    </row>
    <row r="58" spans="1:9" ht="75" x14ac:dyDescent="0.2">
      <c r="A58" s="229" t="s">
        <v>290</v>
      </c>
      <c r="B58" s="230" t="s">
        <v>291</v>
      </c>
      <c r="C58" s="231">
        <v>93331</v>
      </c>
      <c r="D58" s="231">
        <v>93331</v>
      </c>
      <c r="E58" s="231">
        <v>0</v>
      </c>
      <c r="F58" s="232">
        <f t="shared" si="2"/>
        <v>93331</v>
      </c>
      <c r="G58" s="232">
        <f t="shared" si="3"/>
        <v>0</v>
      </c>
      <c r="H58" s="233"/>
    </row>
    <row r="59" spans="1:9" ht="60" x14ac:dyDescent="0.2">
      <c r="A59" s="229" t="s">
        <v>292</v>
      </c>
      <c r="B59" s="230" t="s">
        <v>293</v>
      </c>
      <c r="C59" s="231">
        <v>839979</v>
      </c>
      <c r="D59" s="231">
        <v>839979</v>
      </c>
      <c r="E59" s="231">
        <v>0</v>
      </c>
      <c r="F59" s="232">
        <f t="shared" si="2"/>
        <v>839979</v>
      </c>
      <c r="G59" s="232">
        <f t="shared" si="3"/>
        <v>0</v>
      </c>
      <c r="H59" s="233"/>
    </row>
    <row r="60" spans="1:9" ht="90" x14ac:dyDescent="0.2">
      <c r="A60" s="229" t="s">
        <v>326</v>
      </c>
      <c r="B60" s="230" t="s">
        <v>327</v>
      </c>
      <c r="C60" s="231">
        <v>3768597</v>
      </c>
      <c r="D60" s="231">
        <v>3768597</v>
      </c>
      <c r="E60" s="231">
        <v>1378636.19</v>
      </c>
      <c r="F60" s="232">
        <f t="shared" si="2"/>
        <v>2389960.81</v>
      </c>
      <c r="G60" s="232">
        <f t="shared" si="3"/>
        <v>36.582213221525144</v>
      </c>
      <c r="H60" s="233"/>
    </row>
    <row r="61" spans="1:9" ht="90" x14ac:dyDescent="0.2">
      <c r="A61" s="229" t="s">
        <v>328</v>
      </c>
      <c r="B61" s="230" t="s">
        <v>329</v>
      </c>
      <c r="C61" s="231">
        <v>14443900</v>
      </c>
      <c r="D61" s="231">
        <v>14443900</v>
      </c>
      <c r="E61" s="231">
        <v>5514544.7599999998</v>
      </c>
      <c r="F61" s="232">
        <f t="shared" si="2"/>
        <v>8929355.2400000002</v>
      </c>
      <c r="G61" s="232">
        <f t="shared" si="3"/>
        <v>38.179056625980515</v>
      </c>
      <c r="H61" s="233"/>
    </row>
    <row r="62" spans="1:9" ht="60" x14ac:dyDescent="0.2">
      <c r="A62" s="229" t="s">
        <v>330</v>
      </c>
      <c r="B62" s="230" t="s">
        <v>331</v>
      </c>
      <c r="C62" s="231">
        <v>5647075</v>
      </c>
      <c r="D62" s="231">
        <v>5647075</v>
      </c>
      <c r="E62" s="231">
        <v>1627974.08</v>
      </c>
      <c r="F62" s="232">
        <f t="shared" si="2"/>
        <v>4019100.92</v>
      </c>
      <c r="G62" s="232">
        <f t="shared" si="3"/>
        <v>28.828625084667724</v>
      </c>
      <c r="H62" s="233"/>
    </row>
    <row r="63" spans="1:9" ht="60" x14ac:dyDescent="0.2">
      <c r="A63" s="229" t="s">
        <v>332</v>
      </c>
      <c r="B63" s="230" t="s">
        <v>333</v>
      </c>
      <c r="C63" s="231">
        <v>65286261</v>
      </c>
      <c r="D63" s="231">
        <v>65286261</v>
      </c>
      <c r="E63" s="231">
        <v>30194352.690000001</v>
      </c>
      <c r="F63" s="232">
        <f t="shared" si="2"/>
        <v>35091908.310000002</v>
      </c>
      <c r="G63" s="232">
        <f t="shared" si="3"/>
        <v>46.249168243836174</v>
      </c>
      <c r="H63" s="233"/>
    </row>
    <row r="64" spans="1:9" ht="90" x14ac:dyDescent="0.2">
      <c r="A64" s="229" t="s">
        <v>296</v>
      </c>
      <c r="B64" s="230" t="s">
        <v>297</v>
      </c>
      <c r="C64" s="231">
        <v>27233</v>
      </c>
      <c r="D64" s="231">
        <v>27233</v>
      </c>
      <c r="E64" s="231">
        <v>27233</v>
      </c>
      <c r="F64" s="232">
        <f t="shared" si="2"/>
        <v>0</v>
      </c>
      <c r="G64" s="232">
        <f t="shared" si="3"/>
        <v>100</v>
      </c>
      <c r="H64" s="233"/>
    </row>
    <row r="65" spans="1:8" ht="90" x14ac:dyDescent="0.2">
      <c r="A65" s="229" t="s">
        <v>334</v>
      </c>
      <c r="B65" s="230" t="s">
        <v>335</v>
      </c>
      <c r="C65" s="231">
        <v>592969</v>
      </c>
      <c r="D65" s="231">
        <v>592969</v>
      </c>
      <c r="E65" s="231">
        <v>592969</v>
      </c>
      <c r="F65" s="232">
        <f t="shared" si="2"/>
        <v>0</v>
      </c>
      <c r="G65" s="232">
        <f t="shared" si="3"/>
        <v>100</v>
      </c>
      <c r="H65" s="233"/>
    </row>
    <row r="66" spans="1:8" ht="15" x14ac:dyDescent="0.2">
      <c r="A66" s="229" t="s">
        <v>304</v>
      </c>
      <c r="B66" s="230" t="s">
        <v>305</v>
      </c>
      <c r="C66" s="231">
        <v>650000</v>
      </c>
      <c r="D66" s="231">
        <v>650000</v>
      </c>
      <c r="E66" s="231">
        <v>650000</v>
      </c>
      <c r="F66" s="232">
        <f t="shared" si="2"/>
        <v>0</v>
      </c>
      <c r="G66" s="232">
        <f t="shared" si="3"/>
        <v>100</v>
      </c>
      <c r="H66" s="233"/>
    </row>
    <row r="67" spans="1:8" ht="60" x14ac:dyDescent="0.2">
      <c r="A67" s="229" t="s">
        <v>336</v>
      </c>
      <c r="B67" s="230" t="s">
        <v>337</v>
      </c>
      <c r="C67" s="231">
        <v>2813615</v>
      </c>
      <c r="D67" s="231">
        <v>2813615</v>
      </c>
      <c r="E67" s="231">
        <v>319242.92</v>
      </c>
      <c r="F67" s="232">
        <f t="shared" si="2"/>
        <v>2494372.08</v>
      </c>
      <c r="G67" s="232">
        <f t="shared" si="3"/>
        <v>11.346361175924921</v>
      </c>
      <c r="H67" s="233"/>
    </row>
    <row r="68" spans="1:8" ht="15" x14ac:dyDescent="0.2">
      <c r="A68" s="229" t="s">
        <v>338</v>
      </c>
      <c r="B68" s="230"/>
      <c r="C68" s="231">
        <v>0</v>
      </c>
      <c r="D68" s="231">
        <v>0</v>
      </c>
      <c r="E68" s="231">
        <v>6258119.3200000003</v>
      </c>
      <c r="F68" s="232">
        <f t="shared" si="2"/>
        <v>-6258119.3200000003</v>
      </c>
      <c r="G68" s="232">
        <f t="shared" si="3"/>
        <v>0</v>
      </c>
      <c r="H68" s="233"/>
    </row>
    <row r="69" spans="1:8" ht="30" x14ac:dyDescent="0.2">
      <c r="A69" s="229" t="s">
        <v>204</v>
      </c>
      <c r="B69" s="230" t="s">
        <v>206</v>
      </c>
      <c r="C69" s="231">
        <v>0</v>
      </c>
      <c r="D69" s="231">
        <v>0</v>
      </c>
      <c r="E69" s="231">
        <v>619984</v>
      </c>
      <c r="F69" s="232">
        <f t="shared" si="2"/>
        <v>-619984</v>
      </c>
      <c r="G69" s="232">
        <f t="shared" si="3"/>
        <v>0</v>
      </c>
      <c r="H69" s="233"/>
    </row>
    <row r="70" spans="1:8" ht="30" x14ac:dyDescent="0.2">
      <c r="A70" s="229" t="s">
        <v>207</v>
      </c>
      <c r="B70" s="230" t="s">
        <v>210</v>
      </c>
      <c r="C70" s="231">
        <v>39100</v>
      </c>
      <c r="D70" s="231">
        <v>39100</v>
      </c>
      <c r="E70" s="231">
        <v>1216359.75</v>
      </c>
      <c r="F70" s="232">
        <f t="shared" si="2"/>
        <v>-1177259.75</v>
      </c>
      <c r="G70" s="232">
        <f t="shared" si="3"/>
        <v>3110.8945012787726</v>
      </c>
      <c r="H70" s="233"/>
    </row>
    <row r="71" spans="1:8" ht="15" x14ac:dyDescent="0.2">
      <c r="A71" s="229" t="s">
        <v>125</v>
      </c>
      <c r="B71" s="230" t="s">
        <v>128</v>
      </c>
      <c r="C71" s="231">
        <v>396950</v>
      </c>
      <c r="D71" s="231">
        <v>396950</v>
      </c>
      <c r="E71" s="231">
        <v>396950</v>
      </c>
      <c r="F71" s="232">
        <f t="shared" si="2"/>
        <v>0</v>
      </c>
      <c r="G71" s="232">
        <f t="shared" si="3"/>
        <v>100</v>
      </c>
      <c r="H71" s="233"/>
    </row>
    <row r="72" spans="1:8" ht="15" x14ac:dyDescent="0.2">
      <c r="A72" s="229" t="s">
        <v>339</v>
      </c>
      <c r="B72" s="230" t="s">
        <v>340</v>
      </c>
      <c r="C72" s="231">
        <v>6626954</v>
      </c>
      <c r="D72" s="231">
        <v>6626954</v>
      </c>
      <c r="E72" s="231">
        <v>1726954</v>
      </c>
      <c r="F72" s="232">
        <f t="shared" si="2"/>
        <v>4900000</v>
      </c>
      <c r="G72" s="232">
        <f t="shared" si="3"/>
        <v>26.059544098238796</v>
      </c>
      <c r="H72" s="233"/>
    </row>
    <row r="73" spans="1:8" ht="15" x14ac:dyDescent="0.2">
      <c r="A73" s="229" t="s">
        <v>341</v>
      </c>
      <c r="B73" s="230" t="s">
        <v>342</v>
      </c>
      <c r="C73" s="231">
        <v>11744818</v>
      </c>
      <c r="D73" s="231">
        <v>11744818</v>
      </c>
      <c r="E73" s="231">
        <v>8029948.6899999995</v>
      </c>
      <c r="F73" s="232">
        <f t="shared" si="2"/>
        <v>3714869.3100000005</v>
      </c>
      <c r="G73" s="232">
        <f t="shared" si="3"/>
        <v>68.370141538166024</v>
      </c>
      <c r="H73" s="233"/>
    </row>
    <row r="74" spans="1:8" ht="30" x14ac:dyDescent="0.2">
      <c r="A74" s="229" t="s">
        <v>343</v>
      </c>
      <c r="B74" s="230" t="s">
        <v>344</v>
      </c>
      <c r="C74" s="231">
        <v>42861387</v>
      </c>
      <c r="D74" s="231">
        <v>42861387</v>
      </c>
      <c r="E74" s="231">
        <v>38223006.630000003</v>
      </c>
      <c r="F74" s="232">
        <f t="shared" si="2"/>
        <v>4638380.3699999973</v>
      </c>
      <c r="G74" s="232">
        <f t="shared" si="3"/>
        <v>89.178184154423192</v>
      </c>
      <c r="H74" s="233"/>
    </row>
    <row r="75" spans="1:8" ht="75" x14ac:dyDescent="0.2">
      <c r="A75" s="229" t="s">
        <v>345</v>
      </c>
      <c r="B75" s="230" t="s">
        <v>346</v>
      </c>
      <c r="C75" s="231">
        <v>41433853</v>
      </c>
      <c r="D75" s="231">
        <v>41433853</v>
      </c>
      <c r="E75" s="231">
        <v>9925475.6400000006</v>
      </c>
      <c r="F75" s="232">
        <f t="shared" si="2"/>
        <v>31508377.359999999</v>
      </c>
      <c r="G75" s="232">
        <f t="shared" si="3"/>
        <v>23.954990717373065</v>
      </c>
      <c r="H75" s="233"/>
    </row>
    <row r="76" spans="1:8" ht="45" x14ac:dyDescent="0.2">
      <c r="A76" s="229" t="s">
        <v>347</v>
      </c>
      <c r="B76" s="230" t="s">
        <v>348</v>
      </c>
      <c r="C76" s="231">
        <v>12941627</v>
      </c>
      <c r="D76" s="231">
        <v>12941627</v>
      </c>
      <c r="E76" s="231">
        <v>12495153.609999999</v>
      </c>
      <c r="F76" s="232">
        <f t="shared" si="2"/>
        <v>446473.3900000006</v>
      </c>
      <c r="G76" s="232">
        <f t="shared" si="3"/>
        <v>96.55009845361792</v>
      </c>
      <c r="H76" s="233"/>
    </row>
    <row r="77" spans="1:8" ht="60" x14ac:dyDescent="0.2">
      <c r="A77" s="229" t="s">
        <v>349</v>
      </c>
      <c r="B77" s="230" t="s">
        <v>350</v>
      </c>
      <c r="C77" s="231">
        <v>16000</v>
      </c>
      <c r="D77" s="231">
        <v>16000</v>
      </c>
      <c r="E77" s="231">
        <v>16000</v>
      </c>
      <c r="F77" s="232">
        <f t="shared" si="2"/>
        <v>0</v>
      </c>
      <c r="G77" s="232">
        <f t="shared" si="3"/>
        <v>100</v>
      </c>
      <c r="H77" s="233"/>
    </row>
    <row r="78" spans="1:8" ht="90" x14ac:dyDescent="0.2">
      <c r="A78" s="229" t="s">
        <v>351</v>
      </c>
      <c r="B78" s="230" t="s">
        <v>352</v>
      </c>
      <c r="C78" s="231">
        <v>30119</v>
      </c>
      <c r="D78" s="231">
        <v>27380</v>
      </c>
      <c r="E78" s="231">
        <v>0</v>
      </c>
      <c r="F78" s="232">
        <f t="shared" si="2"/>
        <v>27380</v>
      </c>
      <c r="G78" s="232">
        <f t="shared" si="3"/>
        <v>0</v>
      </c>
      <c r="H78" s="233"/>
    </row>
    <row r="79" spans="1:8" ht="15" x14ac:dyDescent="0.2">
      <c r="A79" s="229" t="s">
        <v>135</v>
      </c>
      <c r="B79" s="230" t="s">
        <v>137</v>
      </c>
      <c r="C79" s="231">
        <v>40874</v>
      </c>
      <c r="D79" s="231">
        <v>40874</v>
      </c>
      <c r="E79" s="231">
        <v>40873.800000000003</v>
      </c>
      <c r="F79" s="232">
        <f t="shared" si="2"/>
        <v>0.19999999999708962</v>
      </c>
      <c r="G79" s="232">
        <f t="shared" si="3"/>
        <v>99.99951069139307</v>
      </c>
      <c r="H79" s="233"/>
    </row>
    <row r="80" spans="1:8" ht="15" x14ac:dyDescent="0.2">
      <c r="A80" s="229" t="s">
        <v>149</v>
      </c>
      <c r="B80" s="230" t="s">
        <v>152</v>
      </c>
      <c r="C80" s="231">
        <v>7840264</v>
      </c>
      <c r="D80" s="231">
        <v>7840264</v>
      </c>
      <c r="E80" s="231">
        <v>7754000</v>
      </c>
      <c r="F80" s="232">
        <f t="shared" si="2"/>
        <v>86264</v>
      </c>
      <c r="G80" s="232">
        <f t="shared" si="3"/>
        <v>98.899730927427953</v>
      </c>
      <c r="H80" s="233"/>
    </row>
    <row r="81" spans="1:8" ht="15" x14ac:dyDescent="0.2">
      <c r="A81" s="229" t="s">
        <v>153</v>
      </c>
      <c r="B81" s="230" t="s">
        <v>156</v>
      </c>
      <c r="C81" s="231">
        <v>24898</v>
      </c>
      <c r="D81" s="231">
        <v>23015</v>
      </c>
      <c r="E81" s="231">
        <v>0</v>
      </c>
      <c r="F81" s="232">
        <f t="shared" si="2"/>
        <v>23015</v>
      </c>
      <c r="G81" s="232">
        <f t="shared" si="3"/>
        <v>0</v>
      </c>
      <c r="H81" s="233"/>
    </row>
    <row r="82" spans="1:8" ht="15" x14ac:dyDescent="0.2">
      <c r="A82" s="229" t="s">
        <v>320</v>
      </c>
      <c r="B82" s="230" t="s">
        <v>267</v>
      </c>
      <c r="C82" s="231">
        <v>720000</v>
      </c>
      <c r="D82" s="231">
        <v>720000</v>
      </c>
      <c r="E82" s="231">
        <v>720000</v>
      </c>
      <c r="F82" s="232">
        <f t="shared" si="2"/>
        <v>0</v>
      </c>
      <c r="G82" s="232">
        <f t="shared" si="3"/>
        <v>100</v>
      </c>
      <c r="H82" s="233"/>
    </row>
    <row r="83" spans="1:8" ht="45" x14ac:dyDescent="0.2">
      <c r="A83" s="229" t="s">
        <v>321</v>
      </c>
      <c r="B83" s="230" t="s">
        <v>322</v>
      </c>
      <c r="C83" s="231">
        <v>1430000</v>
      </c>
      <c r="D83" s="231">
        <v>1430000</v>
      </c>
      <c r="E83" s="231">
        <v>1430000</v>
      </c>
      <c r="F83" s="232">
        <f t="shared" si="2"/>
        <v>0</v>
      </c>
      <c r="G83" s="232">
        <f t="shared" si="3"/>
        <v>100</v>
      </c>
      <c r="H83" s="233"/>
    </row>
    <row r="84" spans="1:8" ht="45" x14ac:dyDescent="0.2">
      <c r="A84" s="229" t="s">
        <v>224</v>
      </c>
      <c r="B84" s="230" t="s">
        <v>220</v>
      </c>
      <c r="C84" s="231">
        <v>61800</v>
      </c>
      <c r="D84" s="231">
        <v>61800</v>
      </c>
      <c r="E84" s="231">
        <v>61800</v>
      </c>
      <c r="F84" s="232">
        <f t="shared" si="2"/>
        <v>0</v>
      </c>
      <c r="G84" s="232">
        <f t="shared" si="3"/>
        <v>100</v>
      </c>
      <c r="H84" s="233"/>
    </row>
    <row r="85" spans="1:8" ht="18.75" customHeight="1" x14ac:dyDescent="0.2">
      <c r="A85" s="229" t="s">
        <v>225</v>
      </c>
      <c r="B85" s="230" t="s">
        <v>128</v>
      </c>
      <c r="C85" s="231">
        <v>99950</v>
      </c>
      <c r="D85" s="231">
        <v>99950</v>
      </c>
      <c r="E85" s="231">
        <v>99950</v>
      </c>
      <c r="F85" s="232">
        <f t="shared" si="2"/>
        <v>0</v>
      </c>
      <c r="G85" s="232">
        <f t="shared" si="3"/>
        <v>100</v>
      </c>
      <c r="H85" s="233"/>
    </row>
    <row r="86" spans="1:8" ht="15.75" x14ac:dyDescent="0.2">
      <c r="A86" s="241" t="s">
        <v>323</v>
      </c>
      <c r="B86" s="235" t="s">
        <v>324</v>
      </c>
      <c r="C86" s="236">
        <v>223709339</v>
      </c>
      <c r="D86" s="236">
        <v>223683883.66666669</v>
      </c>
      <c r="E86" s="236">
        <v>159272070.60000002</v>
      </c>
      <c r="F86" s="236">
        <f t="shared" si="2"/>
        <v>64411813.066666663</v>
      </c>
      <c r="G86" s="236">
        <f t="shared" si="3"/>
        <v>71.204088550852845</v>
      </c>
      <c r="H86" s="233"/>
    </row>
  </sheetData>
  <mergeCells count="4">
    <mergeCell ref="A2:G2"/>
    <mergeCell ref="A3:G3"/>
    <mergeCell ref="A4:G4"/>
    <mergeCell ref="A52:G52"/>
  </mergeCells>
  <conditionalFormatting sqref="A8:A50">
    <cfRule type="expression" dxfId="59" priority="34" stopIfTrue="1">
      <formula>#REF!=1</formula>
    </cfRule>
    <cfRule type="expression" dxfId="58" priority="35" stopIfTrue="1">
      <formula>#REF!=2</formula>
    </cfRule>
    <cfRule type="expression" dxfId="57" priority="36" stopIfTrue="1">
      <formula>#REF!=3</formula>
    </cfRule>
  </conditionalFormatting>
  <conditionalFormatting sqref="B8:B50 B53 A52">
    <cfRule type="expression" dxfId="56" priority="37" stopIfTrue="1">
      <formula>#REF!=1</formula>
    </cfRule>
    <cfRule type="expression" dxfId="55" priority="38" stopIfTrue="1">
      <formula>#REF!=2</formula>
    </cfRule>
    <cfRule type="expression" dxfId="54" priority="39" stopIfTrue="1">
      <formula>#REF!=3</formula>
    </cfRule>
  </conditionalFormatting>
  <conditionalFormatting sqref="C8:C50">
    <cfRule type="expression" dxfId="53" priority="40" stopIfTrue="1">
      <formula>#REF!=1</formula>
    </cfRule>
    <cfRule type="expression" dxfId="52" priority="41" stopIfTrue="1">
      <formula>#REF!=2</formula>
    </cfRule>
    <cfRule type="expression" dxfId="51" priority="42" stopIfTrue="1">
      <formula>#REF!=3</formula>
    </cfRule>
  </conditionalFormatting>
  <conditionalFormatting sqref="D8:D50">
    <cfRule type="expression" dxfId="50" priority="43" stopIfTrue="1">
      <formula>#REF!=1</formula>
    </cfRule>
    <cfRule type="expression" dxfId="49" priority="44" stopIfTrue="1">
      <formula>#REF!=2</formula>
    </cfRule>
    <cfRule type="expression" dxfId="48" priority="45" stopIfTrue="1">
      <formula>#REF!=3</formula>
    </cfRule>
  </conditionalFormatting>
  <conditionalFormatting sqref="E8:E50">
    <cfRule type="expression" dxfId="47" priority="46" stopIfTrue="1">
      <formula>#REF!=1</formula>
    </cfRule>
    <cfRule type="expression" dxfId="46" priority="47" stopIfTrue="1">
      <formula>#REF!=2</formula>
    </cfRule>
    <cfRule type="expression" dxfId="45" priority="48" stopIfTrue="1">
      <formula>#REF!=3</formula>
    </cfRule>
  </conditionalFormatting>
  <conditionalFormatting sqref="F53">
    <cfRule type="expression" dxfId="44" priority="49" stopIfTrue="1">
      <formula>#REF!=1</formula>
    </cfRule>
    <cfRule type="expression" dxfId="43" priority="50" stopIfTrue="1">
      <formula>#REF!=2</formula>
    </cfRule>
    <cfRule type="expression" dxfId="42" priority="51" stopIfTrue="1">
      <formula>#REF!=3</formula>
    </cfRule>
  </conditionalFormatting>
  <conditionalFormatting sqref="G53">
    <cfRule type="expression" dxfId="41" priority="52" stopIfTrue="1">
      <formula>#REF!=1</formula>
    </cfRule>
    <cfRule type="expression" dxfId="40" priority="53" stopIfTrue="1">
      <formula>#REF!=2</formula>
    </cfRule>
    <cfRule type="expression" dxfId="39" priority="54" stopIfTrue="1">
      <formula>#REF!=3</formula>
    </cfRule>
  </conditionalFormatting>
  <conditionalFormatting sqref="F8:F50 H52:H53">
    <cfRule type="expression" dxfId="38" priority="55" stopIfTrue="1">
      <formula>#REF!=1</formula>
    </cfRule>
    <cfRule type="expression" dxfId="37" priority="56" stopIfTrue="1">
      <formula>#REF!=2</formula>
    </cfRule>
    <cfRule type="expression" dxfId="36" priority="57" stopIfTrue="1">
      <formula>#REF!=3</formula>
    </cfRule>
  </conditionalFormatting>
  <conditionalFormatting sqref="G8:G50 I52:I53">
    <cfRule type="expression" dxfId="35" priority="58" stopIfTrue="1">
      <formula>#REF!=1</formula>
    </cfRule>
    <cfRule type="expression" dxfId="34" priority="59" stopIfTrue="1">
      <formula>#REF!=2</formula>
    </cfRule>
    <cfRule type="expression" dxfId="33" priority="60" stopIfTrue="1">
      <formula>#REF!=3</formula>
    </cfRule>
  </conditionalFormatting>
  <conditionalFormatting sqref="A53">
    <cfRule type="expression" dxfId="32" priority="22" stopIfTrue="1">
      <formula>#REF!=1</formula>
    </cfRule>
    <cfRule type="expression" dxfId="31" priority="23" stopIfTrue="1">
      <formula>#REF!=2</formula>
    </cfRule>
    <cfRule type="expression" dxfId="30" priority="24" stopIfTrue="1">
      <formula>#REF!=3</formula>
    </cfRule>
  </conditionalFormatting>
  <conditionalFormatting sqref="C53">
    <cfRule type="expression" dxfId="29" priority="25" stopIfTrue="1">
      <formula>#REF!=1</formula>
    </cfRule>
    <cfRule type="expression" dxfId="28" priority="26" stopIfTrue="1">
      <formula>#REF!=2</formula>
    </cfRule>
    <cfRule type="expression" dxfId="27" priority="27" stopIfTrue="1">
      <formula>#REF!=3</formula>
    </cfRule>
  </conditionalFormatting>
  <conditionalFormatting sqref="D53">
    <cfRule type="expression" dxfId="26" priority="28" stopIfTrue="1">
      <formula>#REF!=1</formula>
    </cfRule>
    <cfRule type="expression" dxfId="25" priority="29" stopIfTrue="1">
      <formula>#REF!=2</formula>
    </cfRule>
    <cfRule type="expression" dxfId="24" priority="30" stopIfTrue="1">
      <formula>#REF!=3</formula>
    </cfRule>
  </conditionalFormatting>
  <conditionalFormatting sqref="E53">
    <cfRule type="expression" dxfId="23" priority="31" stopIfTrue="1">
      <formula>#REF!=1</formula>
    </cfRule>
    <cfRule type="expression" dxfId="22" priority="32" stopIfTrue="1">
      <formula>#REF!=2</formula>
    </cfRule>
    <cfRule type="expression" dxfId="21" priority="33" stopIfTrue="1">
      <formula>#REF!=3</formula>
    </cfRule>
  </conditionalFormatting>
  <conditionalFormatting sqref="A56:A86">
    <cfRule type="expression" dxfId="20" priority="1" stopIfTrue="1">
      <formula>#REF!=1</formula>
    </cfRule>
    <cfRule type="expression" dxfId="19" priority="2" stopIfTrue="1">
      <formula>#REF!=2</formula>
    </cfRule>
    <cfRule type="expression" dxfId="18" priority="3" stopIfTrue="1">
      <formula>#REF!=3</formula>
    </cfRule>
  </conditionalFormatting>
  <conditionalFormatting sqref="B56:B86">
    <cfRule type="expression" dxfId="17" priority="4" stopIfTrue="1">
      <formula>#REF!=1</formula>
    </cfRule>
    <cfRule type="expression" dxfId="16" priority="5" stopIfTrue="1">
      <formula>#REF!=2</formula>
    </cfRule>
    <cfRule type="expression" dxfId="15" priority="6" stopIfTrue="1">
      <formula>#REF!=3</formula>
    </cfRule>
  </conditionalFormatting>
  <conditionalFormatting sqref="C56:C86">
    <cfRule type="expression" dxfId="14" priority="7" stopIfTrue="1">
      <formula>#REF!=1</formula>
    </cfRule>
    <cfRule type="expression" dxfId="13" priority="8" stopIfTrue="1">
      <formula>#REF!=2</formula>
    </cfRule>
    <cfRule type="expression" dxfId="12" priority="9" stopIfTrue="1">
      <formula>#REF!=3</formula>
    </cfRule>
  </conditionalFormatting>
  <conditionalFormatting sqref="D56:D86">
    <cfRule type="expression" dxfId="11" priority="10" stopIfTrue="1">
      <formula>#REF!=1</formula>
    </cfRule>
    <cfRule type="expression" dxfId="10" priority="11" stopIfTrue="1">
      <formula>#REF!=2</formula>
    </cfRule>
    <cfRule type="expression" dxfId="9" priority="12" stopIfTrue="1">
      <formula>#REF!=3</formula>
    </cfRule>
  </conditionalFormatting>
  <conditionalFormatting sqref="E56:E86">
    <cfRule type="expression" dxfId="8" priority="13" stopIfTrue="1">
      <formula>#REF!=1</formula>
    </cfRule>
    <cfRule type="expression" dxfId="7" priority="14" stopIfTrue="1">
      <formula>#REF!=2</formula>
    </cfRule>
    <cfRule type="expression" dxfId="6" priority="15" stopIfTrue="1">
      <formula>#REF!=3</formula>
    </cfRule>
  </conditionalFormatting>
  <conditionalFormatting sqref="F56:F86">
    <cfRule type="expression" dxfId="5" priority="16" stopIfTrue="1">
      <formula>#REF!=1</formula>
    </cfRule>
    <cfRule type="expression" dxfId="4" priority="17" stopIfTrue="1">
      <formula>#REF!=2</formula>
    </cfRule>
    <cfRule type="expression" dxfId="3" priority="18" stopIfTrue="1">
      <formula>#REF!=3</formula>
    </cfRule>
  </conditionalFormatting>
  <conditionalFormatting sqref="G56:G86">
    <cfRule type="expression" dxfId="2" priority="19" stopIfTrue="1">
      <formula>#REF!=1</formula>
    </cfRule>
    <cfRule type="expression" dxfId="1" priority="20" stopIfTrue="1">
      <formula>#REF!=2</formula>
    </cfRule>
    <cfRule type="expression" dxfId="0" priority="21" stopIfTrue="1">
      <formula>#REF!=3</formula>
    </cfRule>
  </conditionalFormatting>
  <pageMargins left="0.9055118110236221" right="0.31496062992125984" top="0.19685039370078741" bottom="0.19685039370078741" header="0" footer="0"/>
  <pageSetup paperSize="9" scale="60" fitToHeight="50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додаток 1</vt:lpstr>
      <vt:lpstr>додаток 3</vt:lpstr>
      <vt:lpstr>додаток 5</vt:lpstr>
      <vt:lpstr>додаток 7</vt:lpstr>
      <vt:lpstr>аналіз доходів</vt:lpstr>
      <vt:lpstr>аналіз видатків</vt:lpstr>
      <vt:lpstr>'аналіз видатків'!Заголовки_для_печати</vt:lpstr>
      <vt:lpstr>'аналіз доходів'!Заголовки_для_печати</vt:lpstr>
      <vt:lpstr>'додаток 1'!Заголовки_для_печати</vt:lpstr>
      <vt:lpstr>'додаток 3'!Заголовки_для_печати</vt:lpstr>
      <vt:lpstr>'додаток 7'!Заголовки_для_печати</vt:lpstr>
      <vt:lpstr>'додаток 7'!Область_печати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cp:lastPrinted>2024-12-18T07:55:00Z</cp:lastPrinted>
  <dcterms:created xsi:type="dcterms:W3CDTF">2024-12-12T08:57:32Z</dcterms:created>
  <dcterms:modified xsi:type="dcterms:W3CDTF">2024-12-23T10:03:57Z</dcterms:modified>
</cp:coreProperties>
</file>