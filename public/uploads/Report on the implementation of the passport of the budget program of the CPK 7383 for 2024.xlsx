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49E7A115-93FA-43EA-8A46-EBA02E594E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83" sheetId="1" r:id="rId1"/>
  </sheets>
  <definedNames>
    <definedName name="_xlnm.Print_Area" localSheetId="0">КПК0117383!$A$1:$BQ$101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60" i="1" l="1"/>
  <c r="BI59" i="1"/>
  <c r="BN44" i="1"/>
  <c r="BN43" i="1"/>
</calcChain>
</file>

<file path=xl/sharedStrings.xml><?xml version="1.0" encoding="utf-8"?>
<sst xmlns="http://schemas.openxmlformats.org/spreadsheetml/2006/main" count="208" uniqueCount="119">
  <si>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</si>
  <si>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</si>
  <si>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</si>
  <si>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</si>
  <si>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</si>
  <si>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</si>
  <si>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</si>
  <si>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</si>
  <si>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</si>
  <si>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</si>
  <si>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</si>
  <si>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</si>
  <si>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</si>
  <si>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</si>
  <si>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</si>
  <si>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</si>
  <si>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</si>
  <si>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</si>
  <si>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</si>
  <si>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</si>
  <si>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</si>
  <si>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</si>
  <si>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</si>
  <si>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</si>
  <si>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</si>
  <si>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</si>
  <si>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</si>
  <si>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</si>
  <si>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</si>
  <si>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</si>
  <si>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</si>
  <si>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</si>
  <si>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</si>
  <si>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</si>
  <si>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</si>
  <si>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</si>
  <si>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</si>
  <si>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</si>
  <si>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</si>
  <si>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</si>
  <si>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</si>
  <si>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</si>
  <si>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</si>
  <si>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</si>
  <si>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</si>
  <si>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</si>
  <si>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</si>
  <si>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</si>
  <si>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</si>
  <si>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</si>
  <si>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</si>
  <si>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</si>
  <si>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</si>
  <si>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</si>
  <si>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</si>
  <si>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</si>
  <si>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</si>
  <si>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</si>
  <si>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</si>
  <si>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</si>
  <si>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</si>
  <si>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</si>
  <si>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</si>
  <si>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</si>
  <si>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</si>
  <si>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</si>
  <si>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</si>
  <si>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</si>
  <si>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</si>
  <si>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</si>
  <si>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</si>
  <si>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</si>
  <si>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</si>
  <si>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</si>
  <si>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</si>
  <si>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</si>
  <si>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</si>
  <si>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</si>
  <si>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задоволення потреб населення і галузей економіки у водних ресурсах</t>
  </si>
  <si>
    <t>Проведення реконструкції водопроводів</t>
  </si>
  <si>
    <t>Проведення реконструкції північного групового водопроводу від м.Запоріжжя до с.Лукашеве для водопостачання населених пунктів Запорізького району</t>
  </si>
  <si>
    <t>УСЬОГО</t>
  </si>
  <si>
    <t>Економія коштів за результатами проведених процедур закупівлі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</si>
  <si>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</si>
  <si>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</si>
  <si>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</si>
  <si>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</si>
  <si>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Обсяг видатків на проведення реконструкції об'єктів</t>
  </si>
  <si>
    <t>грн.</t>
  </si>
  <si>
    <t>рішення сесії</t>
  </si>
  <si>
    <t>продукту</t>
  </si>
  <si>
    <t>Кількість об'єктів, які планується реконструювати</t>
  </si>
  <si>
    <t>од.</t>
  </si>
  <si>
    <t>ефективності</t>
  </si>
  <si>
    <t>Середні видатки на проведення реконструкції одного об'єкта</t>
  </si>
  <si>
    <t>розрахунковий показник</t>
  </si>
  <si>
    <t>якості</t>
  </si>
  <si>
    <t>рівень готовності об'єктів реконструкції</t>
  </si>
  <si>
    <t>відс.</t>
  </si>
  <si>
    <t>акт введення в експлуатацію</t>
  </si>
  <si>
    <t>За безпечення якісними та доступними послугами водопостачання мешканців населених пунктів громади</t>
  </si>
  <si>
    <t>Результативні показники бюджетної програми виконані в повному обсязі.</t>
  </si>
  <si>
    <t>Мета бюджетної програми виконана в повному обсязі._x000D_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розвитку житлово-комунального господарства, соціальної інфраструктури  та благоустрою населених пунктів Широківської сільської ради на 2022-2024 роки (зі змінами та доповненнями)_x000D_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</si>
  <si>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</si>
  <si>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</si>
  <si>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</si>
  <si>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</si>
  <si>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</si>
  <si>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</si>
  <si>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</si>
  <si>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</si>
  <si>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</si>
  <si>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</si>
  <si>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0117383</t>
  </si>
  <si>
    <t>Реалізація проектів (об`єктів, заходів) за рахунок коштів фонду ліквідації наслідків збройної агресії</t>
  </si>
  <si>
    <t>Широківська сільська рада Запорізького району Запорізької області</t>
  </si>
  <si>
    <t>0110000</t>
  </si>
  <si>
    <t>7383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</si>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</sst>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5" zoomScaleNormal="100" workbookViewId="0">
      <selection activeCell="A100" sqref="A100:V100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3.42578125" style="1" customWidth="1"/>
    <col min="56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112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103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104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109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115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109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68" t="s">
        <v>113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117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118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114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110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100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111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25.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0</v>
      </c>
      <c r="AB43" s="47"/>
      <c r="AC43" s="47"/>
      <c r="AD43" s="47"/>
      <c r="AE43" s="47"/>
      <c r="AF43" s="47">
        <v>42861387</v>
      </c>
      <c r="AG43" s="47"/>
      <c r="AH43" s="47"/>
      <c r="AI43" s="47"/>
      <c r="AJ43" s="47"/>
      <c r="AK43" s="47">
        <f>AA43+AF43</f>
        <v>42861387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42272599.549999997</v>
      </c>
      <c r="AV43" s="47"/>
      <c r="AW43" s="47"/>
      <c r="AX43" s="47"/>
      <c r="AY43" s="47"/>
      <c r="AZ43" s="47">
        <f>AP43+AU43</f>
        <v>42272599.549999997</v>
      </c>
      <c r="BA43" s="47"/>
      <c r="BB43" s="47"/>
      <c r="BC43" s="47"/>
      <c r="BD43" s="47">
        <f>AP43-AA43</f>
        <v>0</v>
      </c>
      <c r="BE43" s="47"/>
      <c r="BF43" s="47"/>
      <c r="BG43" s="47"/>
      <c r="BH43" s="47"/>
      <c r="BI43" s="47">
        <f>AU43-AF43</f>
        <v>-588787.45000000298</v>
      </c>
      <c r="BJ43" s="47"/>
      <c r="BK43" s="47"/>
      <c r="BL43" s="47"/>
      <c r="BM43" s="47"/>
      <c r="BN43" s="47">
        <f>BD43+BI43</f>
        <v>-588787.45000000298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0</v>
      </c>
      <c r="AB44" s="48"/>
      <c r="AC44" s="48"/>
      <c r="AD44" s="48"/>
      <c r="AE44" s="48"/>
      <c r="AF44" s="48">
        <v>42861387</v>
      </c>
      <c r="AG44" s="48"/>
      <c r="AH44" s="48"/>
      <c r="AI44" s="48"/>
      <c r="AJ44" s="48"/>
      <c r="AK44" s="48">
        <f>AA44+AF44</f>
        <v>42861387</v>
      </c>
      <c r="AL44" s="48"/>
      <c r="AM44" s="48"/>
      <c r="AN44" s="48"/>
      <c r="AO44" s="48"/>
      <c r="AP44" s="48">
        <v>0</v>
      </c>
      <c r="AQ44" s="48"/>
      <c r="AR44" s="48"/>
      <c r="AS44" s="48"/>
      <c r="AT44" s="48"/>
      <c r="AU44" s="48">
        <v>42272599.549999997</v>
      </c>
      <c r="AV44" s="48"/>
      <c r="AW44" s="48"/>
      <c r="AX44" s="48"/>
      <c r="AY44" s="48"/>
      <c r="AZ44" s="48">
        <f>AP44+AU44</f>
        <v>42272599.549999997</v>
      </c>
      <c r="BA44" s="48"/>
      <c r="BB44" s="48"/>
      <c r="BC44" s="48"/>
      <c r="BD44" s="48">
        <f>AP44-AA44</f>
        <v>0</v>
      </c>
      <c r="BE44" s="48"/>
      <c r="BF44" s="48"/>
      <c r="BG44" s="48"/>
      <c r="BH44" s="48"/>
      <c r="BI44" s="48">
        <f>AU44-AF44</f>
        <v>-588787.45000000298</v>
      </c>
      <c r="BJ44" s="48"/>
      <c r="BK44" s="48"/>
      <c r="BL44" s="48"/>
      <c r="BM44" s="48"/>
      <c r="BN44" s="48">
        <f>BD44+BI44</f>
        <v>-588787.45000000298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111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38.25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0</v>
      </c>
      <c r="T59" s="47"/>
      <c r="U59" s="47"/>
      <c r="V59" s="47"/>
      <c r="W59" s="47"/>
      <c r="X59" s="47">
        <v>42861387</v>
      </c>
      <c r="Y59" s="47"/>
      <c r="Z59" s="47"/>
      <c r="AA59" s="47"/>
      <c r="AB59" s="47"/>
      <c r="AC59" s="47">
        <f>S59+X59</f>
        <v>42861387</v>
      </c>
      <c r="AD59" s="47"/>
      <c r="AE59" s="47"/>
      <c r="AF59" s="47"/>
      <c r="AG59" s="47"/>
      <c r="AH59" s="47"/>
      <c r="AI59" s="47">
        <v>0</v>
      </c>
      <c r="AJ59" s="47"/>
      <c r="AK59" s="47"/>
      <c r="AL59" s="47"/>
      <c r="AM59" s="47"/>
      <c r="AN59" s="47">
        <v>42272599.549999997</v>
      </c>
      <c r="AO59" s="47"/>
      <c r="AP59" s="47"/>
      <c r="AQ59" s="47"/>
      <c r="AR59" s="47"/>
      <c r="AS59" s="47">
        <f>AI59+AN59</f>
        <v>42272599.549999997</v>
      </c>
      <c r="AT59" s="47"/>
      <c r="AU59" s="47"/>
      <c r="AV59" s="47"/>
      <c r="AW59" s="47"/>
      <c r="AX59" s="47"/>
      <c r="AY59" s="47">
        <f>AI59-S59</f>
        <v>0</v>
      </c>
      <c r="AZ59" s="47"/>
      <c r="BA59" s="47"/>
      <c r="BB59" s="47"/>
      <c r="BC59" s="47"/>
      <c r="BD59" s="113">
        <f>AN59-X59</f>
        <v>-588787.45000000298</v>
      </c>
      <c r="BE59" s="113"/>
      <c r="BF59" s="113"/>
      <c r="BG59" s="113"/>
      <c r="BH59" s="113"/>
      <c r="BI59" s="113">
        <f>AY59+BD59</f>
        <v>-588787.45000000298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0</v>
      </c>
      <c r="T60" s="48"/>
      <c r="U60" s="48"/>
      <c r="V60" s="48"/>
      <c r="W60" s="48"/>
      <c r="X60" s="48">
        <v>42861387</v>
      </c>
      <c r="Y60" s="48"/>
      <c r="Z60" s="48"/>
      <c r="AA60" s="48"/>
      <c r="AB60" s="48"/>
      <c r="AC60" s="48">
        <f>S60+X60</f>
        <v>42861387</v>
      </c>
      <c r="AD60" s="48"/>
      <c r="AE60" s="48"/>
      <c r="AF60" s="48"/>
      <c r="AG60" s="48"/>
      <c r="AH60" s="48"/>
      <c r="AI60" s="48">
        <v>0</v>
      </c>
      <c r="AJ60" s="48"/>
      <c r="AK60" s="48"/>
      <c r="AL60" s="48"/>
      <c r="AM60" s="48"/>
      <c r="AN60" s="48">
        <v>42272599.549999997</v>
      </c>
      <c r="AO60" s="48"/>
      <c r="AP60" s="48"/>
      <c r="AQ60" s="48"/>
      <c r="AR60" s="48"/>
      <c r="AS60" s="48">
        <f>AI60+AN60</f>
        <v>42272599.549999997</v>
      </c>
      <c r="AT60" s="48"/>
      <c r="AU60" s="48"/>
      <c r="AV60" s="48"/>
      <c r="AW60" s="48"/>
      <c r="AX60" s="48"/>
      <c r="AY60" s="48">
        <f>AI60-S60</f>
        <v>0</v>
      </c>
      <c r="AZ60" s="48"/>
      <c r="BA60" s="48"/>
      <c r="BB60" s="48"/>
      <c r="BC60" s="48"/>
      <c r="BD60" s="53">
        <f>AN60-X60</f>
        <v>-588787.45000000298</v>
      </c>
      <c r="BE60" s="53"/>
      <c r="BF60" s="53"/>
      <c r="BG60" s="53"/>
      <c r="BH60" s="53"/>
      <c r="BI60" s="53">
        <f>AY60+BD60</f>
        <v>-588787.45000000298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38.25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50" t="s">
        <v>89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0</v>
      </c>
      <c r="Z70" s="47"/>
      <c r="AA70" s="47"/>
      <c r="AB70" s="47"/>
      <c r="AC70" s="47"/>
      <c r="AD70" s="47">
        <v>42861387</v>
      </c>
      <c r="AE70" s="47"/>
      <c r="AF70" s="47"/>
      <c r="AG70" s="47"/>
      <c r="AH70" s="47"/>
      <c r="AI70" s="47">
        <v>42861387</v>
      </c>
      <c r="AJ70" s="47"/>
      <c r="AK70" s="47"/>
      <c r="AL70" s="47"/>
      <c r="AM70" s="47"/>
      <c r="AN70" s="47">
        <v>0</v>
      </c>
      <c r="AO70" s="47"/>
      <c r="AP70" s="47"/>
      <c r="AQ70" s="47"/>
      <c r="AR70" s="47"/>
      <c r="AS70" s="47">
        <v>42272599.549999997</v>
      </c>
      <c r="AT70" s="47"/>
      <c r="AU70" s="47"/>
      <c r="AV70" s="47"/>
      <c r="AW70" s="47"/>
      <c r="AX70" s="47">
        <v>42272599.549999997</v>
      </c>
      <c r="AY70" s="47"/>
      <c r="AZ70" s="47"/>
      <c r="BA70" s="47"/>
      <c r="BB70" s="47"/>
      <c r="BC70" s="47">
        <f>AN70-Y70</f>
        <v>0</v>
      </c>
      <c r="BD70" s="47"/>
      <c r="BE70" s="47"/>
      <c r="BF70" s="47"/>
      <c r="BG70" s="47"/>
      <c r="BH70" s="47">
        <f>AS70-AD70</f>
        <v>-588787.45000000298</v>
      </c>
      <c r="BI70" s="47"/>
      <c r="BJ70" s="47"/>
      <c r="BK70" s="47"/>
      <c r="BL70" s="47"/>
      <c r="BM70" s="47">
        <v>-588787.45000000298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2" t="s">
        <v>86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38.25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92</v>
      </c>
      <c r="K72" s="50"/>
      <c r="L72" s="50"/>
      <c r="M72" s="50"/>
      <c r="N72" s="50"/>
      <c r="O72" s="50" t="s">
        <v>89</v>
      </c>
      <c r="P72" s="50"/>
      <c r="Q72" s="50"/>
      <c r="R72" s="50"/>
      <c r="S72" s="50"/>
      <c r="T72" s="50"/>
      <c r="U72" s="50"/>
      <c r="V72" s="50"/>
      <c r="W72" s="50"/>
      <c r="X72" s="50"/>
      <c r="Y72" s="47">
        <v>0</v>
      </c>
      <c r="Z72" s="47"/>
      <c r="AA72" s="47"/>
      <c r="AB72" s="47"/>
      <c r="AC72" s="47"/>
      <c r="AD72" s="47">
        <v>1</v>
      </c>
      <c r="AE72" s="47"/>
      <c r="AF72" s="47"/>
      <c r="AG72" s="47"/>
      <c r="AH72" s="47"/>
      <c r="AI72" s="47">
        <v>1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1</v>
      </c>
      <c r="AT72" s="47"/>
      <c r="AU72" s="47"/>
      <c r="AV72" s="47"/>
      <c r="AW72" s="47"/>
      <c r="AX72" s="47">
        <v>1</v>
      </c>
      <c r="AY72" s="47"/>
      <c r="AZ72" s="47"/>
      <c r="BA72" s="47"/>
      <c r="BB72" s="47"/>
      <c r="BC72" s="47">
        <f>AN72-Y72</f>
        <v>0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0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93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2" t="s">
        <v>86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51" customHeight="1" x14ac:dyDescent="0.2">
      <c r="A74" s="39">
        <v>1</v>
      </c>
      <c r="B74" s="39"/>
      <c r="C74" s="49" t="s">
        <v>94</v>
      </c>
      <c r="D74" s="41"/>
      <c r="E74" s="41"/>
      <c r="F74" s="41"/>
      <c r="G74" s="41"/>
      <c r="H74" s="41"/>
      <c r="I74" s="42"/>
      <c r="J74" s="50" t="s">
        <v>88</v>
      </c>
      <c r="K74" s="50"/>
      <c r="L74" s="50"/>
      <c r="M74" s="50"/>
      <c r="N74" s="50"/>
      <c r="O74" s="49" t="s">
        <v>95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0</v>
      </c>
      <c r="Z74" s="47"/>
      <c r="AA74" s="47"/>
      <c r="AB74" s="47"/>
      <c r="AC74" s="47"/>
      <c r="AD74" s="47">
        <v>42861387</v>
      </c>
      <c r="AE74" s="47"/>
      <c r="AF74" s="47"/>
      <c r="AG74" s="47"/>
      <c r="AH74" s="47"/>
      <c r="AI74" s="47">
        <v>42861387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42272599.549999997</v>
      </c>
      <c r="AT74" s="47"/>
      <c r="AU74" s="47"/>
      <c r="AV74" s="47"/>
      <c r="AW74" s="47"/>
      <c r="AX74" s="47">
        <v>42272599.549999997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-588787.45000000298</v>
      </c>
      <c r="BI74" s="47"/>
      <c r="BJ74" s="47"/>
      <c r="BK74" s="47"/>
      <c r="BL74" s="47"/>
      <c r="BM74" s="47">
        <v>-588787.45000000298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96</v>
      </c>
      <c r="D75" s="33"/>
      <c r="E75" s="33"/>
      <c r="F75" s="33"/>
      <c r="G75" s="33"/>
      <c r="H75" s="33"/>
      <c r="I75" s="34"/>
      <c r="J75" s="52" t="s">
        <v>86</v>
      </c>
      <c r="K75" s="52"/>
      <c r="L75" s="52"/>
      <c r="M75" s="52"/>
      <c r="N75" s="52"/>
      <c r="O75" s="51" t="s">
        <v>86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25.5" customHeight="1" x14ac:dyDescent="0.2">
      <c r="A76" s="39">
        <v>1</v>
      </c>
      <c r="B76" s="39"/>
      <c r="C76" s="49" t="s">
        <v>97</v>
      </c>
      <c r="D76" s="41"/>
      <c r="E76" s="41"/>
      <c r="F76" s="41"/>
      <c r="G76" s="41"/>
      <c r="H76" s="41"/>
      <c r="I76" s="42"/>
      <c r="J76" s="50" t="s">
        <v>98</v>
      </c>
      <c r="K76" s="50"/>
      <c r="L76" s="50"/>
      <c r="M76" s="50"/>
      <c r="N76" s="50"/>
      <c r="O76" s="49" t="s">
        <v>99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0</v>
      </c>
      <c r="Z76" s="47"/>
      <c r="AA76" s="47"/>
      <c r="AB76" s="47"/>
      <c r="AC76" s="47"/>
      <c r="AD76" s="47">
        <v>100</v>
      </c>
      <c r="AE76" s="47"/>
      <c r="AF76" s="47"/>
      <c r="AG76" s="47"/>
      <c r="AH76" s="47"/>
      <c r="AI76" s="47">
        <v>100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100</v>
      </c>
      <c r="AT76" s="47"/>
      <c r="AU76" s="47"/>
      <c r="AV76" s="47"/>
      <c r="AW76" s="47"/>
      <c r="AX76" s="47">
        <v>100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85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ht="38.25" customHeight="1" x14ac:dyDescent="0.2">
      <c r="A84" s="39">
        <v>1</v>
      </c>
      <c r="B84" s="39"/>
      <c r="C84" s="40" t="s">
        <v>87</v>
      </c>
      <c r="D84" s="41"/>
      <c r="E84" s="41"/>
      <c r="F84" s="41"/>
      <c r="G84" s="41"/>
      <c r="H84" s="41"/>
      <c r="I84" s="42"/>
      <c r="J84" s="39" t="s">
        <v>88</v>
      </c>
      <c r="K84" s="39"/>
      <c r="L84" s="39"/>
      <c r="M84" s="39"/>
      <c r="N84" s="39"/>
      <c r="O84" s="43" t="s">
        <v>82</v>
      </c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6"/>
      <c r="BR84" s="2"/>
      <c r="BS84" s="2"/>
      <c r="BT84" s="2"/>
      <c r="BU84" s="2"/>
      <c r="BV84" s="2"/>
      <c r="BW84" s="2"/>
      <c r="BX84" s="2"/>
      <c r="BY84" s="2"/>
    </row>
    <row r="85" spans="1:79" s="27" customFormat="1" ht="15.75" x14ac:dyDescent="0.2">
      <c r="A85" s="31">
        <v>0</v>
      </c>
      <c r="B85" s="31"/>
      <c r="C85" s="32" t="s">
        <v>90</v>
      </c>
      <c r="D85" s="33"/>
      <c r="E85" s="33"/>
      <c r="F85" s="33"/>
      <c r="G85" s="33"/>
      <c r="H85" s="33"/>
      <c r="I85" s="34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</row>
    <row r="86" spans="1:79" s="27" customFormat="1" ht="15.75" x14ac:dyDescent="0.2">
      <c r="A86" s="31">
        <v>0</v>
      </c>
      <c r="B86" s="31"/>
      <c r="C86" s="32" t="s">
        <v>93</v>
      </c>
      <c r="D86" s="33"/>
      <c r="E86" s="33"/>
      <c r="F86" s="33"/>
      <c r="G86" s="33"/>
      <c r="H86" s="33"/>
      <c r="I86" s="34"/>
      <c r="J86" s="31"/>
      <c r="K86" s="31"/>
      <c r="L86" s="31"/>
      <c r="M86" s="31"/>
      <c r="N86" s="31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8"/>
      <c r="BR86" s="30"/>
      <c r="BS86" s="30"/>
      <c r="BT86" s="30"/>
      <c r="BU86" s="30"/>
      <c r="BV86" s="30"/>
      <c r="BW86" s="30"/>
      <c r="BX86" s="30"/>
      <c r="BY86" s="30"/>
    </row>
    <row r="87" spans="1:79" ht="51" customHeight="1" x14ac:dyDescent="0.2">
      <c r="A87" s="39">
        <v>1</v>
      </c>
      <c r="B87" s="39"/>
      <c r="C87" s="40" t="s">
        <v>94</v>
      </c>
      <c r="D87" s="41"/>
      <c r="E87" s="41"/>
      <c r="F87" s="41"/>
      <c r="G87" s="41"/>
      <c r="H87" s="41"/>
      <c r="I87" s="42"/>
      <c r="J87" s="39" t="s">
        <v>88</v>
      </c>
      <c r="K87" s="39"/>
      <c r="L87" s="39"/>
      <c r="M87" s="39"/>
      <c r="N87" s="39"/>
      <c r="O87" s="43" t="s">
        <v>82</v>
      </c>
      <c r="P87" s="44"/>
      <c r="Q87" s="44"/>
      <c r="R87" s="44"/>
      <c r="S87" s="44"/>
      <c r="T87" s="44"/>
      <c r="U87" s="44"/>
      <c r="V87" s="44"/>
      <c r="W87" s="44"/>
      <c r="X87" s="44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6"/>
      <c r="BR87" s="2"/>
      <c r="BS87" s="2"/>
      <c r="BT87" s="2"/>
      <c r="BU87" s="2"/>
      <c r="BV87" s="2"/>
      <c r="BW87" s="2"/>
      <c r="BX87" s="2"/>
      <c r="BY87" s="2"/>
    </row>
    <row r="88" spans="1:79" s="27" customFormat="1" ht="15.75" x14ac:dyDescent="0.2">
      <c r="A88" s="31">
        <v>0</v>
      </c>
      <c r="B88" s="31"/>
      <c r="C88" s="32" t="s">
        <v>96</v>
      </c>
      <c r="D88" s="33"/>
      <c r="E88" s="33"/>
      <c r="F88" s="33"/>
      <c r="G88" s="33"/>
      <c r="H88" s="33"/>
      <c r="I88" s="34"/>
      <c r="J88" s="31"/>
      <c r="K88" s="31"/>
      <c r="L88" s="31"/>
      <c r="M88" s="31"/>
      <c r="N88" s="31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8"/>
      <c r="BR88" s="30"/>
      <c r="BS88" s="30"/>
      <c r="BT88" s="30"/>
      <c r="BU88" s="30"/>
      <c r="BV88" s="30"/>
      <c r="BW88" s="30"/>
      <c r="BX88" s="30"/>
      <c r="BY88" s="30"/>
    </row>
    <row r="89" spans="1:79" ht="15.75" x14ac:dyDescent="0.2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10"/>
      <c r="BS89" s="10"/>
      <c r="BT89" s="10"/>
      <c r="BU89" s="10"/>
      <c r="BV89" s="10"/>
      <c r="BW89" s="10"/>
      <c r="BX89" s="10"/>
      <c r="BY89" s="10"/>
    </row>
    <row r="90" spans="1:79" ht="15.95" customHeight="1" x14ac:dyDescent="0.2">
      <c r="A90" s="54" t="s">
        <v>65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</row>
    <row r="91" spans="1:79" ht="15.95" customHeight="1" x14ac:dyDescent="0.2">
      <c r="A91" s="116" t="s">
        <v>101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</row>
    <row r="92" spans="1:79" ht="15.75" x14ac:dyDescent="0.2">
      <c r="A92" s="23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10"/>
      <c r="BS92" s="10"/>
      <c r="BT92" s="10"/>
      <c r="BU92" s="10"/>
      <c r="BV92" s="10"/>
      <c r="BW92" s="10"/>
      <c r="BX92" s="10"/>
      <c r="BY92" s="10"/>
    </row>
    <row r="93" spans="1:79" ht="15.95" customHeight="1" x14ac:dyDescent="0.2">
      <c r="A93" s="54" t="s">
        <v>46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</row>
    <row r="94" spans="1:79" ht="116.25" customHeight="1" x14ac:dyDescent="0.2">
      <c r="A94" s="116" t="s">
        <v>102</v>
      </c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</row>
    <row r="95" spans="1:79" ht="15.95" customHeight="1" x14ac:dyDescent="0.25">
      <c r="A95" s="2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</row>
    <row r="96" spans="1:79" ht="42" customHeight="1" x14ac:dyDescent="0.25">
      <c r="A96" s="116" t="s">
        <v>105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3"/>
      <c r="AO96" s="3"/>
      <c r="AP96" s="93" t="s">
        <v>107</v>
      </c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</row>
    <row r="97" spans="1:60" x14ac:dyDescent="0.2">
      <c r="W97" s="88" t="s">
        <v>8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4"/>
      <c r="AO97" s="4"/>
      <c r="AP97" s="88" t="s">
        <v>71</v>
      </c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</row>
    <row r="100" spans="1:60" ht="31.5" customHeight="1" x14ac:dyDescent="0.25">
      <c r="A100" s="116" t="s">
        <v>106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3"/>
      <c r="AO100" s="3"/>
      <c r="AP100" s="93" t="s">
        <v>108</v>
      </c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</row>
    <row r="101" spans="1:60" x14ac:dyDescent="0.2">
      <c r="W101" s="88" t="s">
        <v>8</v>
      </c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4"/>
      <c r="AO101" s="4"/>
      <c r="AP101" s="88" t="s">
        <v>71</v>
      </c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</row>
  </sheetData>
  <mergeCells count="374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1:BH101"/>
    <mergeCell ref="A100:V100"/>
    <mergeCell ref="W100:AM100"/>
    <mergeCell ref="AP100:BH100"/>
    <mergeCell ref="W101:AM101"/>
    <mergeCell ref="AP97:BH97"/>
    <mergeCell ref="A94:BL94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7:AM97"/>
    <mergeCell ref="A96:V96"/>
    <mergeCell ref="W96:AM96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6:BH96"/>
    <mergeCell ref="C69:I69"/>
    <mergeCell ref="A93:BL93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0:BL90"/>
    <mergeCell ref="A91:BL91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BM76:BQ76"/>
    <mergeCell ref="AI76:AM76"/>
    <mergeCell ref="AN76:AR76"/>
    <mergeCell ref="AS76:AW76"/>
    <mergeCell ref="AX76:BB76"/>
    <mergeCell ref="BC76:BG76"/>
    <mergeCell ref="BH76:BL76"/>
    <mergeCell ref="A86:B86"/>
    <mergeCell ref="C86:I86"/>
    <mergeCell ref="J86:N86"/>
    <mergeCell ref="O86:BQ86"/>
    <mergeCell ref="C84:I84"/>
    <mergeCell ref="J84:N84"/>
    <mergeCell ref="O84:BQ84"/>
    <mergeCell ref="A85:B85"/>
    <mergeCell ref="C85:I85"/>
    <mergeCell ref="J85:N85"/>
    <mergeCell ref="O85:BQ85"/>
    <mergeCell ref="A88:B88"/>
    <mergeCell ref="C88:I88"/>
    <mergeCell ref="J88:N88"/>
    <mergeCell ref="O88:BQ88"/>
    <mergeCell ref="A87:B87"/>
    <mergeCell ref="C87:I87"/>
    <mergeCell ref="J87:N87"/>
    <mergeCell ref="O87:BQ87"/>
  </mergeCells>
  <phoneticPr fontId="0" type="noConversion"/>
  <conditionalFormatting sqref="C79 C92 C69 C83">
    <cfRule type="cellIs" dxfId="36" priority="39" stopIfTrue="1" operator="equal">
      <formula>$C68</formula>
    </cfRule>
  </conditionalFormatting>
  <conditionalFormatting sqref="A69:B69 A79:B79 A83:B83 A92:B92 A59:B59 A77:B77 A89:B89">
    <cfRule type="cellIs" dxfId="35" priority="40" stopIfTrue="1" operator="equal">
      <formula>0</formula>
    </cfRule>
  </conditionalFormatting>
  <conditionalFormatting sqref="A60:B60">
    <cfRule type="cellIs" dxfId="34" priority="38" stopIfTrue="1" operator="equal">
      <formula>0</formula>
    </cfRule>
  </conditionalFormatting>
  <conditionalFormatting sqref="C77">
    <cfRule type="cellIs" dxfId="33" priority="42" stopIfTrue="1" operator="equal">
      <formula>$C69</formula>
    </cfRule>
  </conditionalFormatting>
  <conditionalFormatting sqref="C70">
    <cfRule type="cellIs" dxfId="32" priority="35" stopIfTrue="1" operator="equal">
      <formula>$C69</formula>
    </cfRule>
  </conditionalFormatting>
  <conditionalFormatting sqref="A70:B70">
    <cfRule type="cellIs" dxfId="31" priority="36" stopIfTrue="1" operator="equal">
      <formula>0</formula>
    </cfRule>
  </conditionalFormatting>
  <conditionalFormatting sqref="C71">
    <cfRule type="cellIs" dxfId="30" priority="33" stopIfTrue="1" operator="equal">
      <formula>$C70</formula>
    </cfRule>
  </conditionalFormatting>
  <conditionalFormatting sqref="A71:B71">
    <cfRule type="cellIs" dxfId="29" priority="34" stopIfTrue="1" operator="equal">
      <formula>0</formula>
    </cfRule>
  </conditionalFormatting>
  <conditionalFormatting sqref="C72">
    <cfRule type="cellIs" dxfId="28" priority="31" stopIfTrue="1" operator="equal">
      <formula>$C71</formula>
    </cfRule>
  </conditionalFormatting>
  <conditionalFormatting sqref="A72:B72">
    <cfRule type="cellIs" dxfId="27" priority="32" stopIfTrue="1" operator="equal">
      <formula>0</formula>
    </cfRule>
  </conditionalFormatting>
  <conditionalFormatting sqref="C73">
    <cfRule type="cellIs" dxfId="26" priority="29" stopIfTrue="1" operator="equal">
      <formula>$C72</formula>
    </cfRule>
  </conditionalFormatting>
  <conditionalFormatting sqref="A73:B73">
    <cfRule type="cellIs" dxfId="25" priority="30" stopIfTrue="1" operator="equal">
      <formula>0</formula>
    </cfRule>
  </conditionalFormatting>
  <conditionalFormatting sqref="C74">
    <cfRule type="cellIs" dxfId="24" priority="27" stopIfTrue="1" operator="equal">
      <formula>$C73</formula>
    </cfRule>
  </conditionalFormatting>
  <conditionalFormatting sqref="A74:B74">
    <cfRule type="cellIs" dxfId="23" priority="28" stopIfTrue="1" operator="equal">
      <formula>0</formula>
    </cfRule>
  </conditionalFormatting>
  <conditionalFormatting sqref="C75">
    <cfRule type="cellIs" dxfId="22" priority="25" stopIfTrue="1" operator="equal">
      <formula>$C74</formula>
    </cfRule>
  </conditionalFormatting>
  <conditionalFormatting sqref="A75:B75">
    <cfRule type="cellIs" dxfId="21" priority="26" stopIfTrue="1" operator="equal">
      <formula>0</formula>
    </cfRule>
  </conditionalFormatting>
  <conditionalFormatting sqref="C76">
    <cfRule type="cellIs" dxfId="20" priority="23" stopIfTrue="1" operator="equal">
      <formula>$C75</formula>
    </cfRule>
  </conditionalFormatting>
  <conditionalFormatting sqref="A76:B76">
    <cfRule type="cellIs" dxfId="19" priority="24" stopIfTrue="1" operator="equal">
      <formula>0</formula>
    </cfRule>
  </conditionalFormatting>
  <conditionalFormatting sqref="C89">
    <cfRule type="cellIs" dxfId="18" priority="44" stopIfTrue="1" operator="equal">
      <formula>$C83</formula>
    </cfRule>
  </conditionalFormatting>
  <conditionalFormatting sqref="C84">
    <cfRule type="cellIs" dxfId="15" priority="17" stopIfTrue="1" operator="equal">
      <formula>#REF!</formula>
    </cfRule>
  </conditionalFormatting>
  <conditionalFormatting sqref="A84:B84">
    <cfRule type="cellIs" dxfId="14" priority="18" stopIfTrue="1" operator="equal">
      <formula>0</formula>
    </cfRule>
  </conditionalFormatting>
  <conditionalFormatting sqref="C85">
    <cfRule type="cellIs" dxfId="13" priority="15" stopIfTrue="1" operator="equal">
      <formula>$C84</formula>
    </cfRule>
  </conditionalFormatting>
  <conditionalFormatting sqref="A85:B85">
    <cfRule type="cellIs" dxfId="12" priority="16" stopIfTrue="1" operator="equal">
      <formula>0</formula>
    </cfRule>
  </conditionalFormatting>
  <conditionalFormatting sqref="C86">
    <cfRule type="cellIs" dxfId="9" priority="11" stopIfTrue="1" operator="equal">
      <formula>#REF!</formula>
    </cfRule>
  </conditionalFormatting>
  <conditionalFormatting sqref="A86:B86">
    <cfRule type="cellIs" dxfId="8" priority="12" stopIfTrue="1" operator="equal">
      <formula>0</formula>
    </cfRule>
  </conditionalFormatting>
  <conditionalFormatting sqref="C87">
    <cfRule type="cellIs" dxfId="5" priority="7" stopIfTrue="1" operator="equal">
      <formula>#REF!</formula>
    </cfRule>
  </conditionalFormatting>
  <conditionalFormatting sqref="A87:B87">
    <cfRule type="cellIs" dxfId="4" priority="8" stopIfTrue="1" operator="equal">
      <formula>0</formula>
    </cfRule>
  </conditionalFormatting>
  <conditionalFormatting sqref="C88">
    <cfRule type="cellIs" dxfId="3" priority="5" stopIfTrue="1" operator="equal">
      <formula>$C87</formula>
    </cfRule>
  </conditionalFormatting>
  <conditionalFormatting sqref="A88:B88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КПК0117383</vt:lpstr>
      <vt:lpstr>КПК0117383!Область_печати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2025-06-27T09:06:43Z</cp:lastPrinted>
  <dcterms:created xsi:type="dcterms:W3CDTF">2016-08-10T10:53:25Z</dcterms:created>
  <dcterms:modified xsi:type="dcterms:W3CDTF">2025-06-27T09:06:46Z</dcterms:modified>
</cp:coreProperties>
</file>