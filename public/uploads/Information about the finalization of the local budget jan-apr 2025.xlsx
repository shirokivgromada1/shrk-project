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 на 2025 рік\ВИКОНАННЯ БЮДЖЕТУ 2025 рік\"/>
    </mc:Choice>
  </mc:AlternateContent>
  <xr:revisionPtr revIDLastSave="0" documentId="13_ncr:1_{C8B3F372-6E27-4771-9AF0-7F901B61BBA0}" xr6:coauthVersionLast="46" xr6:coauthVersionMax="46" xr10:uidLastSave="{00000000-0000-0000-0000-000000000000}"/>
  <bookViews>
    <workbookView xWindow="-120" yWindow="-120" windowWidth="29040" windowHeight="15840" xr2:uid="{651125CA-3FA6-4948-8B58-7E9ED29ACCD7}"/>
  </bookViews>
  <sheets>
    <sheet name="доходи" sheetId="1" r:id="rId1"/>
    <sheet name="видатки" sheetId="2" r:id="rId2"/>
  </sheets>
  <definedNames>
    <definedName name="CREXPORT">#REF!</definedName>
    <definedName name="n" hidden="1">{#N/A,#N/A,FALSE,"Лист4"}</definedName>
    <definedName name="wrn.Інструкція." hidden="1">{#N/A,#N/A,FALSE,"Лист4"}</definedName>
    <definedName name="аа" hidden="1">{#N/A,#N/A,FALSE,"Лист4"}</definedName>
    <definedName name="аааа" hidden="1">{#N/A,#N/A,FALSE,"Лист4"}</definedName>
    <definedName name="ааааа" hidden="1">{#N/A,#N/A,FALSE,"Лист4"}</definedName>
    <definedName name="аааг" hidden="1">{#N/A,#N/A,FALSE,"Лист4"}</definedName>
    <definedName name="ааао" hidden="1">{#N/A,#N/A,FALSE,"Лист4"}</definedName>
    <definedName name="аааоркк" hidden="1">{#N/A,#N/A,FALSE,"Лист4"}</definedName>
    <definedName name="аарр" hidden="1">{#N/A,#N/A,FALSE,"Лист4"}</definedName>
    <definedName name="амп" hidden="1">{#N/A,#N/A,FALSE,"Лист4"}</definedName>
    <definedName name="ап" hidden="1">{#N/A,#N/A,FALSE,"Лист4"}</definedName>
    <definedName name="апро" hidden="1">{#N/A,#N/A,FALSE,"Лист4"}</definedName>
    <definedName name="аунуну" hidden="1">{#N/A,#N/A,FALSE,"Лист4"}</definedName>
    <definedName name="бб" hidden="1">{#N/A,#N/A,FALSE,"Лист4"}</definedName>
    <definedName name="вап" hidden="1">{#N/A,#N/A,FALSE,"Лист4"}</definedName>
    <definedName name="вапа" hidden="1">{#N/A,#N/A,FALSE,"Лист4"}</definedName>
    <definedName name="вапро" hidden="1">{#N/A,#N/A,FALSE,"Лист4"}</definedName>
    <definedName name="вау" hidden="1">{#N/A,#N/A,FALSE,"Лист4"}</definedName>
    <definedName name="вв" hidden="1">{#N/A,#N/A,FALSE,"Лист4"}</definedName>
    <definedName name="вмр" hidden="1">{#N/A,#N/A,FALSE,"Лист4"}</definedName>
    <definedName name="вруу" hidden="1">{#N/A,#N/A,FALSE,"Лист4"}</definedName>
    <definedName name="врууунуууу" hidden="1">{#N/A,#N/A,FALSE,"Лист4"}</definedName>
    <definedName name="гг" hidden="1">{#N/A,#N/A,FALSE,"Лист4"}</definedName>
    <definedName name="ггг" hidden="1">{#N/A,#N/A,FALSE,"Лист4"}</definedName>
    <definedName name="гго" hidden="1">{#N/A,#N/A,FALSE,"Лист4"}</definedName>
    <definedName name="ггшшз" hidden="1">{#N/A,#N/A,FALSE,"Лист4"}</definedName>
    <definedName name="гр" hidden="1">{#N/A,#N/A,FALSE,"Лист4"}</definedName>
    <definedName name="ддд" hidden="1">{#N/A,#N/A,FALSE,"Лист4"}</definedName>
    <definedName name="е" hidden="1">{#N/A,#N/A,FALSE,"Лист4"}</definedName>
    <definedName name="ее" hidden="1">{#N/A,#N/A,FALSE,"Лист4"}</definedName>
    <definedName name="ееге" hidden="1">{#N/A,#N/A,FALSE,"Лист4"}</definedName>
    <definedName name="еегше" hidden="1">{#N/A,#N/A,FALSE,"Лист4"}</definedName>
    <definedName name="еее" hidden="1">{#N/A,#N/A,FALSE,"Лист4"}</definedName>
    <definedName name="ееее" hidden="1">{#N/A,#N/A,FALSE,"Лист4"}</definedName>
    <definedName name="ееекк" hidden="1">{#N/A,#N/A,FALSE,"Лист4"}</definedName>
    <definedName name="еепке" hidden="1">{#N/A,#N/A,FALSE,"Лист4"}</definedName>
    <definedName name="еешгег" hidden="1">{#N/A,#N/A,FALSE,"Лист4"}</definedName>
    <definedName name="екуц" hidden="1">{#N/A,#N/A,FALSE,"Лист4"}</definedName>
    <definedName name="енг" hidden="1">{#N/A,#N/A,FALSE,"Лист4"}</definedName>
    <definedName name="епи" hidden="1">{#N/A,#N/A,FALSE,"Лист4"}</definedName>
    <definedName name="ешгееуу" hidden="1">{#N/A,#N/A,FALSE,"Лист4"}</definedName>
    <definedName name="є" hidden="1">{#N/A,#N/A,FALSE,"Лист4"}</definedName>
    <definedName name="єєє" hidden="1">{#N/A,#N/A,FALSE,"Лист4"}</definedName>
    <definedName name="єєєєєє" hidden="1">{#N/A,#N/A,FALSE,"Лист4"}</definedName>
    <definedName name="єєєєєєє" hidden="1">{#N/A,#N/A,FALSE,"Лист4"}</definedName>
    <definedName name="єєєєєєє." hidden="1">{#N/A,#N/A,FALSE,"Лист4"}</definedName>
    <definedName name="єж" hidden="1">{#N/A,#N/A,FALSE,"Лист4"}</definedName>
    <definedName name="жж" hidden="1">{#N/A,#N/A,FALSE,"Лист4"}</definedName>
    <definedName name="житлове" hidden="1">{#N/A,#N/A,FALSE,"Лист4"}</definedName>
    <definedName name="_xlnm.Print_Titles" localSheetId="1">видатки!$7:$8</definedName>
    <definedName name="_xlnm.Print_Titles" localSheetId="0">доходи!$A:$B</definedName>
    <definedName name="здоровя" hidden="1">{#N/A,#N/A,FALSE,"Лист4"}</definedName>
    <definedName name="зз" hidden="1">{#N/A,#N/A,FALSE,"Лист4"}</definedName>
    <definedName name="ззз" hidden="1">{#N/A,#N/A,FALSE,"Лист4"}</definedName>
    <definedName name="зззз" hidden="1">{#N/A,#N/A,FALSE,"Лист4"}</definedName>
    <definedName name="ип" hidden="1">{#N/A,#N/A,FALSE,"Лист4"}</definedName>
    <definedName name="ить" hidden="1">{#N/A,#N/A,FALSE,"Лист4"}</definedName>
    <definedName name="іваа" hidden="1">{#N/A,#N/A,FALSE,"Лист4"}</definedName>
    <definedName name="івап" hidden="1">{#N/A,#N/A,FALSE,"Лист4"}</definedName>
    <definedName name="івпа" hidden="1">{#N/A,#N/A,FALSE,"Лист4"}</definedName>
    <definedName name="іі" hidden="1">{#N/A,#N/A,FALSE,"Лист4"}</definedName>
    <definedName name="ііі" hidden="1">{#N/A,#N/A,FALSE,"Лист4"}</definedName>
    <definedName name="іііі" hidden="1">{#N/A,#N/A,FALSE,"Лист4"}</definedName>
    <definedName name="ін" hidden="1">{#N/A,#N/A,FALSE,"Лист4"}</definedName>
    <definedName name="інші" hidden="1">{#N/A,#N/A,FALSE,"Лист4"}</definedName>
    <definedName name="іук" hidden="1">{#N/A,#N/A,FALSE,"Лист4"}</definedName>
    <definedName name="їжд" hidden="1">{#N/A,#N/A,FALSE,"Лист4"}</definedName>
    <definedName name="ййй" hidden="1">{#N/A,#N/A,FALSE,"Лист4"}</definedName>
    <definedName name="йййй" hidden="1">{#N/A,#N/A,FALSE,"Лист4"}</definedName>
    <definedName name="кгккг" hidden="1">{#N/A,#N/A,FALSE,"Лист4"}</definedName>
    <definedName name="кгкккк" hidden="1">{#N/A,#N/A,FALSE,"Лист4"}</definedName>
    <definedName name="кеуц" hidden="1">{#N/A,#N/A,FALSE,"Лист4"}</definedName>
    <definedName name="кк" hidden="1">{#N/A,#N/A,FALSE,"Лист4"}</definedName>
    <definedName name="ккгкг" hidden="1">{#N/A,#N/A,FALSE,"Лист4"}</definedName>
    <definedName name="ккк" hidden="1">{#N/A,#N/A,FALSE,"Лист4"}</definedName>
    <definedName name="кккну" hidden="1">{#N/A,#N/A,FALSE,"Лист4"}</definedName>
    <definedName name="кккокк" hidden="1">{#N/A,#N/A,FALSE,"Лист4"}</definedName>
    <definedName name="комунальне" hidden="1">{#N/A,#N/A,FALSE,"Лист4"}</definedName>
    <definedName name="кот" hidden="1">{#N/A,#N/A,FALSE,"Лист4"}</definedName>
    <definedName name="кр" hidden="1">{#N/A,#N/A,FALSE,"Лист4"}</definedName>
    <definedName name="культура" hidden="1">{#N/A,#N/A,FALSE,"Лист4"}</definedName>
    <definedName name="л" hidden="1">{#N/A,#N/A,FALSE,"Лист4"}</definedName>
    <definedName name="лд" hidden="1">{#N/A,#N/A,FALSE,"Лист4"}</definedName>
    <definedName name="лл" hidden="1">{#N/A,#N/A,FALSE,"Лист4"}</definedName>
    <definedName name="ллл" hidden="1">{#N/A,#N/A,FALSE,"Лист4"}</definedName>
    <definedName name="лнпллпл" hidden="1">{#N/A,#N/A,FALSE,"Лист4"}</definedName>
    <definedName name="мак" hidden="1">{#N/A,#N/A,FALSE,"Лист4"}</definedName>
    <definedName name="мм" hidden="1">{#N/A,#N/A,FALSE,"Лист4"}</definedName>
    <definedName name="мпе" hidden="1">{#N/A,#N/A,FALSE,"Лист4"}</definedName>
    <definedName name="нгнгш" hidden="1">{#N/A,#N/A,FALSE,"Лист4"}</definedName>
    <definedName name="ннггг" hidden="1">{#N/A,#N/A,FALSE,"Лист4"}</definedName>
    <definedName name="ннн" hidden="1">{#N/A,#N/A,FALSE,"Лист4"}</definedName>
    <definedName name="ннннг" hidden="1">{#N/A,#N/A,FALSE,"Лист4"}</definedName>
    <definedName name="нннннннн" hidden="1">{#N/A,#N/A,FALSE,"Лист4"}</definedName>
    <definedName name="ннншенгке" hidden="1">{#N/A,#N/A,FALSE,"Лист4"}</definedName>
    <definedName name="нншекк" hidden="1">{#N/A,#N/A,FALSE,"Лист4"}</definedName>
    <definedName name="оггне" hidden="1">{#N/A,#N/A,FALSE,"Лист4"}</definedName>
    <definedName name="оллд" hidden="1">{#N/A,#N/A,FALSE,"Лист4"}</definedName>
    <definedName name="олол" hidden="1">{#N/A,#N/A,FALSE,"Лист4"}</definedName>
    <definedName name="оо" hidden="1">{#N/A,#N/A,FALSE,"Лист4"}</definedName>
    <definedName name="ооо" hidden="1">{#N/A,#N/A,FALSE,"Лист4"}</definedName>
    <definedName name="орнг" hidden="1">{#N/A,#N/A,FALSE,"Лист4"}</definedName>
    <definedName name="освіта" hidden="1">{#N/A,#N/A,FALSE,"Лист4"}</definedName>
    <definedName name="ох" hidden="1">{#N/A,#N/A,FALSE,"Лист4"}</definedName>
    <definedName name="охорона" hidden="1">{#N/A,#N/A,FALSE,"Лист4"}</definedName>
    <definedName name="плеккккг" hidden="1">{#N/A,#N/A,FALSE,"Лист4"}</definedName>
    <definedName name="пллеелш" hidden="1">{#N/A,#N/A,FALSE,"Лист4"}</definedName>
    <definedName name="попле" hidden="1">{#N/A,#N/A,FALSE,"Лист4"}</definedName>
    <definedName name="пот" hidden="1">{#N/A,#N/A,FALSE,"Лист4"}</definedName>
    <definedName name="пп" hidden="1">{#N/A,#N/A,FALSE,"Лист4"}</definedName>
    <definedName name="ппше" hidden="1">{#N/A,#N/A,FALSE,"Лист4"}</definedName>
    <definedName name="про" hidden="1">{#N/A,#N/A,FALSE,"Лист4"}</definedName>
    <definedName name="прое" hidden="1">{#N/A,#N/A,FALSE,"Лист4"}</definedName>
    <definedName name="прои" hidden="1">{#N/A,#N/A,FALSE,"Лист4"}</definedName>
    <definedName name="рор" hidden="1">{#N/A,#N/A,FALSE,"Лист4"}</definedName>
    <definedName name="роро" hidden="1">{#N/A,#N/A,FALSE,"Лист4"}</definedName>
    <definedName name="рррр" hidden="1">{#N/A,#N/A,FALSE,"Лист4"}</definedName>
    <definedName name="сми" hidden="1">{#N/A,#N/A,FALSE,"Лист4"}</definedName>
    <definedName name="сс" hidden="1">{#N/A,#N/A,FALSE,"Лист4"}</definedName>
    <definedName name="сум" hidden="1">{#N/A,#N/A,FALSE,"Лист4"}</definedName>
    <definedName name="Суми" hidden="1">{#N/A,#N/A,FALSE,"Лист4"}</definedName>
    <definedName name="счу" hidden="1">{#N/A,#N/A,FALSE,"Лист4"}</definedName>
    <definedName name="счя" hidden="1">{#N/A,#N/A,FALSE,"Лист4"}</definedName>
    <definedName name="тогн" hidden="1">{#N/A,#N/A,FALSE,"Лист4"}</definedName>
    <definedName name="трн" hidden="1">{#N/A,#N/A,FALSE,"Лист4"}</definedName>
    <definedName name="ттт" hidden="1">{#N/A,#N/A,FALSE,"Лист4"}</definedName>
    <definedName name="ть" hidden="1">{#N/A,#N/A,FALSE,"Лист4"}</definedName>
    <definedName name="уа" hidden="1">{#N/A,#N/A,FALSE,"Лист4"}</definedName>
    <definedName name="увке" hidden="1">{#N/A,#N/A,FALSE,"Лист4"}</definedName>
    <definedName name="уеунукнун" hidden="1">{#N/A,#N/A,FALSE,"Лист4"}</definedName>
    <definedName name="уке" hidden="1">{#N/A,#N/A,FALSE,"Лист4"}</definedName>
    <definedName name="укй" hidden="1">{#N/A,#N/A,FALSE,"Лист4"}</definedName>
    <definedName name="укунн" hidden="1">{#N/A,#N/A,FALSE,"Лист4"}</definedName>
    <definedName name="унунен" hidden="1">{#N/A,#N/A,FALSE,"Лист4"}</definedName>
    <definedName name="унунун" hidden="1">{#N/A,#N/A,FALSE,"Лист4"}</definedName>
    <definedName name="унуу" hidden="1">{#N/A,#N/A,FALSE,"Лист4"}</definedName>
    <definedName name="унуун" hidden="1">{#N/A,#N/A,FALSE,"Лист4"}</definedName>
    <definedName name="унууу" hidden="1">{#N/A,#N/A,FALSE,"Лист4"}</definedName>
    <definedName name="управ" hidden="1">{#N/A,#N/A,FALSE,"Лист4"}</definedName>
    <definedName name="управління" hidden="1">{#N/A,#N/A,FALSE,"Лист4"}</definedName>
    <definedName name="уукее" hidden="1">{#N/A,#N/A,FALSE,"Лист4"}</definedName>
    <definedName name="ууннну" hidden="1">{#N/A,#N/A,FALSE,"Лист4"}</definedName>
    <definedName name="ууну" hidden="1">{#N/A,#N/A,FALSE,"Лист4"}</definedName>
    <definedName name="уунунг" hidden="1">{#N/A,#N/A,FALSE,"Лист4"}</definedName>
    <definedName name="уунунууу" hidden="1">{#N/A,#N/A,FALSE,"Лист4"}</definedName>
    <definedName name="уунуурр" hidden="1">{#N/A,#N/A,FALSE,"Лист4"}</definedName>
    <definedName name="уунуууу" hidden="1">{#N/A,#N/A,FALSE,"Лист4"}</definedName>
    <definedName name="ууу" hidden="1">{#N/A,#N/A,FALSE,"Лист4"}</definedName>
    <definedName name="ууунну" hidden="1">{#N/A,#N/A,FALSE,"Лист4"}</definedName>
    <definedName name="ууунууууу" hidden="1">{#N/A,#N/A,FALSE,"Лист4"}</definedName>
    <definedName name="уууу" hidden="1">{#N/A,#N/A,FALSE,"Лист4"}</definedName>
    <definedName name="уууу32" hidden="1">{#N/A,#N/A,FALSE,"Лист4"}</definedName>
    <definedName name="уууун" hidden="1">{#N/A,#N/A,FALSE,"Лист4"}</definedName>
    <definedName name="фф" hidden="1">{#N/A,#N/A,FALSE,"Лист4"}</definedName>
    <definedName name="ффф" hidden="1">{#N/A,#N/A,FALSE,"Лист4"}</definedName>
    <definedName name="фффф" hidden="1">{#N/A,#N/A,FALSE,"Лист4"}</definedName>
    <definedName name="ффффф" hidden="1">{#N/A,#N/A,FALSE,"Лист4"}</definedName>
    <definedName name="хз" hidden="1">{#N/A,#N/A,FALSE,"Лист4"}</definedName>
    <definedName name="хїз" hidden="1">{#N/A,#N/A,FALSE,"Лист4"}</definedName>
    <definedName name="ххх" hidden="1">{#N/A,#N/A,FALSE,"Лист4"}</definedName>
    <definedName name="ц" hidden="1">{#N/A,#N/A,FALSE,"Лист4"}</definedName>
    <definedName name="цва" hidden="1">{#N/A,#N/A,FALSE,"Лист4"}</definedName>
    <definedName name="цекццецце" hidden="1">{#N/A,#N/A,FALSE,"Лист4"}</definedName>
    <definedName name="цеце" hidden="1">{#N/A,#N/A,FALSE,"Лист4"}</definedName>
    <definedName name="цецеце" hidden="1">{#N/A,#N/A,FALSE,"Лист4"}</definedName>
    <definedName name="цук" hidden="1">{#N/A,#N/A,FALSE,"Лист4"}</definedName>
    <definedName name="цуку" hidden="1">{#N/A,#N/A,FALSE,"Лист4"}</definedName>
    <definedName name="цууу" hidden="1">{#N/A,#N/A,FALSE,"Лист4"}</definedName>
    <definedName name="цц" hidden="1">{#N/A,#N/A,FALSE,"Лист4"}</definedName>
    <definedName name="ццвва" hidden="1">{#N/A,#N/A,FALSE,"Лист4"}</definedName>
    <definedName name="ццецц" hidden="1">{#N/A,#N/A,FALSE,"Лист4"}</definedName>
    <definedName name="ццеццке" hidden="1">{#N/A,#N/A,FALSE,"Лист4"}</definedName>
    <definedName name="ццеццкевап" hidden="1">{#N/A,#N/A,FALSE,"Лист4"}</definedName>
    <definedName name="ццке" hidden="1">{#N/A,#N/A,FALSE,"Лист4"}</definedName>
    <definedName name="ццук" hidden="1">{#N/A,#N/A,FALSE,"Лист4"}</definedName>
    <definedName name="цццецц" hidden="1">{#N/A,#N/A,FALSE,"Лист4"}</definedName>
    <definedName name="цццкеец" hidden="1">{#N/A,#N/A,FALSE,"Лист4"}</definedName>
    <definedName name="цццц" hidden="1">{#N/A,#N/A,FALSE,"Лист4"}</definedName>
    <definedName name="ццццкц" hidden="1">{#N/A,#N/A,FALSE,"Лист4"}</definedName>
    <definedName name="ццццц" hidden="1">{#N/A,#N/A,FALSE,"Лист4"}</definedName>
    <definedName name="цццццц" hidden="1">{#N/A,#N/A,FALSE,"Лист4"}</definedName>
    <definedName name="чву" hidden="1">{#N/A,#N/A,FALSE,"Лист4"}</definedName>
    <definedName name="чч" hidden="1">{#N/A,#N/A,FALSE,"Лист4"}</definedName>
    <definedName name="ччч" hidden="1">{#N/A,#N/A,FALSE,"Лист4"}</definedName>
    <definedName name="шш" hidden="1">{#N/A,#N/A,FALSE,"Лист4"}</definedName>
    <definedName name="шшшш" hidden="1">{#N/A,#N/A,FALSE,"Лист4"}</definedName>
    <definedName name="щщ" hidden="1">{#N/A,#N/A,FALSE,"Лист4"}</definedName>
    <definedName name="щщщ" hidden="1">{#N/A,#N/A,FALSE,"Лист4"}</definedName>
    <definedName name="щщщшг" hidden="1">{#N/A,#N/A,FALSE,"Лист4"}</definedName>
    <definedName name="юю" hidden="1">{#N/A,#N/A,FALSE,"Лист4"}</definedName>
    <definedName name="ююю" hidden="1">{#N/A,#N/A,FALSE,"Лист4"}</definedName>
    <definedName name="яяя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6" i="2" l="1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</calcChain>
</file>

<file path=xl/sharedStrings.xml><?xml version="1.0" encoding="utf-8"?>
<sst xmlns="http://schemas.openxmlformats.org/spreadsheetml/2006/main" count="174" uniqueCount="164">
  <si>
    <t>ККД</t>
  </si>
  <si>
    <t>Доходи</t>
  </si>
  <si>
    <t>0852300000 - Бюджет Широкiвської сiльської територiальної громади</t>
  </si>
  <si>
    <t>Уточн.річн. план</t>
  </si>
  <si>
    <t xml:space="preserve"> Уточ.пл. за період</t>
  </si>
  <si>
    <t>Факт</t>
  </si>
  <si>
    <t>+/-</t>
  </si>
  <si>
    <t>% викон.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</si>
  <si>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</si>
  <si>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</si>
  <si>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</si>
  <si>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</si>
  <si>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</si>
  <si>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</si>
  <si>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доходи фізичних осіб у вигляді мінімального податкового зобов`язання, що підлягає сплаті фізичними особами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</si>
  <si>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</si>
  <si>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</si>
  <si>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</si>
  <si>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</si>
  <si>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Рентна плата за користування надрами для видобування інших корисних копалин загальнодержавного значення (крім видобування корисних копалин, визначених як Активи природних ресурсів)</t>
  </si>
  <si>
    <t>Внутрішні податки на товари та послуги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</si>
  <si>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</si>
  <si>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</si>
  <si>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</si>
  <si>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</si>
  <si>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</si>
  <si>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</si>
  <si>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</si>
  <si>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</si>
  <si>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</si>
  <si>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</si>
  <si>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</si>
  <si>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</si>
  <si>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</si>
  <si>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</si>
  <si>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</si>
  <si>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</si>
  <si>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Транспортний податок з фізичних осіб</t>
  </si>
  <si>
    <t>Транспортний податок з юридичних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</si>
  <si>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</si>
  <si>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</si>
  <si>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</si>
  <si>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</si>
  <si>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</si>
  <si>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</si>
  <si>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</si>
  <si>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</si>
  <si>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</si>
  <si>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</si>
  <si>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Штрафні санкції, що застосовуються відповідно до Закону України `Про державне регулювання виробництва і обігу спирту етилового, спиртових дистилятів, біоетанолу, алкогольних напоїв, тютюнових виробів, тютюнової сировини, рідин, що використовуються в елект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</si>
  <si>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</si>
  <si>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Адміністративні збори та платежі, доходи від некомерційної господарської діяльності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</si>
  <si>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</si>
  <si>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</si>
  <si>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</si>
  <si>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</si>
  <si>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</si>
  <si>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</si>
  <si>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</si>
  <si>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Інші неподаткові надходження</t>
  </si>
  <si>
    <t>Офіційні трансферти</t>
  </si>
  <si>
    <t>Від органів державного управління</t>
  </si>
  <si>
    <t>Дотації з державного бюджету місцевим бюджетам</t>
  </si>
  <si>
    <t>Базова дотація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</si>
  <si>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</t>
  </si>
  <si>
    <t>Субвенції з державного бюджету місцевим бюджетам</t>
  </si>
  <si>
    <t>Субвенція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</t>
  </si>
  <si>
    <t>Освітня субвенція з державного бюджету місцевим бюджетам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</si>
  <si>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</si>
  <si>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</si>
  <si>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</si>
  <si>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Субвенції з місцевих бюджетів іншим місцевим бюджетам</t>
  </si>
  <si>
    <t>Інші субвенції з місцевого бюджету</t>
  </si>
  <si>
    <t>Субвенція з місцевого бюджету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 спортивних) ліцеях, ліце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</si>
  <si>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</si>
  <si>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</si>
  <si>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</si>
  <si>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</si>
  <si>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</si>
  <si>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</si>
  <si>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рік відносно касових</t>
  </si>
  <si>
    <t>Залишки плану на період відносно касових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</si>
  <si>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</si>
  <si>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</si>
  <si>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</si>
  <si>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</si>
  <si>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</si>
  <si>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</si>
  <si>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0111183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</si>
  <si>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</si>
  <si>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0111184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</si>
  <si>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</si>
  <si>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</si>
  <si>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</si>
  <si>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</si>
  <si>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</si>
  <si>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0112010</t>
  </si>
  <si>
    <t>Багатопрофільна стаціонарна медична допомога населенню</t>
  </si>
  <si>
    <t>0112151</t>
  </si>
  <si>
    <t>Забезпечення діяльності інших закладів у сфері охорони здоров`я</t>
  </si>
  <si>
    <t>0113031</t>
  </si>
  <si>
    <t>Надання інших пільг окремим категоріям громадян відповідно до законодавства</t>
  </si>
  <si>
    <t>0113032</t>
  </si>
  <si>
    <t>Надання пільг окремим категоріям громадян з оплати послуг зв`язку</t>
  </si>
  <si>
    <t>0113090</t>
  </si>
  <si>
    <t>Видатки на поховання учасників бойових дій та осіб з інвалідністю внаслідок війни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</si>
  <si>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</si>
  <si>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</si>
  <si>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</si>
  <si>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</si>
  <si>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</si>
  <si>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</si>
  <si>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</si>
  <si>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</si>
  <si>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</si>
  <si>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</si>
  <si>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</si>
  <si>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</si>
  <si>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0113242</t>
  </si>
  <si>
    <t>Інші заходи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</si>
  <si>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</si>
  <si>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</si>
  <si>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0116013</t>
  </si>
  <si>
    <t>Забезпечення діяльності водопровідно-каналізаційного господарства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</si>
  <si>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</si>
  <si>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</si>
  <si>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</si>
  <si>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</si>
  <si>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0117130</t>
  </si>
  <si>
    <t>Здійснення заходів із землеустрою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</si>
  <si>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</si>
  <si>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</si>
  <si>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</si>
  <si>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</si>
  <si>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</si>
  <si>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</si>
  <si>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</si>
  <si>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</si>
  <si>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</si>
  <si>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</si>
  <si>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</si>
  <si>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Інші заходи у сфері медіа (засобів масової інформації)</t>
  </si>
  <si>
    <t>0119150</t>
  </si>
  <si>
    <t>Інші дотації з місцевого бюджету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</si>
  <si>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</si>
  <si>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</si>
  <si>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</si>
  <si>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</si>
  <si>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</si>
  <si>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</si>
  <si>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</si>
  <si>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</si>
  <si>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</si>
  <si>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</si>
  <si>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</si>
  <si>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 xml:space="preserve">% виконання на вказаний період </t>
  </si>
  <si>
    <t>тис. грн</t>
  </si>
  <si>
    <t>про виконання видаткової частини місцевого бюджету</t>
  </si>
  <si>
    <t>за січень-липень 2025 року</t>
  </si>
  <si>
    <t>загальний фонд</t>
  </si>
  <si>
    <t>ІНФОРМАЦІЯ</t>
  </si>
  <si>
    <t>про виконання доходної частини місцевого бюджету</t>
  </si>
  <si>
    <t>Всього без урахування трансфертів</t>
  </si>
  <si>
    <t>ВСЬОГО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</si>
</sst>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wrapText="1"/>
    </xf>
    <xf numFmtId="0" fontId="3" fillId="0" borderId="0" xfId="1" applyFont="1" applyAlignment="1">
      <alignment horizontal="center"/>
    </xf>
    <xf numFmtId="4" fontId="2" fillId="0" borderId="0" xfId="1" applyNumberFormat="1" applyAlignment="1">
      <alignment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horizontal="center"/>
    </xf>
    <xf numFmtId="0" fontId="6" fillId="0" borderId="0" xfId="1" applyFont="1" applyAlignment="1">
      <alignment wrapText="1"/>
    </xf>
    <xf numFmtId="0" fontId="6" fillId="0" borderId="0" xfId="1" applyFont="1"/>
    <xf numFmtId="0" fontId="7" fillId="0" borderId="0" xfId="1" applyFont="1" applyAlignment="1">
      <alignment horizontal="right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 wrapText="1"/>
    </xf>
    <xf numFmtId="4" fontId="7" fillId="0" borderId="1" xfId="1" applyNumberFormat="1" applyFont="1" applyBorder="1" applyAlignment="1">
      <alignment vertical="center"/>
    </xf>
    <xf numFmtId="4" fontId="7" fillId="2" borderId="1" xfId="1" applyNumberFormat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 wrapText="1"/>
    </xf>
    <xf numFmtId="4" fontId="4" fillId="3" borderId="1" xfId="1" applyNumberFormat="1" applyFont="1" applyFill="1" applyBorder="1" applyAlignment="1">
      <alignment vertic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4" fontId="8" fillId="0" borderId="1" xfId="0" applyNumberFormat="1" applyFont="1" applyBorder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right"/>
    </xf>
    <xf numFmtId="164" fontId="9" fillId="3" borderId="1" xfId="0" applyNumberFormat="1" applyFont="1" applyFill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164" fontId="9" fillId="0" borderId="1" xfId="0" applyNumberFormat="1" applyFont="1" applyBorder="1"/>
    <xf numFmtId="0" fontId="1" fillId="0" borderId="0" xfId="0" applyFont="1"/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0" xfId="0" applyFont="1" applyAlignment="1">
      <alignment horizontal="center"/>
    </xf>
    <xf numFmtId="0" fontId="9" fillId="3" borderId="1" xfId="0" applyFont="1" applyFill="1" applyBorder="1"/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0" xfId="1" applyFont="1" applyAlignment="1">
      <alignment horizontal="center"/>
    </xf>
    <xf numFmtId="4" fontId="9" fillId="0" borderId="1" xfId="0" applyNumberFormat="1" applyFont="1" applyBorder="1"/>
    <xf numFmtId="4" fontId="8" fillId="0" borderId="1" xfId="0" applyNumberFormat="1" applyFont="1" applyBorder="1"/>
    <xf numFmtId="4" fontId="9" fillId="3" borderId="1" xfId="0" applyNumberFormat="1" applyFont="1" applyFill="1" applyBorder="1"/>
  </cellXfs>
  <cellStyles count="2">
    <cellStyle name="Обычный" xfId="0" builtinId="0"/>
    <cellStyle name="Обычный 2" xfId="1" xr:uid="{C5837AFB-2EAA-451E-B34A-505F93F9C8DD}"/>
  </cellStyles>
  <dxfs count="48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8329-4B81-4E43-98ED-3D6D267BD9B7}">
  <dimension ref="A1:J80"/>
  <sheetViews>
    <sheetView tabSelected="1" workbookViewId="0">
      <selection activeCell="P18" sqref="P18"/>
    </sheetView>
  </sheetViews>
  <sheetFormatPr defaultRowHeight="15" x14ac:dyDescent="0.25"/>
  <cols>
    <col min="1" max="1" width="13.28515625" style="27" customWidth="1"/>
    <col min="2" max="2" width="39.28515625" customWidth="1"/>
    <col min="3" max="3" width="13.85546875" customWidth="1"/>
    <col min="4" max="4" width="15" customWidth="1"/>
    <col min="5" max="5" width="11.85546875" customWidth="1"/>
    <col min="6" max="6" width="12.85546875" customWidth="1"/>
    <col min="7" max="7" width="11.85546875" customWidth="1"/>
  </cols>
  <sheetData>
    <row r="1" spans="1:10" x14ac:dyDescent="0.25">
      <c r="A1" s="26"/>
      <c r="B1" s="21"/>
      <c r="C1" s="21"/>
      <c r="D1" s="21"/>
      <c r="E1" s="21"/>
      <c r="F1" s="21"/>
      <c r="G1" s="21"/>
    </row>
    <row r="2" spans="1:10" ht="15.75" x14ac:dyDescent="0.25">
      <c r="A2" s="36" t="s">
        <v>160</v>
      </c>
      <c r="B2" s="36"/>
      <c r="C2" s="36"/>
      <c r="D2" s="36"/>
      <c r="E2" s="36"/>
      <c r="F2" s="36"/>
      <c r="G2" s="36"/>
    </row>
    <row r="3" spans="1:10" ht="15.75" x14ac:dyDescent="0.25">
      <c r="A3" s="36" t="s">
        <v>161</v>
      </c>
      <c r="B3" s="36"/>
      <c r="C3" s="36"/>
      <c r="D3" s="36"/>
      <c r="E3" s="36"/>
      <c r="F3" s="36"/>
      <c r="G3" s="36"/>
    </row>
    <row r="4" spans="1:10" ht="15.75" x14ac:dyDescent="0.25">
      <c r="A4" s="36" t="s">
        <v>159</v>
      </c>
      <c r="B4" s="36"/>
      <c r="C4" s="36"/>
      <c r="D4" s="36"/>
      <c r="E4" s="36"/>
      <c r="F4" s="36"/>
      <c r="G4" s="36"/>
      <c r="H4" s="1"/>
      <c r="I4" s="1"/>
      <c r="J4" s="1"/>
    </row>
    <row r="5" spans="1:10" ht="15.75" x14ac:dyDescent="0.25">
      <c r="A5" s="36" t="s">
        <v>158</v>
      </c>
      <c r="B5" s="36"/>
      <c r="C5" s="36"/>
      <c r="D5" s="36"/>
      <c r="E5" s="36"/>
      <c r="F5" s="36"/>
      <c r="G5" s="36"/>
      <c r="H5" s="1"/>
      <c r="I5" s="1"/>
      <c r="J5" s="1"/>
    </row>
    <row r="6" spans="1:10" x14ac:dyDescent="0.25">
      <c r="A6" s="26"/>
      <c r="B6" s="21"/>
      <c r="C6" s="21"/>
      <c r="D6" s="21"/>
      <c r="E6" s="21"/>
      <c r="F6" s="28" t="s">
        <v>156</v>
      </c>
      <c r="G6" s="21"/>
    </row>
    <row r="7" spans="1:10" x14ac:dyDescent="0.25">
      <c r="A7" s="38" t="s">
        <v>0</v>
      </c>
      <c r="B7" s="38" t="s">
        <v>1</v>
      </c>
      <c r="C7" s="40" t="s">
        <v>2</v>
      </c>
      <c r="D7" s="41"/>
      <c r="E7" s="41"/>
      <c r="F7" s="41"/>
      <c r="G7" s="41"/>
    </row>
    <row r="8" spans="1:10" ht="28.5" customHeight="1" x14ac:dyDescent="0.25">
      <c r="A8" s="39"/>
      <c r="B8" s="39"/>
      <c r="C8" s="23" t="s">
        <v>3</v>
      </c>
      <c r="D8" s="23" t="s">
        <v>4</v>
      </c>
      <c r="E8" s="24" t="s">
        <v>5</v>
      </c>
      <c r="F8" s="24" t="s">
        <v>6</v>
      </c>
      <c r="G8" s="24" t="s">
        <v>7</v>
      </c>
    </row>
    <row r="9" spans="1:10" s="33" customFormat="1" x14ac:dyDescent="0.25">
      <c r="A9" s="30">
        <v>10000000</v>
      </c>
      <c r="B9" s="31" t="s">
        <v>8</v>
      </c>
      <c r="C9" s="43">
        <v>141106.29999999999</v>
      </c>
      <c r="D9" s="43">
        <v>88829.372000000003</v>
      </c>
      <c r="E9" s="43">
        <v>92240.696270000015</v>
      </c>
      <c r="F9" s="43">
        <f t="shared" ref="F9:F40" si="0">E9-D9</f>
        <v>3411.3242700000119</v>
      </c>
      <c r="G9" s="32">
        <f t="shared" ref="G9:G40" si="1">IF(D9=0,0,E9/D9*100)</f>
        <v>103.84031114167959</v>
      </c>
    </row>
    <row r="10" spans="1:10" ht="34.5" customHeight="1" x14ac:dyDescent="0.25">
      <c r="A10" s="22">
        <v>11000000</v>
      </c>
      <c r="B10" s="34" t="s">
        <v>9</v>
      </c>
      <c r="C10" s="44">
        <v>61306.400000000001</v>
      </c>
      <c r="D10" s="44">
        <v>35532.815999999999</v>
      </c>
      <c r="E10" s="44">
        <v>35103.875850000011</v>
      </c>
      <c r="F10" s="44">
        <f t="shared" si="0"/>
        <v>-428.94014999998763</v>
      </c>
      <c r="G10" s="25">
        <f t="shared" si="1"/>
        <v>98.792833784972217</v>
      </c>
    </row>
    <row r="11" spans="1:10" ht="18.75" customHeight="1" x14ac:dyDescent="0.25">
      <c r="A11" s="22">
        <v>11010000</v>
      </c>
      <c r="B11" s="34" t="s">
        <v>10</v>
      </c>
      <c r="C11" s="44">
        <v>61092.7</v>
      </c>
      <c r="D11" s="44">
        <v>35344.116000000002</v>
      </c>
      <c r="E11" s="44">
        <v>34944.029250000007</v>
      </c>
      <c r="F11" s="44">
        <f t="shared" si="0"/>
        <v>-400.08674999999494</v>
      </c>
      <c r="G11" s="25">
        <f t="shared" si="1"/>
        <v>98.868024454197709</v>
      </c>
    </row>
    <row r="12" spans="1:10" ht="60" hidden="1" x14ac:dyDescent="0.25">
      <c r="A12" s="22">
        <v>11010100</v>
      </c>
      <c r="B12" s="34" t="s">
        <v>11</v>
      </c>
      <c r="C12" s="44">
        <v>50447.5</v>
      </c>
      <c r="D12" s="44">
        <v>32187.5</v>
      </c>
      <c r="E12" s="44">
        <v>31541.37962</v>
      </c>
      <c r="F12" s="44">
        <f t="shared" si="0"/>
        <v>-646.1203800000003</v>
      </c>
      <c r="G12" s="25">
        <f t="shared" si="1"/>
        <v>97.99263571262135</v>
      </c>
    </row>
    <row r="13" spans="1:10" ht="60" hidden="1" x14ac:dyDescent="0.25">
      <c r="A13" s="22">
        <v>11010400</v>
      </c>
      <c r="B13" s="34" t="s">
        <v>12</v>
      </c>
      <c r="C13" s="44">
        <v>9114</v>
      </c>
      <c r="D13" s="44">
        <v>2041.4159999999999</v>
      </c>
      <c r="E13" s="44">
        <v>1807.4949999999999</v>
      </c>
      <c r="F13" s="44">
        <f t="shared" si="0"/>
        <v>-233.92100000000005</v>
      </c>
      <c r="G13" s="25">
        <f t="shared" si="1"/>
        <v>88.541238042613557</v>
      </c>
    </row>
    <row r="14" spans="1:10" ht="45" hidden="1" x14ac:dyDescent="0.25">
      <c r="A14" s="22">
        <v>11010500</v>
      </c>
      <c r="B14" s="34" t="s">
        <v>13</v>
      </c>
      <c r="C14" s="44">
        <v>1400</v>
      </c>
      <c r="D14" s="44">
        <v>985</v>
      </c>
      <c r="E14" s="44">
        <v>1379.0378900000001</v>
      </c>
      <c r="F14" s="44">
        <f t="shared" si="0"/>
        <v>394.03789000000006</v>
      </c>
      <c r="G14" s="25">
        <f t="shared" si="1"/>
        <v>140.00384670050764</v>
      </c>
    </row>
    <row r="15" spans="1:10" ht="60" hidden="1" x14ac:dyDescent="0.25">
      <c r="A15" s="22">
        <v>11011300</v>
      </c>
      <c r="B15" s="34" t="s">
        <v>14</v>
      </c>
      <c r="C15" s="44">
        <v>131.19999999999999</v>
      </c>
      <c r="D15" s="44">
        <v>130.19999999999999</v>
      </c>
      <c r="E15" s="44">
        <v>216.11673999999999</v>
      </c>
      <c r="F15" s="44">
        <f t="shared" si="0"/>
        <v>85.916740000000004</v>
      </c>
      <c r="G15" s="25">
        <f t="shared" si="1"/>
        <v>165.98827956989248</v>
      </c>
    </row>
    <row r="16" spans="1:10" ht="20.25" customHeight="1" x14ac:dyDescent="0.25">
      <c r="A16" s="22">
        <v>11020000</v>
      </c>
      <c r="B16" s="34" t="s">
        <v>15</v>
      </c>
      <c r="C16" s="44">
        <v>213.7</v>
      </c>
      <c r="D16" s="44">
        <v>188.7</v>
      </c>
      <c r="E16" s="44">
        <v>159.8466</v>
      </c>
      <c r="F16" s="44">
        <f t="shared" si="0"/>
        <v>-28.853399999999993</v>
      </c>
      <c r="G16" s="25">
        <f t="shared" si="1"/>
        <v>84.709379968203507</v>
      </c>
    </row>
    <row r="17" spans="1:7" ht="45" hidden="1" x14ac:dyDescent="0.25">
      <c r="A17" s="22">
        <v>11020200</v>
      </c>
      <c r="B17" s="34" t="s">
        <v>16</v>
      </c>
      <c r="C17" s="44">
        <v>213.7</v>
      </c>
      <c r="D17" s="44">
        <v>188.7</v>
      </c>
      <c r="E17" s="44">
        <v>159.8466</v>
      </c>
      <c r="F17" s="44">
        <f t="shared" si="0"/>
        <v>-28.853399999999993</v>
      </c>
      <c r="G17" s="25">
        <f t="shared" si="1"/>
        <v>84.709379968203507</v>
      </c>
    </row>
    <row r="18" spans="1:7" ht="18.75" customHeight="1" x14ac:dyDescent="0.25">
      <c r="A18" s="22">
        <v>13000000</v>
      </c>
      <c r="B18" s="34" t="s">
        <v>17</v>
      </c>
      <c r="C18" s="44">
        <v>3</v>
      </c>
      <c r="D18" s="44">
        <v>0.92600000000000005</v>
      </c>
      <c r="E18" s="44">
        <v>1.16849</v>
      </c>
      <c r="F18" s="44">
        <f t="shared" si="0"/>
        <v>0.24248999999999998</v>
      </c>
      <c r="G18" s="25">
        <f t="shared" si="1"/>
        <v>126.18682505399568</v>
      </c>
    </row>
    <row r="19" spans="1:7" ht="45" hidden="1" x14ac:dyDescent="0.25">
      <c r="A19" s="22">
        <v>13030000</v>
      </c>
      <c r="B19" s="34" t="s">
        <v>18</v>
      </c>
      <c r="C19" s="44">
        <v>3</v>
      </c>
      <c r="D19" s="44">
        <v>0.92600000000000005</v>
      </c>
      <c r="E19" s="44">
        <v>1.16849</v>
      </c>
      <c r="F19" s="44">
        <f t="shared" si="0"/>
        <v>0.24248999999999998</v>
      </c>
      <c r="G19" s="25">
        <f t="shared" si="1"/>
        <v>126.18682505399568</v>
      </c>
    </row>
    <row r="20" spans="1:7" ht="0.75" customHeight="1" x14ac:dyDescent="0.25">
      <c r="A20" s="22">
        <v>13030100</v>
      </c>
      <c r="B20" s="34" t="s">
        <v>19</v>
      </c>
      <c r="C20" s="44">
        <v>3</v>
      </c>
      <c r="D20" s="44">
        <v>0.92600000000000005</v>
      </c>
      <c r="E20" s="44">
        <v>1.16849</v>
      </c>
      <c r="F20" s="44">
        <f t="shared" si="0"/>
        <v>0.24248999999999998</v>
      </c>
      <c r="G20" s="25">
        <f t="shared" si="1"/>
        <v>126.18682505399568</v>
      </c>
    </row>
    <row r="21" spans="1:7" ht="20.25" customHeight="1" x14ac:dyDescent="0.25">
      <c r="A21" s="22">
        <v>14000000</v>
      </c>
      <c r="B21" s="34" t="s">
        <v>20</v>
      </c>
      <c r="C21" s="44">
        <v>24026.3</v>
      </c>
      <c r="D21" s="44">
        <v>15825.8</v>
      </c>
      <c r="E21" s="44">
        <v>17517.322519999998</v>
      </c>
      <c r="F21" s="44">
        <f t="shared" si="0"/>
        <v>1691.5225199999986</v>
      </c>
      <c r="G21" s="25">
        <f t="shared" si="1"/>
        <v>110.68838554765004</v>
      </c>
    </row>
    <row r="22" spans="1:7" ht="45" hidden="1" x14ac:dyDescent="0.25">
      <c r="A22" s="22">
        <v>14020000</v>
      </c>
      <c r="B22" s="34" t="s">
        <v>21</v>
      </c>
      <c r="C22" s="44">
        <v>2784.4</v>
      </c>
      <c r="D22" s="44">
        <v>1950.6</v>
      </c>
      <c r="E22" s="44">
        <v>2042.7322900000001</v>
      </c>
      <c r="F22" s="44">
        <f t="shared" si="0"/>
        <v>92.132290000000239</v>
      </c>
      <c r="G22" s="25">
        <f t="shared" si="1"/>
        <v>104.72327950374245</v>
      </c>
    </row>
    <row r="23" spans="1:7" hidden="1" x14ac:dyDescent="0.25">
      <c r="A23" s="22">
        <v>14021900</v>
      </c>
      <c r="B23" s="34" t="s">
        <v>22</v>
      </c>
      <c r="C23" s="44">
        <v>2784.4</v>
      </c>
      <c r="D23" s="44">
        <v>1950.6</v>
      </c>
      <c r="E23" s="44">
        <v>2042.7322900000001</v>
      </c>
      <c r="F23" s="44">
        <f t="shared" si="0"/>
        <v>92.132290000000239</v>
      </c>
      <c r="G23" s="25">
        <f t="shared" si="1"/>
        <v>104.72327950374245</v>
      </c>
    </row>
    <row r="24" spans="1:7" ht="45" hidden="1" x14ac:dyDescent="0.25">
      <c r="A24" s="22">
        <v>14030000</v>
      </c>
      <c r="B24" s="34" t="s">
        <v>23</v>
      </c>
      <c r="C24" s="44">
        <v>15058.2</v>
      </c>
      <c r="D24" s="44">
        <v>10058.200000000001</v>
      </c>
      <c r="E24" s="44">
        <v>11369.667240000001</v>
      </c>
      <c r="F24" s="44">
        <f t="shared" si="0"/>
        <v>1311.4672399999999</v>
      </c>
      <c r="G24" s="25">
        <f t="shared" si="1"/>
        <v>113.03878666162932</v>
      </c>
    </row>
    <row r="25" spans="1:7" hidden="1" x14ac:dyDescent="0.25">
      <c r="A25" s="22">
        <v>14031900</v>
      </c>
      <c r="B25" s="34" t="s">
        <v>22</v>
      </c>
      <c r="C25" s="44">
        <v>15058.2</v>
      </c>
      <c r="D25" s="44">
        <v>10058.200000000001</v>
      </c>
      <c r="E25" s="44">
        <v>11369.667240000001</v>
      </c>
      <c r="F25" s="44">
        <f t="shared" si="0"/>
        <v>1311.4672399999999</v>
      </c>
      <c r="G25" s="25">
        <f t="shared" si="1"/>
        <v>113.03878666162932</v>
      </c>
    </row>
    <row r="26" spans="1:7" ht="60" hidden="1" x14ac:dyDescent="0.25">
      <c r="A26" s="22">
        <v>14040000</v>
      </c>
      <c r="B26" s="34" t="s">
        <v>24</v>
      </c>
      <c r="C26" s="44">
        <v>6183.7</v>
      </c>
      <c r="D26" s="44">
        <v>3817</v>
      </c>
      <c r="E26" s="44">
        <v>4104.92299</v>
      </c>
      <c r="F26" s="44">
        <f t="shared" si="0"/>
        <v>287.92299000000003</v>
      </c>
      <c r="G26" s="25">
        <f t="shared" si="1"/>
        <v>107.54317500654965</v>
      </c>
    </row>
    <row r="27" spans="1:7" ht="135" hidden="1" x14ac:dyDescent="0.25">
      <c r="A27" s="22">
        <v>14040100</v>
      </c>
      <c r="B27" s="34" t="s">
        <v>25</v>
      </c>
      <c r="C27" s="44">
        <v>4236</v>
      </c>
      <c r="D27" s="44">
        <v>2686</v>
      </c>
      <c r="E27" s="44">
        <v>2951.1293799999999</v>
      </c>
      <c r="F27" s="44">
        <f t="shared" si="0"/>
        <v>265.12937999999986</v>
      </c>
      <c r="G27" s="25">
        <f t="shared" si="1"/>
        <v>109.87078853313477</v>
      </c>
    </row>
    <row r="28" spans="1:7" ht="120" hidden="1" x14ac:dyDescent="0.25">
      <c r="A28" s="22">
        <v>14040200</v>
      </c>
      <c r="B28" s="34" t="s">
        <v>26</v>
      </c>
      <c r="C28" s="44">
        <v>1947.7</v>
      </c>
      <c r="D28" s="44">
        <v>1131</v>
      </c>
      <c r="E28" s="44">
        <v>1153.7936100000002</v>
      </c>
      <c r="F28" s="44">
        <f t="shared" si="0"/>
        <v>22.793610000000172</v>
      </c>
      <c r="G28" s="25">
        <f t="shared" si="1"/>
        <v>102.01535013262601</v>
      </c>
    </row>
    <row r="29" spans="1:7" s="33" customFormat="1" ht="51.75" customHeight="1" x14ac:dyDescent="0.25">
      <c r="A29" s="30">
        <v>18000000</v>
      </c>
      <c r="B29" s="35" t="s">
        <v>27</v>
      </c>
      <c r="C29" s="43">
        <v>55770.6</v>
      </c>
      <c r="D29" s="43">
        <v>37469.83</v>
      </c>
      <c r="E29" s="43">
        <v>39618.329409999998</v>
      </c>
      <c r="F29" s="43">
        <f t="shared" si="0"/>
        <v>2148.4994099999967</v>
      </c>
      <c r="G29" s="32">
        <f t="shared" si="1"/>
        <v>105.73394490981143</v>
      </c>
    </row>
    <row r="30" spans="1:7" x14ac:dyDescent="0.25">
      <c r="A30" s="22">
        <v>18010000</v>
      </c>
      <c r="B30" s="34" t="s">
        <v>28</v>
      </c>
      <c r="C30" s="44">
        <v>18025.8</v>
      </c>
      <c r="D30" s="44">
        <v>11893.03</v>
      </c>
      <c r="E30" s="44">
        <v>13566.42699</v>
      </c>
      <c r="F30" s="44">
        <f t="shared" si="0"/>
        <v>1673.3969899999993</v>
      </c>
      <c r="G30" s="25">
        <f t="shared" si="1"/>
        <v>114.07040081459476</v>
      </c>
    </row>
    <row r="31" spans="1:7" ht="0.75" customHeight="1" x14ac:dyDescent="0.25">
      <c r="A31" s="22">
        <v>18010100</v>
      </c>
      <c r="B31" s="34" t="s">
        <v>29</v>
      </c>
      <c r="C31" s="44">
        <v>98</v>
      </c>
      <c r="D31" s="44">
        <v>61.53</v>
      </c>
      <c r="E31" s="44">
        <v>41.057300000000005</v>
      </c>
      <c r="F31" s="44">
        <f t="shared" si="0"/>
        <v>-20.472699999999996</v>
      </c>
      <c r="G31" s="25">
        <f t="shared" si="1"/>
        <v>66.727287502031544</v>
      </c>
    </row>
    <row r="32" spans="1:7" ht="75" hidden="1" x14ac:dyDescent="0.25">
      <c r="A32" s="22">
        <v>18010200</v>
      </c>
      <c r="B32" s="34" t="s">
        <v>30</v>
      </c>
      <c r="C32" s="44">
        <v>2203.1</v>
      </c>
      <c r="D32" s="44">
        <v>1253.0999999999999</v>
      </c>
      <c r="E32" s="44">
        <v>2038.08051</v>
      </c>
      <c r="F32" s="44">
        <f t="shared" si="0"/>
        <v>784.98051000000009</v>
      </c>
      <c r="G32" s="25">
        <f t="shared" si="1"/>
        <v>162.64308594685181</v>
      </c>
    </row>
    <row r="33" spans="1:7" ht="75" hidden="1" x14ac:dyDescent="0.25">
      <c r="A33" s="22">
        <v>18010300</v>
      </c>
      <c r="B33" s="34" t="s">
        <v>31</v>
      </c>
      <c r="C33" s="44">
        <v>1620</v>
      </c>
      <c r="D33" s="44">
        <v>920</v>
      </c>
      <c r="E33" s="44">
        <v>1613.7855300000001</v>
      </c>
      <c r="F33" s="44">
        <f t="shared" si="0"/>
        <v>693.78553000000011</v>
      </c>
      <c r="G33" s="25">
        <f t="shared" si="1"/>
        <v>175.41147065217393</v>
      </c>
    </row>
    <row r="34" spans="1:7" ht="75" hidden="1" x14ac:dyDescent="0.25">
      <c r="A34" s="22">
        <v>18010400</v>
      </c>
      <c r="B34" s="34" t="s">
        <v>32</v>
      </c>
      <c r="C34" s="44">
        <v>2032.7</v>
      </c>
      <c r="D34" s="44">
        <v>1395.2</v>
      </c>
      <c r="E34" s="44">
        <v>1592.6461399999998</v>
      </c>
      <c r="F34" s="44">
        <f t="shared" si="0"/>
        <v>197.44613999999979</v>
      </c>
      <c r="G34" s="25">
        <f t="shared" si="1"/>
        <v>114.1518162270642</v>
      </c>
    </row>
    <row r="35" spans="1:7" hidden="1" x14ac:dyDescent="0.25">
      <c r="A35" s="22">
        <v>18010500</v>
      </c>
      <c r="B35" s="34" t="s">
        <v>33</v>
      </c>
      <c r="C35" s="44">
        <v>2299.9</v>
      </c>
      <c r="D35" s="44">
        <v>1424.9</v>
      </c>
      <c r="E35" s="44">
        <v>1349.07897</v>
      </c>
      <c r="F35" s="44">
        <f t="shared" si="0"/>
        <v>-75.821030000000064</v>
      </c>
      <c r="G35" s="25">
        <f t="shared" si="1"/>
        <v>94.67885255105621</v>
      </c>
    </row>
    <row r="36" spans="1:7" hidden="1" x14ac:dyDescent="0.25">
      <c r="A36" s="22">
        <v>18010600</v>
      </c>
      <c r="B36" s="34" t="s">
        <v>34</v>
      </c>
      <c r="C36" s="44">
        <v>6905.4</v>
      </c>
      <c r="D36" s="44">
        <v>5113.5</v>
      </c>
      <c r="E36" s="44">
        <v>5428.4843000000001</v>
      </c>
      <c r="F36" s="44">
        <f t="shared" si="0"/>
        <v>314.98430000000008</v>
      </c>
      <c r="G36" s="25">
        <f t="shared" si="1"/>
        <v>106.15985724063752</v>
      </c>
    </row>
    <row r="37" spans="1:7" hidden="1" x14ac:dyDescent="0.25">
      <c r="A37" s="22">
        <v>18010700</v>
      </c>
      <c r="B37" s="34" t="s">
        <v>35</v>
      </c>
      <c r="C37" s="44">
        <v>1800</v>
      </c>
      <c r="D37" s="44">
        <v>1050</v>
      </c>
      <c r="E37" s="44">
        <v>753.66381000000001</v>
      </c>
      <c r="F37" s="44">
        <f t="shared" si="0"/>
        <v>-296.33618999999999</v>
      </c>
      <c r="G37" s="25">
        <f t="shared" si="1"/>
        <v>71.777505714285724</v>
      </c>
    </row>
    <row r="38" spans="1:7" hidden="1" x14ac:dyDescent="0.25">
      <c r="A38" s="22">
        <v>18010900</v>
      </c>
      <c r="B38" s="34" t="s">
        <v>36</v>
      </c>
      <c r="C38" s="44">
        <v>1048</v>
      </c>
      <c r="D38" s="44">
        <v>656.1</v>
      </c>
      <c r="E38" s="44">
        <v>705.88043000000005</v>
      </c>
      <c r="F38" s="44">
        <f t="shared" si="0"/>
        <v>49.780430000000024</v>
      </c>
      <c r="G38" s="25">
        <f t="shared" si="1"/>
        <v>107.58732357872276</v>
      </c>
    </row>
    <row r="39" spans="1:7" ht="30" hidden="1" x14ac:dyDescent="0.25">
      <c r="A39" s="22">
        <v>18011000</v>
      </c>
      <c r="B39" s="34" t="s">
        <v>37</v>
      </c>
      <c r="C39" s="44">
        <v>0</v>
      </c>
      <c r="D39" s="44">
        <v>0</v>
      </c>
      <c r="E39" s="44">
        <v>25</v>
      </c>
      <c r="F39" s="44">
        <f t="shared" si="0"/>
        <v>25</v>
      </c>
      <c r="G39" s="25">
        <f t="shared" si="1"/>
        <v>0</v>
      </c>
    </row>
    <row r="40" spans="1:7" ht="30" hidden="1" x14ac:dyDescent="0.25">
      <c r="A40" s="22">
        <v>18011100</v>
      </c>
      <c r="B40" s="34" t="s">
        <v>38</v>
      </c>
      <c r="C40" s="44">
        <v>18.7</v>
      </c>
      <c r="D40" s="44">
        <v>18.7</v>
      </c>
      <c r="E40" s="44">
        <v>18.75</v>
      </c>
      <c r="F40" s="44">
        <f t="shared" si="0"/>
        <v>5.0000000000000711E-2</v>
      </c>
      <c r="G40" s="25">
        <f t="shared" si="1"/>
        <v>100.26737967914438</v>
      </c>
    </row>
    <row r="41" spans="1:7" ht="14.25" customHeight="1" x14ac:dyDescent="0.25">
      <c r="A41" s="22">
        <v>18050000</v>
      </c>
      <c r="B41" s="34" t="s">
        <v>39</v>
      </c>
      <c r="C41" s="44">
        <v>37744.800000000003</v>
      </c>
      <c r="D41" s="44">
        <v>25576.799999999999</v>
      </c>
      <c r="E41" s="44">
        <v>26051.902419999999</v>
      </c>
      <c r="F41" s="44">
        <f t="shared" ref="F41:F72" si="2">E41-D41</f>
        <v>475.10241999999926</v>
      </c>
      <c r="G41" s="25">
        <f t="shared" ref="G41:G72" si="3">IF(D41=0,0,E41/D41*100)</f>
        <v>101.85755223483781</v>
      </c>
    </row>
    <row r="42" spans="1:7" hidden="1" x14ac:dyDescent="0.25">
      <c r="A42" s="22">
        <v>18050300</v>
      </c>
      <c r="B42" s="34" t="s">
        <v>40</v>
      </c>
      <c r="C42" s="44">
        <v>3189</v>
      </c>
      <c r="D42" s="44">
        <v>2241</v>
      </c>
      <c r="E42" s="44">
        <v>1861.8057800000001</v>
      </c>
      <c r="F42" s="44">
        <f t="shared" si="2"/>
        <v>-379.19421999999986</v>
      </c>
      <c r="G42" s="25">
        <f t="shared" si="3"/>
        <v>83.079240517626062</v>
      </c>
    </row>
    <row r="43" spans="1:7" hidden="1" x14ac:dyDescent="0.25">
      <c r="A43" s="22">
        <v>18050400</v>
      </c>
      <c r="B43" s="34" t="s">
        <v>41</v>
      </c>
      <c r="C43" s="44">
        <v>22195.8</v>
      </c>
      <c r="D43" s="44">
        <v>14045.8</v>
      </c>
      <c r="E43" s="44">
        <v>14577.118789999999</v>
      </c>
      <c r="F43" s="44">
        <f t="shared" si="2"/>
        <v>531.31878999999935</v>
      </c>
      <c r="G43" s="25">
        <f t="shared" si="3"/>
        <v>103.78275918779991</v>
      </c>
    </row>
    <row r="44" spans="1:7" ht="105" hidden="1" x14ac:dyDescent="0.25">
      <c r="A44" s="22">
        <v>18050500</v>
      </c>
      <c r="B44" s="34" t="s">
        <v>42</v>
      </c>
      <c r="C44" s="44">
        <v>12360</v>
      </c>
      <c r="D44" s="44">
        <v>9290</v>
      </c>
      <c r="E44" s="44">
        <v>9612.9778499999993</v>
      </c>
      <c r="F44" s="44">
        <f t="shared" si="2"/>
        <v>322.97784999999931</v>
      </c>
      <c r="G44" s="25">
        <f t="shared" si="3"/>
        <v>103.47661840688913</v>
      </c>
    </row>
    <row r="45" spans="1:7" s="33" customFormat="1" x14ac:dyDescent="0.25">
      <c r="A45" s="30">
        <v>20000000</v>
      </c>
      <c r="B45" s="35" t="s">
        <v>43</v>
      </c>
      <c r="C45" s="43">
        <v>5307.8</v>
      </c>
      <c r="D45" s="43">
        <v>4294.8</v>
      </c>
      <c r="E45" s="43">
        <v>4478.3894900000005</v>
      </c>
      <c r="F45" s="43">
        <f t="shared" si="2"/>
        <v>183.5894900000003</v>
      </c>
      <c r="G45" s="32">
        <f t="shared" si="3"/>
        <v>104.27469241873895</v>
      </c>
    </row>
    <row r="46" spans="1:7" ht="30" hidden="1" x14ac:dyDescent="0.25">
      <c r="A46" s="22">
        <v>21000000</v>
      </c>
      <c r="B46" s="34" t="s">
        <v>44</v>
      </c>
      <c r="C46" s="44">
        <v>360.7</v>
      </c>
      <c r="D46" s="44">
        <v>293.3</v>
      </c>
      <c r="E46" s="44">
        <v>342.72997000000004</v>
      </c>
      <c r="F46" s="44">
        <f t="shared" si="2"/>
        <v>49.429970000000026</v>
      </c>
      <c r="G46" s="25">
        <f t="shared" si="3"/>
        <v>116.85304125468805</v>
      </c>
    </row>
    <row r="47" spans="1:7" ht="135" hidden="1" x14ac:dyDescent="0.25">
      <c r="A47" s="22">
        <v>21010000</v>
      </c>
      <c r="B47" s="34" t="s">
        <v>45</v>
      </c>
      <c r="C47" s="44">
        <v>5.5</v>
      </c>
      <c r="D47" s="44">
        <v>5</v>
      </c>
      <c r="E47" s="44">
        <v>5.3133699999999999</v>
      </c>
      <c r="F47" s="44">
        <f t="shared" si="2"/>
        <v>0.31336999999999993</v>
      </c>
      <c r="G47" s="25">
        <f t="shared" si="3"/>
        <v>106.26739999999999</v>
      </c>
    </row>
    <row r="48" spans="1:7" ht="60" hidden="1" x14ac:dyDescent="0.25">
      <c r="A48" s="22">
        <v>21010300</v>
      </c>
      <c r="B48" s="34" t="s">
        <v>46</v>
      </c>
      <c r="C48" s="44">
        <v>5.5</v>
      </c>
      <c r="D48" s="44">
        <v>5</v>
      </c>
      <c r="E48" s="44">
        <v>5.3133699999999999</v>
      </c>
      <c r="F48" s="44">
        <f t="shared" si="2"/>
        <v>0.31336999999999993</v>
      </c>
      <c r="G48" s="25">
        <f t="shared" si="3"/>
        <v>106.26739999999999</v>
      </c>
    </row>
    <row r="49" spans="1:7" hidden="1" x14ac:dyDescent="0.25">
      <c r="A49" s="22">
        <v>21080000</v>
      </c>
      <c r="B49" s="34" t="s">
        <v>47</v>
      </c>
      <c r="C49" s="44">
        <v>355.2</v>
      </c>
      <c r="D49" s="44">
        <v>288.3</v>
      </c>
      <c r="E49" s="44">
        <v>337.41659999999996</v>
      </c>
      <c r="F49" s="44">
        <f t="shared" si="2"/>
        <v>49.116599999999949</v>
      </c>
      <c r="G49" s="25">
        <f t="shared" si="3"/>
        <v>117.03662851196668</v>
      </c>
    </row>
    <row r="50" spans="1:7" ht="30" hidden="1" x14ac:dyDescent="0.25">
      <c r="A50" s="22">
        <v>21081100</v>
      </c>
      <c r="B50" s="34" t="s">
        <v>48</v>
      </c>
      <c r="C50" s="44">
        <v>56.2</v>
      </c>
      <c r="D50" s="44">
        <v>31.2</v>
      </c>
      <c r="E50" s="44">
        <v>47.887929999999997</v>
      </c>
      <c r="F50" s="44">
        <f t="shared" si="2"/>
        <v>16.687929999999998</v>
      </c>
      <c r="G50" s="25">
        <f t="shared" si="3"/>
        <v>153.48695512820512</v>
      </c>
    </row>
    <row r="51" spans="1:7" ht="120" hidden="1" x14ac:dyDescent="0.25">
      <c r="A51" s="22">
        <v>21081500</v>
      </c>
      <c r="B51" s="34" t="s">
        <v>49</v>
      </c>
      <c r="C51" s="44">
        <v>6.8</v>
      </c>
      <c r="D51" s="44">
        <v>6.8</v>
      </c>
      <c r="E51" s="44">
        <v>27.8</v>
      </c>
      <c r="F51" s="44">
        <f t="shared" si="2"/>
        <v>21</v>
      </c>
      <c r="G51" s="25">
        <f t="shared" si="3"/>
        <v>408.82352941176475</v>
      </c>
    </row>
    <row r="52" spans="1:7" ht="75" hidden="1" x14ac:dyDescent="0.25">
      <c r="A52" s="22">
        <v>21081800</v>
      </c>
      <c r="B52" s="34" t="s">
        <v>50</v>
      </c>
      <c r="C52" s="44">
        <v>292.2</v>
      </c>
      <c r="D52" s="44">
        <v>250.3</v>
      </c>
      <c r="E52" s="44">
        <v>261.72867000000002</v>
      </c>
      <c r="F52" s="44">
        <f t="shared" si="2"/>
        <v>11.428670000000011</v>
      </c>
      <c r="G52" s="25">
        <f t="shared" si="3"/>
        <v>104.5659888134239</v>
      </c>
    </row>
    <row r="53" spans="1:7" ht="45" hidden="1" x14ac:dyDescent="0.25">
      <c r="A53" s="22">
        <v>22000000</v>
      </c>
      <c r="B53" s="34" t="s">
        <v>51</v>
      </c>
      <c r="C53" s="44">
        <v>2219.6</v>
      </c>
      <c r="D53" s="44">
        <v>1274</v>
      </c>
      <c r="E53" s="44">
        <v>1198.6200200000001</v>
      </c>
      <c r="F53" s="44">
        <f t="shared" si="2"/>
        <v>-75.379979999999932</v>
      </c>
      <c r="G53" s="25">
        <f t="shared" si="3"/>
        <v>94.083204081632658</v>
      </c>
    </row>
    <row r="54" spans="1:7" ht="30" hidden="1" x14ac:dyDescent="0.25">
      <c r="A54" s="22">
        <v>22010000</v>
      </c>
      <c r="B54" s="34" t="s">
        <v>52</v>
      </c>
      <c r="C54" s="44">
        <v>2162.4</v>
      </c>
      <c r="D54" s="44">
        <v>1237.4000000000001</v>
      </c>
      <c r="E54" s="44">
        <v>1163.77467</v>
      </c>
      <c r="F54" s="44">
        <f t="shared" si="2"/>
        <v>-73.625330000000076</v>
      </c>
      <c r="G54" s="25">
        <f t="shared" si="3"/>
        <v>94.049997575561662</v>
      </c>
    </row>
    <row r="55" spans="1:7" ht="30" hidden="1" x14ac:dyDescent="0.25">
      <c r="A55" s="22">
        <v>22012500</v>
      </c>
      <c r="B55" s="34" t="s">
        <v>53</v>
      </c>
      <c r="C55" s="44">
        <v>2065</v>
      </c>
      <c r="D55" s="44">
        <v>1165</v>
      </c>
      <c r="E55" s="44">
        <v>1087.08277</v>
      </c>
      <c r="F55" s="44">
        <f t="shared" si="2"/>
        <v>-77.917230000000018</v>
      </c>
      <c r="G55" s="25">
        <f t="shared" si="3"/>
        <v>93.311825751072959</v>
      </c>
    </row>
    <row r="56" spans="1:7" ht="45" hidden="1" x14ac:dyDescent="0.25">
      <c r="A56" s="22">
        <v>22012600</v>
      </c>
      <c r="B56" s="34" t="s">
        <v>54</v>
      </c>
      <c r="C56" s="44">
        <v>97.4</v>
      </c>
      <c r="D56" s="44">
        <v>72.400000000000006</v>
      </c>
      <c r="E56" s="44">
        <v>76.69189999999999</v>
      </c>
      <c r="F56" s="44">
        <f t="shared" si="2"/>
        <v>4.2918999999999841</v>
      </c>
      <c r="G56" s="25">
        <f t="shared" si="3"/>
        <v>105.92803867403313</v>
      </c>
    </row>
    <row r="57" spans="1:7" hidden="1" x14ac:dyDescent="0.25">
      <c r="A57" s="22">
        <v>22090000</v>
      </c>
      <c r="B57" s="34" t="s">
        <v>55</v>
      </c>
      <c r="C57" s="44">
        <v>47.5</v>
      </c>
      <c r="D57" s="44">
        <v>26.9</v>
      </c>
      <c r="E57" s="44">
        <v>26.00001</v>
      </c>
      <c r="F57" s="44">
        <f t="shared" si="2"/>
        <v>-0.89998999999999896</v>
      </c>
      <c r="G57" s="25">
        <f t="shared" si="3"/>
        <v>96.654312267658</v>
      </c>
    </row>
    <row r="58" spans="1:7" ht="75" hidden="1" x14ac:dyDescent="0.25">
      <c r="A58" s="22">
        <v>22090100</v>
      </c>
      <c r="B58" s="34" t="s">
        <v>56</v>
      </c>
      <c r="C58" s="44">
        <v>45</v>
      </c>
      <c r="D58" s="44">
        <v>25.5</v>
      </c>
      <c r="E58" s="44">
        <v>25.784590000000001</v>
      </c>
      <c r="F58" s="44">
        <f t="shared" si="2"/>
        <v>0.28459000000000145</v>
      </c>
      <c r="G58" s="25">
        <f t="shared" si="3"/>
        <v>101.11603921568629</v>
      </c>
    </row>
    <row r="59" spans="1:7" ht="60" hidden="1" x14ac:dyDescent="0.25">
      <c r="A59" s="22">
        <v>22090400</v>
      </c>
      <c r="B59" s="34" t="s">
        <v>57</v>
      </c>
      <c r="C59" s="44">
        <v>2.5</v>
      </c>
      <c r="D59" s="44">
        <v>1.4</v>
      </c>
      <c r="E59" s="44">
        <v>0.21542</v>
      </c>
      <c r="F59" s="44">
        <f t="shared" si="2"/>
        <v>-1.18458</v>
      </c>
      <c r="G59" s="25">
        <f t="shared" si="3"/>
        <v>15.387142857142857</v>
      </c>
    </row>
    <row r="60" spans="1:7" ht="135" hidden="1" x14ac:dyDescent="0.25">
      <c r="A60" s="22">
        <v>22130000</v>
      </c>
      <c r="B60" s="34" t="s">
        <v>58</v>
      </c>
      <c r="C60" s="44">
        <v>9.6999999999999993</v>
      </c>
      <c r="D60" s="44">
        <v>9.6999999999999993</v>
      </c>
      <c r="E60" s="44">
        <v>8.8453400000000002</v>
      </c>
      <c r="F60" s="44">
        <f t="shared" si="2"/>
        <v>-0.85465999999999909</v>
      </c>
      <c r="G60" s="25">
        <f t="shared" si="3"/>
        <v>91.189072164948456</v>
      </c>
    </row>
    <row r="61" spans="1:7" hidden="1" x14ac:dyDescent="0.25">
      <c r="A61" s="22">
        <v>24000000</v>
      </c>
      <c r="B61" s="34" t="s">
        <v>59</v>
      </c>
      <c r="C61" s="44">
        <v>2727.5</v>
      </c>
      <c r="D61" s="44">
        <v>2727.5</v>
      </c>
      <c r="E61" s="44">
        <v>2937.0394999999999</v>
      </c>
      <c r="F61" s="44">
        <f t="shared" si="2"/>
        <v>209.53949999999986</v>
      </c>
      <c r="G61" s="25">
        <f t="shared" si="3"/>
        <v>107.68247479376718</v>
      </c>
    </row>
    <row r="62" spans="1:7" hidden="1" x14ac:dyDescent="0.25">
      <c r="A62" s="22">
        <v>24060000</v>
      </c>
      <c r="B62" s="34" t="s">
        <v>47</v>
      </c>
      <c r="C62" s="44">
        <v>2727.5</v>
      </c>
      <c r="D62" s="44">
        <v>2727.5</v>
      </c>
      <c r="E62" s="44">
        <v>2937.0394999999999</v>
      </c>
      <c r="F62" s="44">
        <f t="shared" si="2"/>
        <v>209.53949999999986</v>
      </c>
      <c r="G62" s="25">
        <f t="shared" si="3"/>
        <v>107.68247479376718</v>
      </c>
    </row>
    <row r="63" spans="1:7" hidden="1" x14ac:dyDescent="0.25">
      <c r="A63" s="22">
        <v>24060300</v>
      </c>
      <c r="B63" s="34" t="s">
        <v>47</v>
      </c>
      <c r="C63" s="44">
        <v>2727.5</v>
      </c>
      <c r="D63" s="44">
        <v>2727.5</v>
      </c>
      <c r="E63" s="44">
        <v>2937.0394999999999</v>
      </c>
      <c r="F63" s="44">
        <f t="shared" si="2"/>
        <v>209.53949999999986</v>
      </c>
      <c r="G63" s="25">
        <f t="shared" si="3"/>
        <v>107.68247479376718</v>
      </c>
    </row>
    <row r="64" spans="1:7" s="33" customFormat="1" x14ac:dyDescent="0.25">
      <c r="A64" s="30">
        <v>40000000</v>
      </c>
      <c r="B64" s="35" t="s">
        <v>60</v>
      </c>
      <c r="C64" s="43">
        <v>80086.48</v>
      </c>
      <c r="D64" s="43">
        <v>70959.179999999993</v>
      </c>
      <c r="E64" s="43">
        <v>70697.604999999996</v>
      </c>
      <c r="F64" s="43">
        <f t="shared" si="2"/>
        <v>-261.57499999999709</v>
      </c>
      <c r="G64" s="32">
        <f t="shared" si="3"/>
        <v>99.631372572230973</v>
      </c>
    </row>
    <row r="65" spans="1:7" ht="0.75" customHeight="1" x14ac:dyDescent="0.25">
      <c r="A65" s="22">
        <v>41000000</v>
      </c>
      <c r="B65" s="34" t="s">
        <v>61</v>
      </c>
      <c r="C65" s="44">
        <v>80086.48</v>
      </c>
      <c r="D65" s="44">
        <v>70959.179999999993</v>
      </c>
      <c r="E65" s="44">
        <v>70697.604999999996</v>
      </c>
      <c r="F65" s="44">
        <f t="shared" si="2"/>
        <v>-261.57499999999709</v>
      </c>
      <c r="G65" s="25">
        <f t="shared" si="3"/>
        <v>99.631372572230973</v>
      </c>
    </row>
    <row r="66" spans="1:7" ht="30" hidden="1" x14ac:dyDescent="0.25">
      <c r="A66" s="22">
        <v>41020000</v>
      </c>
      <c r="B66" s="34" t="s">
        <v>62</v>
      </c>
      <c r="C66" s="44">
        <v>29654</v>
      </c>
      <c r="D66" s="44">
        <v>22306.3</v>
      </c>
      <c r="E66" s="44">
        <v>22306.3</v>
      </c>
      <c r="F66" s="44">
        <f t="shared" si="2"/>
        <v>0</v>
      </c>
      <c r="G66" s="25">
        <f t="shared" si="3"/>
        <v>100</v>
      </c>
    </row>
    <row r="67" spans="1:7" x14ac:dyDescent="0.25">
      <c r="A67" s="22">
        <v>41020100</v>
      </c>
      <c r="B67" s="34" t="s">
        <v>63</v>
      </c>
      <c r="C67" s="44">
        <v>17634.2</v>
      </c>
      <c r="D67" s="44">
        <v>10286.5</v>
      </c>
      <c r="E67" s="44">
        <v>10286.5</v>
      </c>
      <c r="F67" s="44">
        <f t="shared" si="2"/>
        <v>0</v>
      </c>
      <c r="G67" s="25">
        <f t="shared" si="3"/>
        <v>100</v>
      </c>
    </row>
    <row r="68" spans="1:7" ht="13.5" customHeight="1" x14ac:dyDescent="0.25">
      <c r="A68" s="22">
        <v>41021400</v>
      </c>
      <c r="B68" s="34" t="s">
        <v>64</v>
      </c>
      <c r="C68" s="44">
        <v>12019.8</v>
      </c>
      <c r="D68" s="44">
        <v>12019.8</v>
      </c>
      <c r="E68" s="44">
        <v>12019.8</v>
      </c>
      <c r="F68" s="44">
        <f t="shared" si="2"/>
        <v>0</v>
      </c>
      <c r="G68" s="25">
        <f t="shared" si="3"/>
        <v>100</v>
      </c>
    </row>
    <row r="69" spans="1:7" ht="0.75" hidden="1" customHeight="1" x14ac:dyDescent="0.25">
      <c r="A69" s="22">
        <v>41030000</v>
      </c>
      <c r="B69" s="34" t="s">
        <v>65</v>
      </c>
      <c r="C69" s="44">
        <v>49072.6</v>
      </c>
      <c r="D69" s="44">
        <v>47293</v>
      </c>
      <c r="E69" s="44">
        <v>47293</v>
      </c>
      <c r="F69" s="44">
        <f t="shared" si="2"/>
        <v>0</v>
      </c>
      <c r="G69" s="25">
        <f t="shared" si="3"/>
        <v>100</v>
      </c>
    </row>
    <row r="70" spans="1:7" ht="120" x14ac:dyDescent="0.25">
      <c r="A70" s="22">
        <v>41032800</v>
      </c>
      <c r="B70" s="34" t="s">
        <v>66</v>
      </c>
      <c r="C70" s="44">
        <v>15032.1</v>
      </c>
      <c r="D70" s="44">
        <v>15032.1</v>
      </c>
      <c r="E70" s="44">
        <v>15032.1</v>
      </c>
      <c r="F70" s="44">
        <f t="shared" si="2"/>
        <v>0</v>
      </c>
      <c r="G70" s="25">
        <f t="shared" si="3"/>
        <v>100</v>
      </c>
    </row>
    <row r="71" spans="1:7" ht="30" x14ac:dyDescent="0.25">
      <c r="A71" s="22">
        <v>41033900</v>
      </c>
      <c r="B71" s="34" t="s">
        <v>67</v>
      </c>
      <c r="C71" s="44">
        <v>31649.8</v>
      </c>
      <c r="D71" s="44">
        <v>29991.4</v>
      </c>
      <c r="E71" s="44">
        <v>29991.4</v>
      </c>
      <c r="F71" s="44">
        <f t="shared" si="2"/>
        <v>0</v>
      </c>
      <c r="G71" s="25">
        <f t="shared" si="3"/>
        <v>100</v>
      </c>
    </row>
    <row r="72" spans="1:7" ht="60" x14ac:dyDescent="0.25">
      <c r="A72" s="22">
        <v>41035400</v>
      </c>
      <c r="B72" s="34" t="s">
        <v>68</v>
      </c>
      <c r="C72" s="44">
        <v>205.4</v>
      </c>
      <c r="D72" s="44">
        <v>123</v>
      </c>
      <c r="E72" s="44">
        <v>123</v>
      </c>
      <c r="F72" s="44">
        <f t="shared" si="2"/>
        <v>0</v>
      </c>
      <c r="G72" s="25">
        <f t="shared" si="3"/>
        <v>100</v>
      </c>
    </row>
    <row r="73" spans="1:7" ht="90" x14ac:dyDescent="0.25">
      <c r="A73" s="22">
        <v>41036000</v>
      </c>
      <c r="B73" s="34" t="s">
        <v>69</v>
      </c>
      <c r="C73" s="44">
        <v>253.6</v>
      </c>
      <c r="D73" s="44">
        <v>214.8</v>
      </c>
      <c r="E73" s="44">
        <v>214.8</v>
      </c>
      <c r="F73" s="44">
        <f t="shared" ref="F73:F80" si="4">E73-D73</f>
        <v>0</v>
      </c>
      <c r="G73" s="25">
        <f t="shared" ref="G73:G80" si="5">IF(D73=0,0,E73/D73*100)</f>
        <v>100</v>
      </c>
    </row>
    <row r="74" spans="1:7" ht="60" x14ac:dyDescent="0.25">
      <c r="A74" s="22">
        <v>41036300</v>
      </c>
      <c r="B74" s="34" t="s">
        <v>70</v>
      </c>
      <c r="C74" s="44">
        <v>1931.7</v>
      </c>
      <c r="D74" s="44">
        <v>1931.7</v>
      </c>
      <c r="E74" s="44">
        <v>1931.7</v>
      </c>
      <c r="F74" s="44">
        <f t="shared" si="4"/>
        <v>0</v>
      </c>
      <c r="G74" s="25">
        <f t="shared" si="5"/>
        <v>100</v>
      </c>
    </row>
    <row r="75" spans="1:7" ht="30" hidden="1" x14ac:dyDescent="0.25">
      <c r="A75" s="22">
        <v>41050000</v>
      </c>
      <c r="B75" s="34" t="s">
        <v>71</v>
      </c>
      <c r="C75" s="44">
        <v>1359.88</v>
      </c>
      <c r="D75" s="44">
        <v>1359.88</v>
      </c>
      <c r="E75" s="44">
        <v>1098.3050000000001</v>
      </c>
      <c r="F75" s="44">
        <f t="shared" si="4"/>
        <v>-261.57500000000005</v>
      </c>
      <c r="G75" s="25">
        <f t="shared" si="5"/>
        <v>80.764846898255726</v>
      </c>
    </row>
    <row r="76" spans="1:7" x14ac:dyDescent="0.25">
      <c r="A76" s="22">
        <v>41053900</v>
      </c>
      <c r="B76" s="34" t="s">
        <v>72</v>
      </c>
      <c r="C76" s="44">
        <v>108</v>
      </c>
      <c r="D76" s="44">
        <v>108</v>
      </c>
      <c r="E76" s="44">
        <v>0</v>
      </c>
      <c r="F76" s="44">
        <f t="shared" si="4"/>
        <v>-108</v>
      </c>
      <c r="G76" s="25">
        <f t="shared" si="5"/>
        <v>0</v>
      </c>
    </row>
    <row r="77" spans="1:7" ht="111" customHeight="1" x14ac:dyDescent="0.25">
      <c r="A77" s="22">
        <v>41057900</v>
      </c>
      <c r="B77" s="34" t="s">
        <v>73</v>
      </c>
      <c r="C77" s="44">
        <v>883.3</v>
      </c>
      <c r="D77" s="44">
        <v>883.3</v>
      </c>
      <c r="E77" s="44">
        <v>883.3</v>
      </c>
      <c r="F77" s="44">
        <f t="shared" si="4"/>
        <v>0</v>
      </c>
      <c r="G77" s="25">
        <f t="shared" si="5"/>
        <v>100</v>
      </c>
    </row>
    <row r="78" spans="1:7" ht="107.25" customHeight="1" x14ac:dyDescent="0.25">
      <c r="A78" s="22">
        <v>41059300</v>
      </c>
      <c r="B78" s="34" t="s">
        <v>74</v>
      </c>
      <c r="C78" s="44">
        <v>368.58</v>
      </c>
      <c r="D78" s="44">
        <v>368.58</v>
      </c>
      <c r="E78" s="44">
        <v>215.005</v>
      </c>
      <c r="F78" s="44">
        <f t="shared" si="4"/>
        <v>-153.57499999999999</v>
      </c>
      <c r="G78" s="25">
        <f t="shared" si="5"/>
        <v>58.333333333333336</v>
      </c>
    </row>
    <row r="79" spans="1:7" x14ac:dyDescent="0.25">
      <c r="A79" s="37" t="s">
        <v>162</v>
      </c>
      <c r="B79" s="37"/>
      <c r="C79" s="45">
        <v>146414.1</v>
      </c>
      <c r="D79" s="45">
        <v>93124.172000000006</v>
      </c>
      <c r="E79" s="45">
        <v>96719.085760000002</v>
      </c>
      <c r="F79" s="45">
        <f t="shared" si="4"/>
        <v>3594.9137599999958</v>
      </c>
      <c r="G79" s="29">
        <f t="shared" si="5"/>
        <v>103.86034440123666</v>
      </c>
    </row>
    <row r="80" spans="1:7" x14ac:dyDescent="0.25">
      <c r="A80" s="37" t="s">
        <v>163</v>
      </c>
      <c r="B80" s="37"/>
      <c r="C80" s="45">
        <v>226500.58</v>
      </c>
      <c r="D80" s="45">
        <v>164083.35200000001</v>
      </c>
      <c r="E80" s="45">
        <v>167416.69076</v>
      </c>
      <c r="F80" s="45">
        <f t="shared" si="4"/>
        <v>3333.3387599999842</v>
      </c>
      <c r="G80" s="29">
        <f t="shared" si="5"/>
        <v>102.03149114116097</v>
      </c>
    </row>
  </sheetData>
  <mergeCells count="9">
    <mergeCell ref="A80:B80"/>
    <mergeCell ref="A7:A8"/>
    <mergeCell ref="B7:B8"/>
    <mergeCell ref="C7:G7"/>
    <mergeCell ref="A2:G2"/>
    <mergeCell ref="A3:G3"/>
    <mergeCell ref="A4:G4"/>
    <mergeCell ref="A5:G5"/>
    <mergeCell ref="A79:B79"/>
  </mergeCells>
  <pageMargins left="0.59055118110236227" right="0.39370078740157483" top="0.39370078740157483" bottom="0.19685039370078741" header="0" footer="0"/>
  <pageSetup paperSize="9" scale="75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EED0C-B8C8-44A1-968D-812DCF74D65E}">
  <sheetPr>
    <pageSetUpPr fitToPage="1"/>
  </sheetPr>
  <dimension ref="A2:I56"/>
  <sheetViews>
    <sheetView workbookViewId="0">
      <selection activeCell="A2" sqref="A2:H5"/>
    </sheetView>
  </sheetViews>
  <sheetFormatPr defaultRowHeight="12.75" x14ac:dyDescent="0.2"/>
  <cols>
    <col min="1" max="1" width="12.7109375" style="3" customWidth="1"/>
    <col min="2" max="2" width="50.7109375" style="4" customWidth="1"/>
    <col min="3" max="8" width="15.7109375" style="2" customWidth="1"/>
    <col min="9" max="248" width="9.140625" style="2"/>
    <col min="249" max="249" width="12.7109375" style="2" customWidth="1"/>
    <col min="250" max="250" width="50.7109375" style="2" customWidth="1"/>
    <col min="251" max="264" width="15.7109375" style="2" customWidth="1"/>
    <col min="265" max="504" width="9.140625" style="2"/>
    <col min="505" max="505" width="12.7109375" style="2" customWidth="1"/>
    <col min="506" max="506" width="50.7109375" style="2" customWidth="1"/>
    <col min="507" max="520" width="15.7109375" style="2" customWidth="1"/>
    <col min="521" max="760" width="9.140625" style="2"/>
    <col min="761" max="761" width="12.7109375" style="2" customWidth="1"/>
    <col min="762" max="762" width="50.7109375" style="2" customWidth="1"/>
    <col min="763" max="776" width="15.7109375" style="2" customWidth="1"/>
    <col min="777" max="1016" width="9.140625" style="2"/>
    <col min="1017" max="1017" width="12.7109375" style="2" customWidth="1"/>
    <col min="1018" max="1018" width="50.7109375" style="2" customWidth="1"/>
    <col min="1019" max="1032" width="15.7109375" style="2" customWidth="1"/>
    <col min="1033" max="1272" width="9.140625" style="2"/>
    <col min="1273" max="1273" width="12.7109375" style="2" customWidth="1"/>
    <col min="1274" max="1274" width="50.7109375" style="2" customWidth="1"/>
    <col min="1275" max="1288" width="15.7109375" style="2" customWidth="1"/>
    <col min="1289" max="1528" width="9.140625" style="2"/>
    <col min="1529" max="1529" width="12.7109375" style="2" customWidth="1"/>
    <col min="1530" max="1530" width="50.7109375" style="2" customWidth="1"/>
    <col min="1531" max="1544" width="15.7109375" style="2" customWidth="1"/>
    <col min="1545" max="1784" width="9.140625" style="2"/>
    <col min="1785" max="1785" width="12.7109375" style="2" customWidth="1"/>
    <col min="1786" max="1786" width="50.7109375" style="2" customWidth="1"/>
    <col min="1787" max="1800" width="15.7109375" style="2" customWidth="1"/>
    <col min="1801" max="2040" width="9.140625" style="2"/>
    <col min="2041" max="2041" width="12.7109375" style="2" customWidth="1"/>
    <col min="2042" max="2042" width="50.7109375" style="2" customWidth="1"/>
    <col min="2043" max="2056" width="15.7109375" style="2" customWidth="1"/>
    <col min="2057" max="2296" width="9.140625" style="2"/>
    <col min="2297" max="2297" width="12.7109375" style="2" customWidth="1"/>
    <col min="2298" max="2298" width="50.7109375" style="2" customWidth="1"/>
    <col min="2299" max="2312" width="15.7109375" style="2" customWidth="1"/>
    <col min="2313" max="2552" width="9.140625" style="2"/>
    <col min="2553" max="2553" width="12.7109375" style="2" customWidth="1"/>
    <col min="2554" max="2554" width="50.7109375" style="2" customWidth="1"/>
    <col min="2555" max="2568" width="15.7109375" style="2" customWidth="1"/>
    <col min="2569" max="2808" width="9.140625" style="2"/>
    <col min="2809" max="2809" width="12.7109375" style="2" customWidth="1"/>
    <col min="2810" max="2810" width="50.7109375" style="2" customWidth="1"/>
    <col min="2811" max="2824" width="15.7109375" style="2" customWidth="1"/>
    <col min="2825" max="3064" width="9.140625" style="2"/>
    <col min="3065" max="3065" width="12.7109375" style="2" customWidth="1"/>
    <col min="3066" max="3066" width="50.7109375" style="2" customWidth="1"/>
    <col min="3067" max="3080" width="15.7109375" style="2" customWidth="1"/>
    <col min="3081" max="3320" width="9.140625" style="2"/>
    <col min="3321" max="3321" width="12.7109375" style="2" customWidth="1"/>
    <col min="3322" max="3322" width="50.7109375" style="2" customWidth="1"/>
    <col min="3323" max="3336" width="15.7109375" style="2" customWidth="1"/>
    <col min="3337" max="3576" width="9.140625" style="2"/>
    <col min="3577" max="3577" width="12.7109375" style="2" customWidth="1"/>
    <col min="3578" max="3578" width="50.7109375" style="2" customWidth="1"/>
    <col min="3579" max="3592" width="15.7109375" style="2" customWidth="1"/>
    <col min="3593" max="3832" width="9.140625" style="2"/>
    <col min="3833" max="3833" width="12.7109375" style="2" customWidth="1"/>
    <col min="3834" max="3834" width="50.7109375" style="2" customWidth="1"/>
    <col min="3835" max="3848" width="15.7109375" style="2" customWidth="1"/>
    <col min="3849" max="4088" width="9.140625" style="2"/>
    <col min="4089" max="4089" width="12.7109375" style="2" customWidth="1"/>
    <col min="4090" max="4090" width="50.7109375" style="2" customWidth="1"/>
    <col min="4091" max="4104" width="15.7109375" style="2" customWidth="1"/>
    <col min="4105" max="4344" width="9.140625" style="2"/>
    <col min="4345" max="4345" width="12.7109375" style="2" customWidth="1"/>
    <col min="4346" max="4346" width="50.7109375" style="2" customWidth="1"/>
    <col min="4347" max="4360" width="15.7109375" style="2" customWidth="1"/>
    <col min="4361" max="4600" width="9.140625" style="2"/>
    <col min="4601" max="4601" width="12.7109375" style="2" customWidth="1"/>
    <col min="4602" max="4602" width="50.7109375" style="2" customWidth="1"/>
    <col min="4603" max="4616" width="15.7109375" style="2" customWidth="1"/>
    <col min="4617" max="4856" width="9.140625" style="2"/>
    <col min="4857" max="4857" width="12.7109375" style="2" customWidth="1"/>
    <col min="4858" max="4858" width="50.7109375" style="2" customWidth="1"/>
    <col min="4859" max="4872" width="15.7109375" style="2" customWidth="1"/>
    <col min="4873" max="5112" width="9.140625" style="2"/>
    <col min="5113" max="5113" width="12.7109375" style="2" customWidth="1"/>
    <col min="5114" max="5114" width="50.7109375" style="2" customWidth="1"/>
    <col min="5115" max="5128" width="15.7109375" style="2" customWidth="1"/>
    <col min="5129" max="5368" width="9.140625" style="2"/>
    <col min="5369" max="5369" width="12.7109375" style="2" customWidth="1"/>
    <col min="5370" max="5370" width="50.7109375" style="2" customWidth="1"/>
    <col min="5371" max="5384" width="15.7109375" style="2" customWidth="1"/>
    <col min="5385" max="5624" width="9.140625" style="2"/>
    <col min="5625" max="5625" width="12.7109375" style="2" customWidth="1"/>
    <col min="5626" max="5626" width="50.7109375" style="2" customWidth="1"/>
    <col min="5627" max="5640" width="15.7109375" style="2" customWidth="1"/>
    <col min="5641" max="5880" width="9.140625" style="2"/>
    <col min="5881" max="5881" width="12.7109375" style="2" customWidth="1"/>
    <col min="5882" max="5882" width="50.7109375" style="2" customWidth="1"/>
    <col min="5883" max="5896" width="15.7109375" style="2" customWidth="1"/>
    <col min="5897" max="6136" width="9.140625" style="2"/>
    <col min="6137" max="6137" width="12.7109375" style="2" customWidth="1"/>
    <col min="6138" max="6138" width="50.7109375" style="2" customWidth="1"/>
    <col min="6139" max="6152" width="15.7109375" style="2" customWidth="1"/>
    <col min="6153" max="6392" width="9.140625" style="2"/>
    <col min="6393" max="6393" width="12.7109375" style="2" customWidth="1"/>
    <col min="6394" max="6394" width="50.7109375" style="2" customWidth="1"/>
    <col min="6395" max="6408" width="15.7109375" style="2" customWidth="1"/>
    <col min="6409" max="6648" width="9.140625" style="2"/>
    <col min="6649" max="6649" width="12.7109375" style="2" customWidth="1"/>
    <col min="6650" max="6650" width="50.7109375" style="2" customWidth="1"/>
    <col min="6651" max="6664" width="15.7109375" style="2" customWidth="1"/>
    <col min="6665" max="6904" width="9.140625" style="2"/>
    <col min="6905" max="6905" width="12.7109375" style="2" customWidth="1"/>
    <col min="6906" max="6906" width="50.7109375" style="2" customWidth="1"/>
    <col min="6907" max="6920" width="15.7109375" style="2" customWidth="1"/>
    <col min="6921" max="7160" width="9.140625" style="2"/>
    <col min="7161" max="7161" width="12.7109375" style="2" customWidth="1"/>
    <col min="7162" max="7162" width="50.7109375" style="2" customWidth="1"/>
    <col min="7163" max="7176" width="15.7109375" style="2" customWidth="1"/>
    <col min="7177" max="7416" width="9.140625" style="2"/>
    <col min="7417" max="7417" width="12.7109375" style="2" customWidth="1"/>
    <col min="7418" max="7418" width="50.7109375" style="2" customWidth="1"/>
    <col min="7419" max="7432" width="15.7109375" style="2" customWidth="1"/>
    <col min="7433" max="7672" width="9.140625" style="2"/>
    <col min="7673" max="7673" width="12.7109375" style="2" customWidth="1"/>
    <col min="7674" max="7674" width="50.7109375" style="2" customWidth="1"/>
    <col min="7675" max="7688" width="15.7109375" style="2" customWidth="1"/>
    <col min="7689" max="7928" width="9.140625" style="2"/>
    <col min="7929" max="7929" width="12.7109375" style="2" customWidth="1"/>
    <col min="7930" max="7930" width="50.7109375" style="2" customWidth="1"/>
    <col min="7931" max="7944" width="15.7109375" style="2" customWidth="1"/>
    <col min="7945" max="8184" width="9.140625" style="2"/>
    <col min="8185" max="8185" width="12.7109375" style="2" customWidth="1"/>
    <col min="8186" max="8186" width="50.7109375" style="2" customWidth="1"/>
    <col min="8187" max="8200" width="15.7109375" style="2" customWidth="1"/>
    <col min="8201" max="8440" width="9.140625" style="2"/>
    <col min="8441" max="8441" width="12.7109375" style="2" customWidth="1"/>
    <col min="8442" max="8442" width="50.7109375" style="2" customWidth="1"/>
    <col min="8443" max="8456" width="15.7109375" style="2" customWidth="1"/>
    <col min="8457" max="8696" width="9.140625" style="2"/>
    <col min="8697" max="8697" width="12.7109375" style="2" customWidth="1"/>
    <col min="8698" max="8698" width="50.7109375" style="2" customWidth="1"/>
    <col min="8699" max="8712" width="15.7109375" style="2" customWidth="1"/>
    <col min="8713" max="8952" width="9.140625" style="2"/>
    <col min="8953" max="8953" width="12.7109375" style="2" customWidth="1"/>
    <col min="8954" max="8954" width="50.7109375" style="2" customWidth="1"/>
    <col min="8955" max="8968" width="15.7109375" style="2" customWidth="1"/>
    <col min="8969" max="9208" width="9.140625" style="2"/>
    <col min="9209" max="9209" width="12.7109375" style="2" customWidth="1"/>
    <col min="9210" max="9210" width="50.7109375" style="2" customWidth="1"/>
    <col min="9211" max="9224" width="15.7109375" style="2" customWidth="1"/>
    <col min="9225" max="9464" width="9.140625" style="2"/>
    <col min="9465" max="9465" width="12.7109375" style="2" customWidth="1"/>
    <col min="9466" max="9466" width="50.7109375" style="2" customWidth="1"/>
    <col min="9467" max="9480" width="15.7109375" style="2" customWidth="1"/>
    <col min="9481" max="9720" width="9.140625" style="2"/>
    <col min="9721" max="9721" width="12.7109375" style="2" customWidth="1"/>
    <col min="9722" max="9722" width="50.7109375" style="2" customWidth="1"/>
    <col min="9723" max="9736" width="15.7109375" style="2" customWidth="1"/>
    <col min="9737" max="9976" width="9.140625" style="2"/>
    <col min="9977" max="9977" width="12.7109375" style="2" customWidth="1"/>
    <col min="9978" max="9978" width="50.7109375" style="2" customWidth="1"/>
    <col min="9979" max="9992" width="15.7109375" style="2" customWidth="1"/>
    <col min="9993" max="10232" width="9.140625" style="2"/>
    <col min="10233" max="10233" width="12.7109375" style="2" customWidth="1"/>
    <col min="10234" max="10234" width="50.7109375" style="2" customWidth="1"/>
    <col min="10235" max="10248" width="15.7109375" style="2" customWidth="1"/>
    <col min="10249" max="10488" width="9.140625" style="2"/>
    <col min="10489" max="10489" width="12.7109375" style="2" customWidth="1"/>
    <col min="10490" max="10490" width="50.7109375" style="2" customWidth="1"/>
    <col min="10491" max="10504" width="15.7109375" style="2" customWidth="1"/>
    <col min="10505" max="10744" width="9.140625" style="2"/>
    <col min="10745" max="10745" width="12.7109375" style="2" customWidth="1"/>
    <col min="10746" max="10746" width="50.7109375" style="2" customWidth="1"/>
    <col min="10747" max="10760" width="15.7109375" style="2" customWidth="1"/>
    <col min="10761" max="11000" width="9.140625" style="2"/>
    <col min="11001" max="11001" width="12.7109375" style="2" customWidth="1"/>
    <col min="11002" max="11002" width="50.7109375" style="2" customWidth="1"/>
    <col min="11003" max="11016" width="15.7109375" style="2" customWidth="1"/>
    <col min="11017" max="11256" width="9.140625" style="2"/>
    <col min="11257" max="11257" width="12.7109375" style="2" customWidth="1"/>
    <col min="11258" max="11258" width="50.7109375" style="2" customWidth="1"/>
    <col min="11259" max="11272" width="15.7109375" style="2" customWidth="1"/>
    <col min="11273" max="11512" width="9.140625" style="2"/>
    <col min="11513" max="11513" width="12.7109375" style="2" customWidth="1"/>
    <col min="11514" max="11514" width="50.7109375" style="2" customWidth="1"/>
    <col min="11515" max="11528" width="15.7109375" style="2" customWidth="1"/>
    <col min="11529" max="11768" width="9.140625" style="2"/>
    <col min="11769" max="11769" width="12.7109375" style="2" customWidth="1"/>
    <col min="11770" max="11770" width="50.7109375" style="2" customWidth="1"/>
    <col min="11771" max="11784" width="15.7109375" style="2" customWidth="1"/>
    <col min="11785" max="12024" width="9.140625" style="2"/>
    <col min="12025" max="12025" width="12.7109375" style="2" customWidth="1"/>
    <col min="12026" max="12026" width="50.7109375" style="2" customWidth="1"/>
    <col min="12027" max="12040" width="15.7109375" style="2" customWidth="1"/>
    <col min="12041" max="12280" width="9.140625" style="2"/>
    <col min="12281" max="12281" width="12.7109375" style="2" customWidth="1"/>
    <col min="12282" max="12282" width="50.7109375" style="2" customWidth="1"/>
    <col min="12283" max="12296" width="15.7109375" style="2" customWidth="1"/>
    <col min="12297" max="12536" width="9.140625" style="2"/>
    <col min="12537" max="12537" width="12.7109375" style="2" customWidth="1"/>
    <col min="12538" max="12538" width="50.7109375" style="2" customWidth="1"/>
    <col min="12539" max="12552" width="15.7109375" style="2" customWidth="1"/>
    <col min="12553" max="12792" width="9.140625" style="2"/>
    <col min="12793" max="12793" width="12.7109375" style="2" customWidth="1"/>
    <col min="12794" max="12794" width="50.7109375" style="2" customWidth="1"/>
    <col min="12795" max="12808" width="15.7109375" style="2" customWidth="1"/>
    <col min="12809" max="13048" width="9.140625" style="2"/>
    <col min="13049" max="13049" width="12.7109375" style="2" customWidth="1"/>
    <col min="13050" max="13050" width="50.7109375" style="2" customWidth="1"/>
    <col min="13051" max="13064" width="15.7109375" style="2" customWidth="1"/>
    <col min="13065" max="13304" width="9.140625" style="2"/>
    <col min="13305" max="13305" width="12.7109375" style="2" customWidth="1"/>
    <col min="13306" max="13306" width="50.7109375" style="2" customWidth="1"/>
    <col min="13307" max="13320" width="15.7109375" style="2" customWidth="1"/>
    <col min="13321" max="13560" width="9.140625" style="2"/>
    <col min="13561" max="13561" width="12.7109375" style="2" customWidth="1"/>
    <col min="13562" max="13562" width="50.7109375" style="2" customWidth="1"/>
    <col min="13563" max="13576" width="15.7109375" style="2" customWidth="1"/>
    <col min="13577" max="13816" width="9.140625" style="2"/>
    <col min="13817" max="13817" width="12.7109375" style="2" customWidth="1"/>
    <col min="13818" max="13818" width="50.7109375" style="2" customWidth="1"/>
    <col min="13819" max="13832" width="15.7109375" style="2" customWidth="1"/>
    <col min="13833" max="14072" width="9.140625" style="2"/>
    <col min="14073" max="14073" width="12.7109375" style="2" customWidth="1"/>
    <col min="14074" max="14074" width="50.7109375" style="2" customWidth="1"/>
    <col min="14075" max="14088" width="15.7109375" style="2" customWidth="1"/>
    <col min="14089" max="14328" width="9.140625" style="2"/>
    <col min="14329" max="14329" width="12.7109375" style="2" customWidth="1"/>
    <col min="14330" max="14330" width="50.7109375" style="2" customWidth="1"/>
    <col min="14331" max="14344" width="15.7109375" style="2" customWidth="1"/>
    <col min="14345" max="14584" width="9.140625" style="2"/>
    <col min="14585" max="14585" width="12.7109375" style="2" customWidth="1"/>
    <col min="14586" max="14586" width="50.7109375" style="2" customWidth="1"/>
    <col min="14587" max="14600" width="15.7109375" style="2" customWidth="1"/>
    <col min="14601" max="14840" width="9.140625" style="2"/>
    <col min="14841" max="14841" width="12.7109375" style="2" customWidth="1"/>
    <col min="14842" max="14842" width="50.7109375" style="2" customWidth="1"/>
    <col min="14843" max="14856" width="15.7109375" style="2" customWidth="1"/>
    <col min="14857" max="15096" width="9.140625" style="2"/>
    <col min="15097" max="15097" width="12.7109375" style="2" customWidth="1"/>
    <col min="15098" max="15098" width="50.7109375" style="2" customWidth="1"/>
    <col min="15099" max="15112" width="15.7109375" style="2" customWidth="1"/>
    <col min="15113" max="15352" width="9.140625" style="2"/>
    <col min="15353" max="15353" width="12.7109375" style="2" customWidth="1"/>
    <col min="15354" max="15354" width="50.7109375" style="2" customWidth="1"/>
    <col min="15355" max="15368" width="15.7109375" style="2" customWidth="1"/>
    <col min="15369" max="15608" width="9.140625" style="2"/>
    <col min="15609" max="15609" width="12.7109375" style="2" customWidth="1"/>
    <col min="15610" max="15610" width="50.7109375" style="2" customWidth="1"/>
    <col min="15611" max="15624" width="15.7109375" style="2" customWidth="1"/>
    <col min="15625" max="15864" width="9.140625" style="2"/>
    <col min="15865" max="15865" width="12.7109375" style="2" customWidth="1"/>
    <col min="15866" max="15866" width="50.7109375" style="2" customWidth="1"/>
    <col min="15867" max="15880" width="15.7109375" style="2" customWidth="1"/>
    <col min="15881" max="16120" width="9.140625" style="2"/>
    <col min="16121" max="16121" width="12.7109375" style="2" customWidth="1"/>
    <col min="16122" max="16122" width="50.7109375" style="2" customWidth="1"/>
    <col min="16123" max="16136" width="15.7109375" style="2" customWidth="1"/>
    <col min="16137" max="16384" width="9.140625" style="2"/>
  </cols>
  <sheetData>
    <row r="2" spans="1:9" ht="15.75" x14ac:dyDescent="0.25">
      <c r="A2" s="42" t="s">
        <v>160</v>
      </c>
      <c r="B2" s="42"/>
      <c r="C2" s="42"/>
      <c r="D2" s="42"/>
      <c r="E2" s="42"/>
      <c r="F2" s="42"/>
      <c r="G2" s="42"/>
      <c r="H2" s="42"/>
    </row>
    <row r="3" spans="1:9" ht="15.75" x14ac:dyDescent="0.25">
      <c r="A3" s="42" t="s">
        <v>157</v>
      </c>
      <c r="B3" s="42"/>
      <c r="C3" s="42"/>
      <c r="D3" s="42"/>
      <c r="E3" s="42"/>
      <c r="F3" s="42"/>
      <c r="G3" s="42"/>
      <c r="H3" s="42"/>
    </row>
    <row r="4" spans="1:9" ht="15.75" x14ac:dyDescent="0.25">
      <c r="A4" s="42" t="s">
        <v>159</v>
      </c>
      <c r="B4" s="42"/>
      <c r="C4" s="42"/>
      <c r="D4" s="42"/>
      <c r="E4" s="42"/>
      <c r="F4" s="42"/>
      <c r="G4" s="42"/>
      <c r="H4" s="42"/>
    </row>
    <row r="5" spans="1:9" ht="15.75" x14ac:dyDescent="0.25">
      <c r="A5" s="42" t="s">
        <v>158</v>
      </c>
      <c r="B5" s="42"/>
      <c r="C5" s="42"/>
      <c r="D5" s="42"/>
      <c r="E5" s="42"/>
      <c r="F5" s="42"/>
      <c r="G5" s="42"/>
      <c r="H5" s="42"/>
    </row>
    <row r="6" spans="1:9" ht="21" customHeight="1" x14ac:dyDescent="0.25">
      <c r="A6" s="10"/>
      <c r="B6" s="11"/>
      <c r="C6" s="12"/>
      <c r="D6" s="12"/>
      <c r="E6" s="12"/>
      <c r="F6" s="12"/>
      <c r="G6" s="12"/>
      <c r="H6" s="13" t="s">
        <v>156</v>
      </c>
    </row>
    <row r="7" spans="1:9" s="5" customFormat="1" ht="71.25" x14ac:dyDescent="0.2">
      <c r="A7" s="9" t="s">
        <v>75</v>
      </c>
      <c r="B7" s="9" t="s">
        <v>76</v>
      </c>
      <c r="C7" s="9" t="s">
        <v>77</v>
      </c>
      <c r="D7" s="9" t="s">
        <v>78</v>
      </c>
      <c r="E7" s="9" t="s">
        <v>79</v>
      </c>
      <c r="F7" s="9" t="s">
        <v>80</v>
      </c>
      <c r="G7" s="9" t="s">
        <v>81</v>
      </c>
      <c r="H7" s="9" t="s">
        <v>155</v>
      </c>
    </row>
    <row r="8" spans="1:9" ht="14.25" x14ac:dyDescent="0.2">
      <c r="A8" s="9">
        <v>1</v>
      </c>
      <c r="B8" s="9">
        <v>2</v>
      </c>
      <c r="C8" s="9">
        <v>3</v>
      </c>
      <c r="D8" s="9">
        <v>4</v>
      </c>
      <c r="E8" s="9">
        <v>5</v>
      </c>
      <c r="F8" s="9">
        <v>6</v>
      </c>
      <c r="G8" s="9">
        <v>7</v>
      </c>
      <c r="H8" s="9">
        <v>8</v>
      </c>
    </row>
    <row r="9" spans="1:9" ht="60" x14ac:dyDescent="0.2">
      <c r="A9" s="14" t="s">
        <v>82</v>
      </c>
      <c r="B9" s="15" t="s">
        <v>83</v>
      </c>
      <c r="C9" s="16">
        <v>37628.553000000007</v>
      </c>
      <c r="D9" s="16">
        <v>21771.017999999996</v>
      </c>
      <c r="E9" s="16">
        <v>16643.555059999999</v>
      </c>
      <c r="F9" s="17">
        <f t="shared" ref="F9:F46" si="0">C9-E9</f>
        <v>20984.997940000008</v>
      </c>
      <c r="G9" s="17">
        <f t="shared" ref="G9:G46" si="1">D9-E9</f>
        <v>5127.4629399999976</v>
      </c>
      <c r="H9" s="17">
        <f t="shared" ref="H9:H46" si="2">IF(D9=0,0,(E9/D9)*100)</f>
        <v>76.448216890914338</v>
      </c>
      <c r="I9" s="6"/>
    </row>
    <row r="10" spans="1:9" ht="45" x14ac:dyDescent="0.2">
      <c r="A10" s="14" t="s">
        <v>84</v>
      </c>
      <c r="B10" s="15" t="s">
        <v>85</v>
      </c>
      <c r="C10" s="16">
        <v>22080.195</v>
      </c>
      <c r="D10" s="16">
        <v>14813.833000000001</v>
      </c>
      <c r="E10" s="16">
        <v>10796.594939999999</v>
      </c>
      <c r="F10" s="17">
        <f t="shared" si="0"/>
        <v>11283.600060000001</v>
      </c>
      <c r="G10" s="17">
        <f t="shared" si="1"/>
        <v>4017.2380600000015</v>
      </c>
      <c r="H10" s="17">
        <f t="shared" si="2"/>
        <v>72.88184590713287</v>
      </c>
      <c r="I10" s="6"/>
    </row>
    <row r="11" spans="1:9" ht="45" x14ac:dyDescent="0.2">
      <c r="A11" s="14" t="s">
        <v>86</v>
      </c>
      <c r="B11" s="15" t="s">
        <v>87</v>
      </c>
      <c r="C11" s="16">
        <v>31649.8</v>
      </c>
      <c r="D11" s="16">
        <v>29991.4</v>
      </c>
      <c r="E11" s="16">
        <v>26061.325150000001</v>
      </c>
      <c r="F11" s="17">
        <f t="shared" si="0"/>
        <v>5588.4748499999987</v>
      </c>
      <c r="G11" s="17">
        <f t="shared" si="1"/>
        <v>3930.0748500000009</v>
      </c>
      <c r="H11" s="17">
        <f t="shared" si="2"/>
        <v>86.895994018285236</v>
      </c>
      <c r="I11" s="6"/>
    </row>
    <row r="12" spans="1:9" ht="90" x14ac:dyDescent="0.2">
      <c r="A12" s="14" t="s">
        <v>88</v>
      </c>
      <c r="B12" s="15" t="s">
        <v>89</v>
      </c>
      <c r="C12" s="16">
        <v>41.698</v>
      </c>
      <c r="D12" s="16">
        <v>41.698</v>
      </c>
      <c r="E12" s="16">
        <v>35.857410000000002</v>
      </c>
      <c r="F12" s="17">
        <f t="shared" si="0"/>
        <v>5.8405899999999988</v>
      </c>
      <c r="G12" s="17">
        <f t="shared" si="1"/>
        <v>5.8405899999999988</v>
      </c>
      <c r="H12" s="17">
        <f t="shared" si="2"/>
        <v>85.993117175883739</v>
      </c>
      <c r="I12" s="6"/>
    </row>
    <row r="13" spans="1:9" ht="75" x14ac:dyDescent="0.2">
      <c r="A13" s="14" t="s">
        <v>90</v>
      </c>
      <c r="B13" s="15" t="s">
        <v>91</v>
      </c>
      <c r="C13" s="16">
        <v>253.60000000000002</v>
      </c>
      <c r="D13" s="16">
        <v>214.8</v>
      </c>
      <c r="E13" s="16">
        <v>214.24074000000002</v>
      </c>
      <c r="F13" s="17">
        <f t="shared" si="0"/>
        <v>39.359260000000006</v>
      </c>
      <c r="G13" s="17">
        <f t="shared" si="1"/>
        <v>0.55925999999999476</v>
      </c>
      <c r="H13" s="17">
        <f t="shared" si="2"/>
        <v>99.739636871508381</v>
      </c>
      <c r="I13" s="6"/>
    </row>
    <row r="14" spans="1:9" ht="75" x14ac:dyDescent="0.2">
      <c r="A14" s="14" t="s">
        <v>92</v>
      </c>
      <c r="B14" s="15" t="s">
        <v>93</v>
      </c>
      <c r="C14" s="16">
        <v>205.4</v>
      </c>
      <c r="D14" s="16">
        <v>123</v>
      </c>
      <c r="E14" s="16">
        <v>116.57567</v>
      </c>
      <c r="F14" s="17">
        <f t="shared" si="0"/>
        <v>88.824330000000003</v>
      </c>
      <c r="G14" s="17">
        <f t="shared" si="1"/>
        <v>6.4243299999999977</v>
      </c>
      <c r="H14" s="17">
        <f t="shared" si="2"/>
        <v>94.776967479674795</v>
      </c>
      <c r="I14" s="6"/>
    </row>
    <row r="15" spans="1:9" ht="45" x14ac:dyDescent="0.2">
      <c r="A15" s="14" t="s">
        <v>94</v>
      </c>
      <c r="B15" s="15" t="s">
        <v>95</v>
      </c>
      <c r="C15" s="16">
        <v>1931.7</v>
      </c>
      <c r="D15" s="16">
        <v>1931.7</v>
      </c>
      <c r="E15" s="16">
        <v>1688.4181600000002</v>
      </c>
      <c r="F15" s="17">
        <f t="shared" si="0"/>
        <v>243.28183999999987</v>
      </c>
      <c r="G15" s="17">
        <f t="shared" si="1"/>
        <v>243.28183999999987</v>
      </c>
      <c r="H15" s="17">
        <f t="shared" si="2"/>
        <v>87.405816638194338</v>
      </c>
      <c r="I15" s="6"/>
    </row>
    <row r="16" spans="1:9" ht="30" x14ac:dyDescent="0.2">
      <c r="A16" s="14" t="s">
        <v>96</v>
      </c>
      <c r="B16" s="15" t="s">
        <v>97</v>
      </c>
      <c r="C16" s="16">
        <v>2235.3360000000002</v>
      </c>
      <c r="D16" s="16">
        <v>2235.3360000000002</v>
      </c>
      <c r="E16" s="16">
        <v>2218.7179999999998</v>
      </c>
      <c r="F16" s="17">
        <f t="shared" si="0"/>
        <v>16.618000000000393</v>
      </c>
      <c r="G16" s="17">
        <f t="shared" si="1"/>
        <v>16.618000000000393</v>
      </c>
      <c r="H16" s="17">
        <f t="shared" si="2"/>
        <v>99.256577087292456</v>
      </c>
      <c r="I16" s="6"/>
    </row>
    <row r="17" spans="1:9" ht="30" x14ac:dyDescent="0.2">
      <c r="A17" s="14" t="s">
        <v>98</v>
      </c>
      <c r="B17" s="15" t="s">
        <v>99</v>
      </c>
      <c r="C17" s="16">
        <v>892.47500000000002</v>
      </c>
      <c r="D17" s="16">
        <v>892.47500000000002</v>
      </c>
      <c r="E17" s="16">
        <v>889.79674999999997</v>
      </c>
      <c r="F17" s="17">
        <f t="shared" si="0"/>
        <v>2.6782500000000482</v>
      </c>
      <c r="G17" s="17">
        <f t="shared" si="1"/>
        <v>2.6782500000000482</v>
      </c>
      <c r="H17" s="17">
        <f t="shared" si="2"/>
        <v>99.699907560435861</v>
      </c>
      <c r="I17" s="6"/>
    </row>
    <row r="18" spans="1:9" ht="30" x14ac:dyDescent="0.2">
      <c r="A18" s="14" t="s">
        <v>100</v>
      </c>
      <c r="B18" s="15" t="s">
        <v>101</v>
      </c>
      <c r="C18" s="16">
        <v>60</v>
      </c>
      <c r="D18" s="16">
        <v>35</v>
      </c>
      <c r="E18" s="16">
        <v>0</v>
      </c>
      <c r="F18" s="17">
        <f t="shared" si="0"/>
        <v>60</v>
      </c>
      <c r="G18" s="17">
        <f t="shared" si="1"/>
        <v>35</v>
      </c>
      <c r="H18" s="17">
        <f t="shared" si="2"/>
        <v>0</v>
      </c>
      <c r="I18" s="6"/>
    </row>
    <row r="19" spans="1:9" ht="30" x14ac:dyDescent="0.2">
      <c r="A19" s="14" t="s">
        <v>102</v>
      </c>
      <c r="B19" s="15" t="s">
        <v>103</v>
      </c>
      <c r="C19" s="16">
        <v>1.62</v>
      </c>
      <c r="D19" s="16">
        <v>0.94500000000000006</v>
      </c>
      <c r="E19" s="16">
        <v>0</v>
      </c>
      <c r="F19" s="17">
        <f t="shared" si="0"/>
        <v>1.62</v>
      </c>
      <c r="G19" s="17">
        <f t="shared" si="1"/>
        <v>0.94500000000000006</v>
      </c>
      <c r="H19" s="17">
        <f t="shared" si="2"/>
        <v>0</v>
      </c>
      <c r="I19" s="6"/>
    </row>
    <row r="20" spans="1:9" ht="30" x14ac:dyDescent="0.2">
      <c r="A20" s="14" t="s">
        <v>104</v>
      </c>
      <c r="B20" s="15" t="s">
        <v>105</v>
      </c>
      <c r="C20" s="16">
        <v>0</v>
      </c>
      <c r="D20" s="16">
        <v>0</v>
      </c>
      <c r="E20" s="16">
        <v>0</v>
      </c>
      <c r="F20" s="17">
        <f t="shared" si="0"/>
        <v>0</v>
      </c>
      <c r="G20" s="17">
        <f t="shared" si="1"/>
        <v>0</v>
      </c>
      <c r="H20" s="17">
        <f t="shared" si="2"/>
        <v>0</v>
      </c>
      <c r="I20" s="6"/>
    </row>
    <row r="21" spans="1:9" ht="30" x14ac:dyDescent="0.2">
      <c r="A21" s="14" t="s">
        <v>106</v>
      </c>
      <c r="B21" s="15" t="s">
        <v>107</v>
      </c>
      <c r="C21" s="16">
        <v>28.8</v>
      </c>
      <c r="D21" s="16">
        <v>28.8</v>
      </c>
      <c r="E21" s="16">
        <v>0</v>
      </c>
      <c r="F21" s="17">
        <f t="shared" si="0"/>
        <v>28.8</v>
      </c>
      <c r="G21" s="17">
        <f t="shared" si="1"/>
        <v>28.8</v>
      </c>
      <c r="H21" s="17">
        <f t="shared" si="2"/>
        <v>0</v>
      </c>
      <c r="I21" s="6"/>
    </row>
    <row r="22" spans="1:9" ht="60" x14ac:dyDescent="0.2">
      <c r="A22" s="14" t="s">
        <v>108</v>
      </c>
      <c r="B22" s="15" t="s">
        <v>109</v>
      </c>
      <c r="C22" s="16">
        <v>320</v>
      </c>
      <c r="D22" s="16">
        <v>320</v>
      </c>
      <c r="E22" s="16">
        <v>17</v>
      </c>
      <c r="F22" s="17">
        <f t="shared" si="0"/>
        <v>303</v>
      </c>
      <c r="G22" s="17">
        <f t="shared" si="1"/>
        <v>303</v>
      </c>
      <c r="H22" s="17">
        <f t="shared" si="2"/>
        <v>5.3125</v>
      </c>
      <c r="I22" s="6"/>
    </row>
    <row r="23" spans="1:9" ht="75" x14ac:dyDescent="0.2">
      <c r="A23" s="14" t="s">
        <v>110</v>
      </c>
      <c r="B23" s="15" t="s">
        <v>111</v>
      </c>
      <c r="C23" s="16">
        <v>943.00200000000007</v>
      </c>
      <c r="D23" s="16">
        <v>550.20000000000005</v>
      </c>
      <c r="E23" s="16">
        <v>204.11132000000001</v>
      </c>
      <c r="F23" s="17">
        <f t="shared" si="0"/>
        <v>738.89068000000009</v>
      </c>
      <c r="G23" s="17">
        <f t="shared" si="1"/>
        <v>346.08868000000007</v>
      </c>
      <c r="H23" s="17">
        <f t="shared" si="2"/>
        <v>37.097659033078877</v>
      </c>
      <c r="I23" s="6"/>
    </row>
    <row r="24" spans="1:9" ht="60" x14ac:dyDescent="0.2">
      <c r="A24" s="14" t="s">
        <v>112</v>
      </c>
      <c r="B24" s="15" t="s">
        <v>113</v>
      </c>
      <c r="C24" s="16">
        <v>368.58000000000004</v>
      </c>
      <c r="D24" s="16">
        <v>368.58000000000004</v>
      </c>
      <c r="E24" s="16">
        <v>197.72306</v>
      </c>
      <c r="F24" s="17">
        <f t="shared" si="0"/>
        <v>170.85694000000004</v>
      </c>
      <c r="G24" s="17">
        <f t="shared" si="1"/>
        <v>170.85694000000004</v>
      </c>
      <c r="H24" s="17">
        <f t="shared" si="2"/>
        <v>53.644543925335064</v>
      </c>
      <c r="I24" s="6"/>
    </row>
    <row r="25" spans="1:9" ht="45" x14ac:dyDescent="0.2">
      <c r="A25" s="14" t="s">
        <v>114</v>
      </c>
      <c r="B25" s="15" t="s">
        <v>115</v>
      </c>
      <c r="C25" s="16">
        <v>1194</v>
      </c>
      <c r="D25" s="16">
        <v>1194</v>
      </c>
      <c r="E25" s="16">
        <v>1187.4773200000002</v>
      </c>
      <c r="F25" s="17">
        <f t="shared" si="0"/>
        <v>6.5226799999998093</v>
      </c>
      <c r="G25" s="17">
        <f t="shared" si="1"/>
        <v>6.5226799999998093</v>
      </c>
      <c r="H25" s="17">
        <f t="shared" si="2"/>
        <v>99.45371189279733</v>
      </c>
      <c r="I25" s="6"/>
    </row>
    <row r="26" spans="1:9" ht="45" x14ac:dyDescent="0.2">
      <c r="A26" s="14" t="s">
        <v>116</v>
      </c>
      <c r="B26" s="15" t="s">
        <v>117</v>
      </c>
      <c r="C26" s="16">
        <v>11601.673000000001</v>
      </c>
      <c r="D26" s="16">
        <v>6646.7880000000005</v>
      </c>
      <c r="E26" s="16">
        <v>4314.7313000000013</v>
      </c>
      <c r="F26" s="17">
        <f t="shared" si="0"/>
        <v>7286.9416999999994</v>
      </c>
      <c r="G26" s="17">
        <f t="shared" si="1"/>
        <v>2332.0566999999992</v>
      </c>
      <c r="H26" s="17">
        <f t="shared" si="2"/>
        <v>64.914531650475411</v>
      </c>
      <c r="I26" s="6"/>
    </row>
    <row r="27" spans="1:9" ht="30" x14ac:dyDescent="0.2">
      <c r="A27" s="14" t="s">
        <v>118</v>
      </c>
      <c r="B27" s="15" t="s">
        <v>119</v>
      </c>
      <c r="C27" s="16">
        <v>3376.17</v>
      </c>
      <c r="D27" s="16">
        <v>2014.7</v>
      </c>
      <c r="E27" s="16">
        <v>342.35015999999996</v>
      </c>
      <c r="F27" s="17">
        <f t="shared" si="0"/>
        <v>3033.8198400000001</v>
      </c>
      <c r="G27" s="17">
        <f t="shared" si="1"/>
        <v>1672.3498400000001</v>
      </c>
      <c r="H27" s="17">
        <f t="shared" si="2"/>
        <v>16.992612299597955</v>
      </c>
      <c r="I27" s="6"/>
    </row>
    <row r="28" spans="1:9" ht="30" x14ac:dyDescent="0.2">
      <c r="A28" s="14" t="s">
        <v>120</v>
      </c>
      <c r="B28" s="15" t="s">
        <v>121</v>
      </c>
      <c r="C28" s="16">
        <v>10907.630999999999</v>
      </c>
      <c r="D28" s="16">
        <v>5990.0469999999987</v>
      </c>
      <c r="E28" s="16">
        <v>5054.2305900000001</v>
      </c>
      <c r="F28" s="17">
        <f t="shared" si="0"/>
        <v>5853.4004099999993</v>
      </c>
      <c r="G28" s="17">
        <f t="shared" si="1"/>
        <v>935.81640999999854</v>
      </c>
      <c r="H28" s="17">
        <f t="shared" si="2"/>
        <v>84.377144119236476</v>
      </c>
      <c r="I28" s="6"/>
    </row>
    <row r="29" spans="1:9" ht="30" x14ac:dyDescent="0.2">
      <c r="A29" s="14" t="s">
        <v>122</v>
      </c>
      <c r="B29" s="15" t="s">
        <v>123</v>
      </c>
      <c r="C29" s="16">
        <v>100</v>
      </c>
      <c r="D29" s="16">
        <v>100</v>
      </c>
      <c r="E29" s="16">
        <v>99.984999999999999</v>
      </c>
      <c r="F29" s="17">
        <f t="shared" si="0"/>
        <v>1.5000000000000568E-2</v>
      </c>
      <c r="G29" s="17">
        <f t="shared" si="1"/>
        <v>1.5000000000000568E-2</v>
      </c>
      <c r="H29" s="17">
        <f t="shared" si="2"/>
        <v>99.984999999999999</v>
      </c>
      <c r="I29" s="6"/>
    </row>
    <row r="30" spans="1:9" ht="45" x14ac:dyDescent="0.2">
      <c r="A30" s="14" t="s">
        <v>124</v>
      </c>
      <c r="B30" s="15" t="s">
        <v>125</v>
      </c>
      <c r="C30" s="16">
        <v>27607.72</v>
      </c>
      <c r="D30" s="16">
        <v>27607.72</v>
      </c>
      <c r="E30" s="16">
        <v>27327.551729999999</v>
      </c>
      <c r="F30" s="17">
        <f t="shared" si="0"/>
        <v>280.16827000000194</v>
      </c>
      <c r="G30" s="17">
        <f t="shared" si="1"/>
        <v>280.16827000000194</v>
      </c>
      <c r="H30" s="17">
        <f t="shared" si="2"/>
        <v>98.985181427513751</v>
      </c>
      <c r="I30" s="6"/>
    </row>
    <row r="31" spans="1:9" ht="15" x14ac:dyDescent="0.2">
      <c r="A31" s="14" t="s">
        <v>126</v>
      </c>
      <c r="B31" s="15" t="s">
        <v>127</v>
      </c>
      <c r="C31" s="16">
        <v>26311.935000000001</v>
      </c>
      <c r="D31" s="16">
        <v>18739.817999999999</v>
      </c>
      <c r="E31" s="16">
        <v>16968.07705</v>
      </c>
      <c r="F31" s="17">
        <f t="shared" si="0"/>
        <v>9343.8579500000014</v>
      </c>
      <c r="G31" s="17">
        <f t="shared" si="1"/>
        <v>1771.7409499999994</v>
      </c>
      <c r="H31" s="17">
        <f t="shared" si="2"/>
        <v>90.545580805533973</v>
      </c>
      <c r="I31" s="6"/>
    </row>
    <row r="32" spans="1:9" ht="15" x14ac:dyDescent="0.2">
      <c r="A32" s="14" t="s">
        <v>128</v>
      </c>
      <c r="B32" s="15" t="s">
        <v>129</v>
      </c>
      <c r="C32" s="16">
        <v>497.99700000000001</v>
      </c>
      <c r="D32" s="16">
        <v>497.99700000000001</v>
      </c>
      <c r="E32" s="16">
        <v>299.99700000000001</v>
      </c>
      <c r="F32" s="17">
        <f t="shared" si="0"/>
        <v>198</v>
      </c>
      <c r="G32" s="17">
        <f t="shared" si="1"/>
        <v>198</v>
      </c>
      <c r="H32" s="17">
        <f t="shared" si="2"/>
        <v>60.240724341712905</v>
      </c>
      <c r="I32" s="6"/>
    </row>
    <row r="33" spans="1:9" ht="30" x14ac:dyDescent="0.2">
      <c r="A33" s="14" t="s">
        <v>130</v>
      </c>
      <c r="B33" s="15" t="s">
        <v>131</v>
      </c>
      <c r="C33" s="16">
        <v>133.892</v>
      </c>
      <c r="D33" s="16">
        <v>133.892</v>
      </c>
      <c r="E33" s="16">
        <v>114.8045</v>
      </c>
      <c r="F33" s="17">
        <f t="shared" si="0"/>
        <v>19.087499999999991</v>
      </c>
      <c r="G33" s="17">
        <f t="shared" si="1"/>
        <v>19.087499999999991</v>
      </c>
      <c r="H33" s="17">
        <f t="shared" si="2"/>
        <v>85.744107190870253</v>
      </c>
      <c r="I33" s="6"/>
    </row>
    <row r="34" spans="1:9" ht="15" x14ac:dyDescent="0.2">
      <c r="A34" s="14" t="s">
        <v>132</v>
      </c>
      <c r="B34" s="15" t="s">
        <v>133</v>
      </c>
      <c r="C34" s="16">
        <v>5203.7730000000001</v>
      </c>
      <c r="D34" s="16">
        <v>3362.645</v>
      </c>
      <c r="E34" s="16">
        <v>2635.0330300000001</v>
      </c>
      <c r="F34" s="17">
        <f t="shared" si="0"/>
        <v>2568.7399700000001</v>
      </c>
      <c r="G34" s="17">
        <f t="shared" si="1"/>
        <v>727.61196999999993</v>
      </c>
      <c r="H34" s="17">
        <f t="shared" si="2"/>
        <v>78.36191539695686</v>
      </c>
      <c r="I34" s="6"/>
    </row>
    <row r="35" spans="1:9" ht="30" x14ac:dyDescent="0.2">
      <c r="A35" s="14" t="s">
        <v>134</v>
      </c>
      <c r="B35" s="15" t="s">
        <v>135</v>
      </c>
      <c r="C35" s="16">
        <v>300</v>
      </c>
      <c r="D35" s="16">
        <v>300</v>
      </c>
      <c r="E35" s="16">
        <v>0</v>
      </c>
      <c r="F35" s="17">
        <f t="shared" si="0"/>
        <v>300</v>
      </c>
      <c r="G35" s="17">
        <f t="shared" si="1"/>
        <v>300</v>
      </c>
      <c r="H35" s="17">
        <f t="shared" si="2"/>
        <v>0</v>
      </c>
      <c r="I35" s="6"/>
    </row>
    <row r="36" spans="1:9" ht="30" x14ac:dyDescent="0.2">
      <c r="A36" s="14" t="s">
        <v>136</v>
      </c>
      <c r="B36" s="15" t="s">
        <v>137</v>
      </c>
      <c r="C36" s="16">
        <v>8260.6540000000005</v>
      </c>
      <c r="D36" s="16">
        <v>5024.9030000000002</v>
      </c>
      <c r="E36" s="16">
        <v>3825.4274700000001</v>
      </c>
      <c r="F36" s="17">
        <f t="shared" si="0"/>
        <v>4435.2265299999999</v>
      </c>
      <c r="G36" s="17">
        <f t="shared" si="1"/>
        <v>1199.4755300000002</v>
      </c>
      <c r="H36" s="17">
        <f t="shared" si="2"/>
        <v>76.129379412896128</v>
      </c>
      <c r="I36" s="6"/>
    </row>
    <row r="37" spans="1:9" ht="15" x14ac:dyDescent="0.2">
      <c r="A37" s="14" t="s">
        <v>138</v>
      </c>
      <c r="B37" s="15" t="s">
        <v>139</v>
      </c>
      <c r="C37" s="16">
        <v>100</v>
      </c>
      <c r="D37" s="16">
        <v>100</v>
      </c>
      <c r="E37" s="16">
        <v>0</v>
      </c>
      <c r="F37" s="17">
        <f t="shared" si="0"/>
        <v>100</v>
      </c>
      <c r="G37" s="17">
        <f t="shared" si="1"/>
        <v>100</v>
      </c>
      <c r="H37" s="17">
        <f t="shared" si="2"/>
        <v>0</v>
      </c>
      <c r="I37" s="6"/>
    </row>
    <row r="38" spans="1:9" ht="15" x14ac:dyDescent="0.2">
      <c r="A38" s="14" t="s">
        <v>140</v>
      </c>
      <c r="B38" s="15" t="s">
        <v>141</v>
      </c>
      <c r="C38" s="16">
        <v>428.93799999999999</v>
      </c>
      <c r="D38" s="16">
        <v>312.096</v>
      </c>
      <c r="E38" s="16">
        <v>205.61170000000001</v>
      </c>
      <c r="F38" s="17">
        <f t="shared" si="0"/>
        <v>223.32629999999997</v>
      </c>
      <c r="G38" s="17">
        <f t="shared" si="1"/>
        <v>106.48429999999999</v>
      </c>
      <c r="H38" s="17">
        <f t="shared" si="2"/>
        <v>65.880914846713836</v>
      </c>
      <c r="I38" s="6"/>
    </row>
    <row r="39" spans="1:9" ht="15" x14ac:dyDescent="0.2">
      <c r="A39" s="14" t="s">
        <v>142</v>
      </c>
      <c r="B39" s="15" t="s">
        <v>143</v>
      </c>
      <c r="C39" s="16">
        <v>3000</v>
      </c>
      <c r="D39" s="16">
        <v>3000</v>
      </c>
      <c r="E39" s="16">
        <v>3000</v>
      </c>
      <c r="F39" s="17">
        <f t="shared" si="0"/>
        <v>0</v>
      </c>
      <c r="G39" s="17">
        <f t="shared" si="1"/>
        <v>0</v>
      </c>
      <c r="H39" s="17">
        <f t="shared" si="2"/>
        <v>100</v>
      </c>
      <c r="I39" s="6"/>
    </row>
    <row r="40" spans="1:9" ht="45" x14ac:dyDescent="0.2">
      <c r="A40" s="14" t="s">
        <v>144</v>
      </c>
      <c r="B40" s="15" t="s">
        <v>145</v>
      </c>
      <c r="C40" s="16">
        <v>382.03800000000001</v>
      </c>
      <c r="D40" s="16">
        <v>382.03800000000001</v>
      </c>
      <c r="E40" s="16">
        <v>381.87830000000002</v>
      </c>
      <c r="F40" s="17">
        <f t="shared" si="0"/>
        <v>0.15969999999998663</v>
      </c>
      <c r="G40" s="17">
        <f t="shared" si="1"/>
        <v>0.15969999999998663</v>
      </c>
      <c r="H40" s="17">
        <f t="shared" si="2"/>
        <v>99.958197875604</v>
      </c>
      <c r="I40" s="6"/>
    </row>
    <row r="41" spans="1:9" ht="45" x14ac:dyDescent="0.2">
      <c r="A41" s="14" t="s">
        <v>146</v>
      </c>
      <c r="B41" s="15" t="s">
        <v>147</v>
      </c>
      <c r="C41" s="16">
        <v>1710.5629999999999</v>
      </c>
      <c r="D41" s="16">
        <v>945.779</v>
      </c>
      <c r="E41" s="16">
        <v>717.06787999999995</v>
      </c>
      <c r="F41" s="17">
        <f t="shared" si="0"/>
        <v>993.49511999999993</v>
      </c>
      <c r="G41" s="17">
        <f t="shared" si="1"/>
        <v>228.71112000000005</v>
      </c>
      <c r="H41" s="17">
        <f t="shared" si="2"/>
        <v>75.817699483706008</v>
      </c>
      <c r="I41" s="6"/>
    </row>
    <row r="42" spans="1:9" ht="45" x14ac:dyDescent="0.2">
      <c r="A42" s="14" t="s">
        <v>148</v>
      </c>
      <c r="B42" s="15" t="s">
        <v>147</v>
      </c>
      <c r="C42" s="16">
        <v>8336.3690000000006</v>
      </c>
      <c r="D42" s="16">
        <v>5247.2859999999991</v>
      </c>
      <c r="E42" s="16">
        <v>4509.0952200000002</v>
      </c>
      <c r="F42" s="17">
        <f t="shared" si="0"/>
        <v>3827.2737800000004</v>
      </c>
      <c r="G42" s="17">
        <f t="shared" si="1"/>
        <v>738.19077999999899</v>
      </c>
      <c r="H42" s="17">
        <f t="shared" si="2"/>
        <v>85.931950726527987</v>
      </c>
      <c r="I42" s="6"/>
    </row>
    <row r="43" spans="1:9" ht="15" x14ac:dyDescent="0.2">
      <c r="A43" s="14" t="s">
        <v>149</v>
      </c>
      <c r="B43" s="15" t="s">
        <v>127</v>
      </c>
      <c r="C43" s="16">
        <v>1707</v>
      </c>
      <c r="D43" s="16">
        <v>1707</v>
      </c>
      <c r="E43" s="16">
        <v>1700.1200000000001</v>
      </c>
      <c r="F43" s="17">
        <f t="shared" si="0"/>
        <v>6.8799999999998818</v>
      </c>
      <c r="G43" s="17">
        <f t="shared" si="1"/>
        <v>6.8799999999998818</v>
      </c>
      <c r="H43" s="17">
        <f t="shared" si="2"/>
        <v>99.596953719976582</v>
      </c>
      <c r="I43" s="6"/>
    </row>
    <row r="44" spans="1:9" ht="45" x14ac:dyDescent="0.2">
      <c r="A44" s="14" t="s">
        <v>150</v>
      </c>
      <c r="B44" s="15" t="s">
        <v>147</v>
      </c>
      <c r="C44" s="16">
        <v>2380.7290000000003</v>
      </c>
      <c r="D44" s="16">
        <v>1317.6419999999998</v>
      </c>
      <c r="E44" s="16">
        <v>943.46224000000007</v>
      </c>
      <c r="F44" s="17">
        <f t="shared" si="0"/>
        <v>1437.2667600000002</v>
      </c>
      <c r="G44" s="17">
        <f t="shared" si="1"/>
        <v>374.17975999999976</v>
      </c>
      <c r="H44" s="17">
        <f t="shared" si="2"/>
        <v>71.60231990176392</v>
      </c>
      <c r="I44" s="6"/>
    </row>
    <row r="45" spans="1:9" ht="22.5" customHeight="1" x14ac:dyDescent="0.2">
      <c r="A45" s="14" t="s">
        <v>151</v>
      </c>
      <c r="B45" s="15" t="s">
        <v>152</v>
      </c>
      <c r="C45" s="16">
        <v>100</v>
      </c>
      <c r="D45" s="16">
        <v>100</v>
      </c>
      <c r="E45" s="16">
        <v>0</v>
      </c>
      <c r="F45" s="17">
        <f t="shared" si="0"/>
        <v>100</v>
      </c>
      <c r="G45" s="17">
        <f t="shared" si="1"/>
        <v>100</v>
      </c>
      <c r="H45" s="17">
        <f t="shared" si="2"/>
        <v>0</v>
      </c>
      <c r="I45" s="6"/>
    </row>
    <row r="46" spans="1:9" ht="20.25" customHeight="1" x14ac:dyDescent="0.2">
      <c r="A46" s="18" t="s">
        <v>153</v>
      </c>
      <c r="B46" s="19" t="s">
        <v>154</v>
      </c>
      <c r="C46" s="20">
        <v>212281.84099999999</v>
      </c>
      <c r="D46" s="20">
        <v>158043.13599999994</v>
      </c>
      <c r="E46" s="20">
        <v>132710.81674999997</v>
      </c>
      <c r="F46" s="20">
        <f t="shared" si="0"/>
        <v>79571.024250000017</v>
      </c>
      <c r="G46" s="20">
        <f t="shared" si="1"/>
        <v>25332.319249999971</v>
      </c>
      <c r="H46" s="20">
        <f t="shared" si="2"/>
        <v>83.971262598838848</v>
      </c>
      <c r="I46" s="6"/>
    </row>
    <row r="47" spans="1:9" x14ac:dyDescent="0.2">
      <c r="A47" s="10"/>
      <c r="B47" s="11"/>
      <c r="C47" s="12"/>
      <c r="D47" s="12"/>
      <c r="E47" s="12"/>
      <c r="F47" s="12"/>
      <c r="G47" s="12"/>
      <c r="H47" s="12"/>
    </row>
    <row r="48" spans="1:9" x14ac:dyDescent="0.2">
      <c r="A48" s="7"/>
      <c r="B48" s="8"/>
      <c r="C48" s="6"/>
      <c r="D48" s="6"/>
      <c r="E48" s="6"/>
      <c r="F48" s="6"/>
      <c r="G48" s="6"/>
      <c r="H48" s="6"/>
    </row>
    <row r="56" hidden="1" x14ac:dyDescent="0.2"/>
  </sheetData>
  <mergeCells count="4">
    <mergeCell ref="A2:H2"/>
    <mergeCell ref="A4:H4"/>
    <mergeCell ref="A3:H3"/>
    <mergeCell ref="A5:H5"/>
  </mergeCells>
  <conditionalFormatting sqref="A9:A46">
    <cfRule type="expression" dxfId="47" priority="49" stopIfTrue="1">
      <formula>#REF!=1</formula>
    </cfRule>
    <cfRule type="expression" dxfId="46" priority="50" stopIfTrue="1">
      <formula>#REF!=2</formula>
    </cfRule>
    <cfRule type="expression" dxfId="45" priority="51" stopIfTrue="1">
      <formula>#REF!=3</formula>
    </cfRule>
  </conditionalFormatting>
  <conditionalFormatting sqref="B9:B46">
    <cfRule type="expression" dxfId="44" priority="52" stopIfTrue="1">
      <formula>#REF!=1</formula>
    </cfRule>
    <cfRule type="expression" dxfId="43" priority="53" stopIfTrue="1">
      <formula>#REF!=2</formula>
    </cfRule>
    <cfRule type="expression" dxfId="42" priority="54" stopIfTrue="1">
      <formula>#REF!=3</formula>
    </cfRule>
  </conditionalFormatting>
  <conditionalFormatting sqref="C9:C46">
    <cfRule type="expression" dxfId="41" priority="58" stopIfTrue="1">
      <formula>#REF!=1</formula>
    </cfRule>
    <cfRule type="expression" dxfId="40" priority="59" stopIfTrue="1">
      <formula>#REF!=2</formula>
    </cfRule>
    <cfRule type="expression" dxfId="39" priority="60" stopIfTrue="1">
      <formula>#REF!=3</formula>
    </cfRule>
  </conditionalFormatting>
  <conditionalFormatting sqref="D9:D46">
    <cfRule type="expression" dxfId="38" priority="61" stopIfTrue="1">
      <formula>#REF!=1</formula>
    </cfRule>
    <cfRule type="expression" dxfId="37" priority="62" stopIfTrue="1">
      <formula>#REF!=2</formula>
    </cfRule>
    <cfRule type="expression" dxfId="36" priority="63" stopIfTrue="1">
      <formula>#REF!=3</formula>
    </cfRule>
  </conditionalFormatting>
  <conditionalFormatting sqref="E9:E46">
    <cfRule type="expression" dxfId="35" priority="70" stopIfTrue="1">
      <formula>#REF!=1</formula>
    </cfRule>
    <cfRule type="expression" dxfId="34" priority="71" stopIfTrue="1">
      <formula>#REF!=2</formula>
    </cfRule>
    <cfRule type="expression" dxfId="33" priority="72" stopIfTrue="1">
      <formula>#REF!=3</formula>
    </cfRule>
  </conditionalFormatting>
  <conditionalFormatting sqref="F9:F46">
    <cfRule type="expression" dxfId="32" priority="88" stopIfTrue="1">
      <formula>#REF!=1</formula>
    </cfRule>
    <cfRule type="expression" dxfId="31" priority="89" stopIfTrue="1">
      <formula>#REF!=2</formula>
    </cfRule>
    <cfRule type="expression" dxfId="30" priority="90" stopIfTrue="1">
      <formula>#REF!=3</formula>
    </cfRule>
  </conditionalFormatting>
  <conditionalFormatting sqref="G9:G46">
    <cfRule type="expression" dxfId="29" priority="91" stopIfTrue="1">
      <formula>#REF!=1</formula>
    </cfRule>
    <cfRule type="expression" dxfId="28" priority="92" stopIfTrue="1">
      <formula>#REF!=2</formula>
    </cfRule>
    <cfRule type="expression" dxfId="27" priority="93" stopIfTrue="1">
      <formula>#REF!=3</formula>
    </cfRule>
  </conditionalFormatting>
  <conditionalFormatting sqref="H9:H46">
    <cfRule type="expression" dxfId="26" priority="94" stopIfTrue="1">
      <formula>#REF!=1</formula>
    </cfRule>
    <cfRule type="expression" dxfId="25" priority="95" stopIfTrue="1">
      <formula>#REF!=2</formula>
    </cfRule>
    <cfRule type="expression" dxfId="24" priority="96" stopIfTrue="1">
      <formula>#REF!=3</formula>
    </cfRule>
  </conditionalFormatting>
  <conditionalFormatting sqref="A48:A57">
    <cfRule type="expression" dxfId="23" priority="1" stopIfTrue="1">
      <formula>#REF!=1</formula>
    </cfRule>
    <cfRule type="expression" dxfId="22" priority="2" stopIfTrue="1">
      <formula>#REF!=2</formula>
    </cfRule>
    <cfRule type="expression" dxfId="21" priority="3" stopIfTrue="1">
      <formula>#REF!=3</formula>
    </cfRule>
  </conditionalFormatting>
  <conditionalFormatting sqref="B48:B57">
    <cfRule type="expression" dxfId="20" priority="4" stopIfTrue="1">
      <formula>#REF!=1</formula>
    </cfRule>
    <cfRule type="expression" dxfId="19" priority="5" stopIfTrue="1">
      <formula>#REF!=2</formula>
    </cfRule>
    <cfRule type="expression" dxfId="18" priority="6" stopIfTrue="1">
      <formula>#REF!=3</formula>
    </cfRule>
  </conditionalFormatting>
  <conditionalFormatting sqref="C48:C57">
    <cfRule type="expression" dxfId="17" priority="10" stopIfTrue="1">
      <formula>#REF!=1</formula>
    </cfRule>
    <cfRule type="expression" dxfId="16" priority="11" stopIfTrue="1">
      <formula>#REF!=2</formula>
    </cfRule>
    <cfRule type="expression" dxfId="15" priority="12" stopIfTrue="1">
      <formula>#REF!=3</formula>
    </cfRule>
  </conditionalFormatting>
  <conditionalFormatting sqref="D48:D57">
    <cfRule type="expression" dxfId="14" priority="13" stopIfTrue="1">
      <formula>#REF!=1</formula>
    </cfRule>
    <cfRule type="expression" dxfId="13" priority="14" stopIfTrue="1">
      <formula>#REF!=2</formula>
    </cfRule>
    <cfRule type="expression" dxfId="12" priority="15" stopIfTrue="1">
      <formula>#REF!=3</formula>
    </cfRule>
  </conditionalFormatting>
  <conditionalFormatting sqref="E48:E57">
    <cfRule type="expression" dxfId="11" priority="22" stopIfTrue="1">
      <formula>#REF!=1</formula>
    </cfRule>
    <cfRule type="expression" dxfId="10" priority="23" stopIfTrue="1">
      <formula>#REF!=2</formula>
    </cfRule>
    <cfRule type="expression" dxfId="9" priority="24" stopIfTrue="1">
      <formula>#REF!=3</formula>
    </cfRule>
  </conditionalFormatting>
  <conditionalFormatting sqref="F48:F57">
    <cfRule type="expression" dxfId="8" priority="40" stopIfTrue="1">
      <formula>#REF!=1</formula>
    </cfRule>
    <cfRule type="expression" dxfId="7" priority="41" stopIfTrue="1">
      <formula>#REF!=2</formula>
    </cfRule>
    <cfRule type="expression" dxfId="6" priority="42" stopIfTrue="1">
      <formula>#REF!=3</formula>
    </cfRule>
  </conditionalFormatting>
  <conditionalFormatting sqref="G48:G57">
    <cfRule type="expression" dxfId="5" priority="43" stopIfTrue="1">
      <formula>#REF!=1</formula>
    </cfRule>
    <cfRule type="expression" dxfId="4" priority="44" stopIfTrue="1">
      <formula>#REF!=2</formula>
    </cfRule>
    <cfRule type="expression" dxfId="3" priority="45" stopIfTrue="1">
      <formula>#REF!=3</formula>
    </cfRule>
  </conditionalFormatting>
  <conditionalFormatting sqref="H48:H57">
    <cfRule type="expression" dxfId="2" priority="46" stopIfTrue="1">
      <formula>#REF!=1</formula>
    </cfRule>
    <cfRule type="expression" dxfId="1" priority="47" stopIfTrue="1">
      <formula>#REF!=2</formula>
    </cfRule>
    <cfRule type="expression" dxfId="0" priority="48" stopIfTrue="1">
      <formula>#REF!=3</formula>
    </cfRule>
  </conditionalFormatting>
  <pageMargins left="0.32" right="0.33" top="0.39370078740157499" bottom="0.39370078740157499" header="0" footer="0"/>
  <pageSetup paperSize="9" scale="61" fitToHeight="50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доходи</vt:lpstr>
      <vt:lpstr>видатки</vt:lpstr>
      <vt:lpstr>видатки!Заголовки_для_печати</vt:lpstr>
      <vt:lpstr>доходи!Заголовки_для_печати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2025-09-05T07:44:02Z</cp:lastPrinted>
  <dcterms:created xsi:type="dcterms:W3CDTF">2025-09-04T13:08:53Z</dcterms:created>
  <dcterms:modified xsi:type="dcterms:W3CDTF">2025-09-05T07:44:05Z</dcterms:modified>
</cp:coreProperties>
</file>