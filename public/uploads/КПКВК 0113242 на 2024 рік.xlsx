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Бюджетні запити\на 2024 рік\"/>
    </mc:Choice>
  </mc:AlternateContent>
  <xr:revisionPtr revIDLastSave="0" documentId="8_{7E23176A-ABA7-41CB-8413-8EAE34208E15}" xr6:coauthVersionLast="46" xr6:coauthVersionMax="46" xr10:uidLastSave="{00000000-0000-0000-0000-000000000000}"/>
  <bookViews>
    <workbookView xWindow="-120" yWindow="-120" windowWidth="29040" windowHeight="15840" tabRatio="522"/>
  </bookViews>
  <sheets>
    <sheet name="Додаток2 КПК0113242" sheetId="6" r:id="rId1"/>
  </sheets>
  <definedNames>
    <definedName name="_xlnm.Print_Area" localSheetId="0">'Додаток2 КПК0113242'!$A$1:$BY$256</definedName>
  </definedNames>
  <calcPr calcId="191029"/>
</workbook>
</file>

<file path=xl/calcChain.xml><?xml version="1.0" encoding="utf-8"?>
<calcChain xmlns="http://schemas.openxmlformats.org/spreadsheetml/2006/main">
  <c r="BH233" i="6" l="1"/>
  <c r="AT233" i="6"/>
  <c r="AJ233" i="6"/>
  <c r="BG224" i="6"/>
  <c r="AQ224" i="6"/>
  <c r="AZ201" i="6"/>
  <c r="AK201" i="6"/>
  <c r="AZ200" i="6"/>
  <c r="AK200" i="6"/>
  <c r="BO192" i="6"/>
  <c r="AZ192" i="6"/>
  <c r="AK192" i="6"/>
  <c r="BO191" i="6"/>
  <c r="AZ191" i="6"/>
  <c r="AK191" i="6"/>
  <c r="BD96" i="6"/>
  <c r="AJ96" i="6"/>
  <c r="BD95" i="6"/>
  <c r="AJ95" i="6"/>
  <c r="BU87" i="6"/>
  <c r="BB87" i="6"/>
  <c r="AI87" i="6"/>
  <c r="BU86" i="6"/>
  <c r="BB86" i="6"/>
  <c r="AI86" i="6"/>
  <c r="BG76" i="6"/>
  <c r="AM76" i="6"/>
  <c r="BG68" i="6"/>
  <c r="AM68" i="6"/>
  <c r="BG67" i="6"/>
  <c r="AM67" i="6"/>
  <c r="BU59" i="6"/>
  <c r="BB59" i="6"/>
  <c r="AI59" i="6"/>
  <c r="BU51" i="6"/>
  <c r="BB51" i="6"/>
  <c r="AI51" i="6"/>
  <c r="BU50" i="6"/>
  <c r="BB50" i="6"/>
  <c r="AI50" i="6"/>
  <c r="BG40" i="6"/>
  <c r="AM40" i="6"/>
  <c r="BG39" i="6"/>
  <c r="AM39" i="6"/>
  <c r="BU31" i="6"/>
  <c r="BB31" i="6"/>
  <c r="AI31" i="6"/>
  <c r="BU30" i="6"/>
  <c r="BB30" i="6"/>
  <c r="AI30" i="6"/>
</calcChain>
</file>

<file path=xl/sharedStrings.xml><?xml version="1.0" encoding="utf-8"?>
<sst xmlns="http://schemas.openxmlformats.org/spreadsheetml/2006/main" count="765" uniqueCount="250">
  <si>
    <t xml:space="preserve">                (найменування головного розпорядника коштів місцевого бюджету)                        </t>
  </si>
  <si>
    <t xml:space="preserve"> (підпис)</t>
  </si>
  <si>
    <t>Код</t>
  </si>
  <si>
    <t>спеціальний фонд</t>
  </si>
  <si>
    <t>загальний фонд</t>
  </si>
  <si>
    <t xml:space="preserve">разом (3+4) </t>
  </si>
  <si>
    <t>№ з/п</t>
  </si>
  <si>
    <t>Джерело інформації</t>
  </si>
  <si>
    <t>Одиниця виміру</t>
  </si>
  <si>
    <t>Показники</t>
  </si>
  <si>
    <t>Категорії працівників</t>
  </si>
  <si>
    <t>фактич но зайняті</t>
  </si>
  <si>
    <t>затверджено</t>
  </si>
  <si>
    <t>Коли та яким документом затверджена</t>
  </si>
  <si>
    <t>Касові видатки/ надання кредитів</t>
  </si>
  <si>
    <t>Затверджено з урахуванням змін</t>
  </si>
  <si>
    <t>спеціального фонду</t>
  </si>
  <si>
    <t>загального фонду</t>
  </si>
  <si>
    <t>Причини виникнення заборгованості</t>
  </si>
  <si>
    <t>Найменування</t>
  </si>
  <si>
    <t>граничний обсяг</t>
  </si>
  <si>
    <t>p2.5.1</t>
  </si>
  <si>
    <t>s2.5.1</t>
  </si>
  <si>
    <t>p2.5.2</t>
  </si>
  <si>
    <t>s2.5.2</t>
  </si>
  <si>
    <t>p2.6.1</t>
  </si>
  <si>
    <t>s2.6.1</t>
  </si>
  <si>
    <t>p2.6.2</t>
  </si>
  <si>
    <t>s2.6.2</t>
  </si>
  <si>
    <t>p2.6.3</t>
  </si>
  <si>
    <t>s2.6.3</t>
  </si>
  <si>
    <t>p2.6.4</t>
  </si>
  <si>
    <t>s2.6.4</t>
  </si>
  <si>
    <t>p2.7.1</t>
  </si>
  <si>
    <t>s2.7.1</t>
  </si>
  <si>
    <t>p2.7.2</t>
  </si>
  <si>
    <t>s2.7.2</t>
  </si>
  <si>
    <t>p2.8.1</t>
  </si>
  <si>
    <t>s2.8.1</t>
  </si>
  <si>
    <t>p2.8.2</t>
  </si>
  <si>
    <t>s2.8.2</t>
  </si>
  <si>
    <t>p2.9</t>
  </si>
  <si>
    <t>s2.9</t>
  </si>
  <si>
    <t>s2.10</t>
  </si>
  <si>
    <t>p2.11.1</t>
  </si>
  <si>
    <t>s2.11.1</t>
  </si>
  <si>
    <t>p2.11.2</t>
  </si>
  <si>
    <t>s2.11.2</t>
  </si>
  <si>
    <t>p2.12.1</t>
  </si>
  <si>
    <t>s2.12.1</t>
  </si>
  <si>
    <t>p2.13.1</t>
  </si>
  <si>
    <t>s2.13.1</t>
  </si>
  <si>
    <t>p2.13.2</t>
  </si>
  <si>
    <t>s2.13.2</t>
  </si>
  <si>
    <t>p2.13.3</t>
  </si>
  <si>
    <t>s2.13.3</t>
  </si>
  <si>
    <t>dcode</t>
  </si>
  <si>
    <t>name</t>
  </si>
  <si>
    <t>z3</t>
  </si>
  <si>
    <t>s3</t>
  </si>
  <si>
    <t>z4</t>
  </si>
  <si>
    <t>s4</t>
  </si>
  <si>
    <t>z5</t>
  </si>
  <si>
    <t>s5</t>
  </si>
  <si>
    <t>ecode</t>
  </si>
  <si>
    <t>z1</t>
  </si>
  <si>
    <t>s1</t>
  </si>
  <si>
    <t>z2</t>
  </si>
  <si>
    <t>s2</t>
  </si>
  <si>
    <t>npp</t>
  </si>
  <si>
    <t>od_vim</t>
  </si>
  <si>
    <t>dger_inf</t>
  </si>
  <si>
    <t>zz1</t>
  </si>
  <si>
    <t>zf1</t>
  </si>
  <si>
    <t>sz1</t>
  </si>
  <si>
    <t>sf1</t>
  </si>
  <si>
    <t>zz2</t>
  </si>
  <si>
    <t>zf2</t>
  </si>
  <si>
    <t>sf2</t>
  </si>
  <si>
    <t>pidstava</t>
  </si>
  <si>
    <t>st1</t>
  </si>
  <si>
    <t>st2</t>
  </si>
  <si>
    <t>st3</t>
  </si>
  <si>
    <t>st4</t>
  </si>
  <si>
    <t>st5</t>
  </si>
  <si>
    <t>st6</t>
  </si>
  <si>
    <t>st7</t>
  </si>
  <si>
    <t>prich</t>
  </si>
  <si>
    <t>zahodi</t>
  </si>
  <si>
    <t xml:space="preserve">разом (4+5) </t>
  </si>
  <si>
    <t xml:space="preserve">разом (8+9) </t>
  </si>
  <si>
    <t>br1</t>
  </si>
  <si>
    <t>br2</t>
  </si>
  <si>
    <t>br3</t>
  </si>
  <si>
    <t>br4</t>
  </si>
  <si>
    <t>br5</t>
  </si>
  <si>
    <t xml:space="preserve">разом (7+8) </t>
  </si>
  <si>
    <t xml:space="preserve">разом (11+12) </t>
  </si>
  <si>
    <t>Погашено кредиторську заборгованість за рахунок коштів</t>
  </si>
  <si>
    <t>formula=IF(ISNUMBER(RC[-6]),RC[-6],0)-IF(ISNUMBER(RC[-12]),RC[-12],0)</t>
  </si>
  <si>
    <t>formula=IF(ISNUMBER(RC[-33]),RC[-33],0)+IF(ISNUMBER(RC[-22]),RC[-22],0)</t>
  </si>
  <si>
    <t>formula=IF(ISNUMBER(RC[-19]),RC[-19],0)-IF(ISNUMBER(RC[-10]),RC[-10],0)</t>
  </si>
  <si>
    <t>formula=IF(ISNUMBER(RC[-24]),RC[-24],0)-IF(ISNUMBER(RC[-20]),RC[-20],0)-IF(ISNUMBER(RC[-15]),RC[-15],0)</t>
  </si>
  <si>
    <t>p2.10</t>
  </si>
  <si>
    <t>sz2</t>
  </si>
  <si>
    <t>zp3</t>
  </si>
  <si>
    <t>sp3</t>
  </si>
  <si>
    <t>zp4</t>
  </si>
  <si>
    <t>sp4</t>
  </si>
  <si>
    <t>zp5</t>
  </si>
  <si>
    <t>sp5</t>
  </si>
  <si>
    <t>zp1</t>
  </si>
  <si>
    <t>sp1</t>
  </si>
  <si>
    <t>zp2</t>
  </si>
  <si>
    <t>sp2</t>
  </si>
  <si>
    <t xml:space="preserve">ЗАТВЕРДЖЕНО
Наказ Міністерства фінансів України
від 17 липня 2015 року № 648
(у редакції наказу Міністерства фінансів України
 від 17 липня 2018 року № 617)                                                  </t>
  </si>
  <si>
    <t>у тому числі бюджет розвитку</t>
  </si>
  <si>
    <t>6. Витрати за кодами Економічної класифікації видатків / Класифікації кредитування бюджету:</t>
  </si>
  <si>
    <t>Код Економічної класифікації видатків бюджету</t>
  </si>
  <si>
    <t>Код Класифікації кредитування бюджету</t>
  </si>
  <si>
    <t>7. Витрати за напрямами використання бюджетних коштів:</t>
  </si>
  <si>
    <t>Напрями використання бюджетних коштів</t>
  </si>
  <si>
    <t>formula=IF(ISNUMBER(RC[-10]),RC[-10],0)+IF(ISNUMBER(RC[-5]),RC[-5],0)</t>
  </si>
  <si>
    <t xml:space="preserve">разом (5+6) </t>
  </si>
  <si>
    <t>9. Структура видатків на оплату праці:</t>
  </si>
  <si>
    <t>10. Чисельність зайнятих у бюджетних установах:</t>
  </si>
  <si>
    <t>Найменування місцевої/ регіональної програми</t>
  </si>
  <si>
    <t xml:space="preserve">разом (10+11) </t>
  </si>
  <si>
    <t>Найменування об’єкта відповідно до проектно-кошторисної документації</t>
  </si>
  <si>
    <t>Строк реалізації об’єкта (рік початку і завершення)</t>
  </si>
  <si>
    <t>Загальна вартість об’єкта</t>
  </si>
  <si>
    <t>strok</t>
  </si>
  <si>
    <t>vartist</t>
  </si>
  <si>
    <t xml:space="preserve">спеціальний фонд
(бюджет розвитку)
</t>
  </si>
  <si>
    <t>рівень будівельної  готовності об’єкта на кінець бюджетного періоду, %</t>
  </si>
  <si>
    <t>Код Економічної класифікації видатків бюджету / код Класифікації кредитування бюджету</t>
  </si>
  <si>
    <t xml:space="preserve">Кредиторська заборгованість на початок минулого бюджетного періоду </t>
  </si>
  <si>
    <t>Кредиторська заборгованість на кінець минулого бюджетного періоду</t>
  </si>
  <si>
    <t>Зміна кредиторської заборгованості (6-5)</t>
  </si>
  <si>
    <t>Бюджетні зобов’язання (4+6)</t>
  </si>
  <si>
    <t>затверджені призначення</t>
  </si>
  <si>
    <t xml:space="preserve">кредиторська заборгованість на початок поточного  бюджетного періоду  </t>
  </si>
  <si>
    <t>планується погасити кредиторської заборгованості за рахунок коштів</t>
  </si>
  <si>
    <t xml:space="preserve">очікуваний обсяг взяття поточних зобов'язань
(3 – 5)
</t>
  </si>
  <si>
    <t>можлива кредиторська
заборгованість на початок планового  бюджетного періоду (4 – 5 – 6)</t>
  </si>
  <si>
    <t>очікуваний обсяг взяття поточних зобов’язань (8-10)</t>
  </si>
  <si>
    <t>invest_pr</t>
  </si>
  <si>
    <t>УСЬОГО</t>
  </si>
  <si>
    <t>1) мета бюджетної програми, строки її реалізації;</t>
  </si>
  <si>
    <t xml:space="preserve">2) завдання бюджетної програми; </t>
  </si>
  <si>
    <t>3) підстави реалізації бюджетної програми.</t>
  </si>
  <si>
    <t>5. Надходження для виконання бюджетної програми:</t>
  </si>
  <si>
    <t>8. Результативні показники бюджетної програми:</t>
  </si>
  <si>
    <t>11. Місцеві/регіональні програми, які виконуються в межах бюджетної програми:</t>
  </si>
  <si>
    <t>zp</t>
  </si>
  <si>
    <t xml:space="preserve">                            (найменування відповідального виконавця )               </t>
  </si>
  <si>
    <t>Вжиті заходи щодо погашення заборгованості</t>
  </si>
  <si>
    <t>(код за ЄДРПОУ)</t>
  </si>
  <si>
    <t>(код бюджету)</t>
  </si>
  <si>
    <t>1.</t>
  </si>
  <si>
    <t>(код Типової відомчої класифікації видатків та кредитування місцевого бюджету)</t>
  </si>
  <si>
    <t>2.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</si>
  <si>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</si>
  <si>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3.</t>
  </si>
  <si>
    <t>(код Програмної класифікації видатків та кредитування місцевого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</si>
  <si>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</si>
  <si>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</si>
  <si>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</si>
  <si>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  </t>
  </si>
  <si>
    <t>formula=IF(ISNUMBER(RC[-14]),RC[-14],0)+IF(ISNUMBER(RC[-9]),RC[-9],0)</t>
  </si>
  <si>
    <t>formula=IF(ISNUMBER(RC[-15]),RC[-15],0)+IF(ISNUMBER(RC[-10]),RC[-10],0)</t>
  </si>
  <si>
    <t>(прізвище та ініціали)</t>
  </si>
  <si>
    <t>Надходження із загального фонду бюджету</t>
  </si>
  <si>
    <t>X</t>
  </si>
  <si>
    <t>Інші виплати населенню</t>
  </si>
  <si>
    <t>Виплата матеріальної допомоги мешканцям громади</t>
  </si>
  <si>
    <t>затрат</t>
  </si>
  <si>
    <t xml:space="preserve">formula=RC[-16]+RC[-8]                          </t>
  </si>
  <si>
    <t>загальна кількість мешканців, які потребують виплати матеріальної допомоги</t>
  </si>
  <si>
    <t>осіб</t>
  </si>
  <si>
    <t>чоловіки</t>
  </si>
  <si>
    <t>звітність</t>
  </si>
  <si>
    <t>жінки</t>
  </si>
  <si>
    <t>продукту</t>
  </si>
  <si>
    <t>кількість осіб, яким планується виплатити матеріальну допомогу</t>
  </si>
  <si>
    <t>ефективності</t>
  </si>
  <si>
    <t>середній розмір матеріальної допомги  на одного отримувача</t>
  </si>
  <si>
    <t>грн.</t>
  </si>
  <si>
    <t>розрахунковий показник</t>
  </si>
  <si>
    <t>якості</t>
  </si>
  <si>
    <t>відсоток охоплення мешканців наданням матеріальної допомоги</t>
  </si>
  <si>
    <t>відс.</t>
  </si>
  <si>
    <t>у тому числі оплата праці  штатних одиниць за загальним фондом, що враховані також у спеціальному фонді</t>
  </si>
  <si>
    <t>УСЬОГО штатних одиниць</t>
  </si>
  <si>
    <t>з них штатні одиниці за загальним фондом, що враховані також у спеціальному фонді</t>
  </si>
  <si>
    <t>Програма соціального захисту населення Широківської сільської територіальної громади "Назустріч людям" на 2023-2025 роки (проект)</t>
  </si>
  <si>
    <t>Інші заходи у сфері соціального захисту і соціального забезпечення</t>
  </si>
  <si>
    <t>Здійснення заходів щодо реалізації соціального захисту та соціального забезпечення окремих категорій мешканців територіальної громади</t>
  </si>
  <si>
    <t>Конституція України (зі змінами)_x000D_
Бюджетний кодекс України (зі змінами)_x000D_
Закон України "Про місцеве самоврядування в Україні" від 21.05.1997 року №280/97-ВР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соціальної політики України від 14.05.2018 №688 «Про затвердження Типового переліку бюджетних програм і результативних показників їх виконання для місцевих бюджетів у галузі «Соціальний захист та соціальне забезпечення» ( із змінами)_x000D_
Проект Програми соціального захисту населення Широківської сільської територіальної громади "Назустріч людям" на 2023-2025 роки</t>
  </si>
  <si>
    <t>Кедиторська заборгованість станом на 01.01.2022 відсутня._x000D_
_x000D_
Кедиторська заборгованість станом на 01.01.2023 відсутня._x000D_
_x000D_
Відповідно до положень статті 48 Бюджетного кодексу України із змінами   сільською радою беруться бюджетні зобов"язання та здійснюються платежі тільки в межах бюджетних асигнувань, затверджених у кошторисі на 2023 рік.  Бюджетні зобов"язання беруться і реєструються в Управлінні Державної казначейської служби України в Запорізькому районі відповідно до вимог чинного бюджетного законодавства.</t>
  </si>
  <si>
    <t>(0)(1)</t>
  </si>
  <si>
    <t>Широкiвська сiльська рада Запорiзького району Запорiзької областi</t>
  </si>
  <si>
    <t>Керівник установи</t>
  </si>
  <si>
    <t>Керівник фінансової служби</t>
  </si>
  <si>
    <t>Коротенко Д. О.</t>
  </si>
  <si>
    <t>Свіріна О. О.</t>
  </si>
  <si>
    <t>26013402</t>
  </si>
  <si>
    <t>0852300000</t>
  </si>
  <si>
    <t>(грн)</t>
  </si>
  <si>
    <t>2022 рік (звіт)</t>
  </si>
  <si>
    <t>1) кредиторська заборгованість місцевого бюджету у 2022 році:</t>
  </si>
  <si>
    <t>Дебіторська заборгованість на 01.01.2022</t>
  </si>
  <si>
    <t>2023 рік (затверджено)</t>
  </si>
  <si>
    <t>2023 рік (план)</t>
  </si>
  <si>
    <t>2023 рік</t>
  </si>
  <si>
    <t>3) дебіторська заборгованість у 2022 - 2023 роках:</t>
  </si>
  <si>
    <t>Дебіторська заборгованість на 01.01.2023</t>
  </si>
  <si>
    <t>4) аналіз управління бюджетними зобов'язаннями та пропозиції щодо упорядкування бюджетних зобов'язань у 2023 році.</t>
  </si>
  <si>
    <t>внаслідок використання коштів спеціального фонду бюджету у 2022 році, та очікувані результати у 2023 році.</t>
  </si>
  <si>
    <t>1) надходження для виконання бюджетної програми у 2022 - 2024 роках:</t>
  </si>
  <si>
    <t>2024 рік (проект)</t>
  </si>
  <si>
    <t>1) видатки за кодами Економічної класифікації видатків бюджету у 2022 - 2024 роках:</t>
  </si>
  <si>
    <t>2) надання кредитів за кодами Класифікації кредитування бюджету у 2022 - 2024 роках:</t>
  </si>
  <si>
    <t>1) витрати за напрямами використання бюджетних коштів у 2022 - 2024 роках:</t>
  </si>
  <si>
    <t>1) результативні показники бюджетної програми у 2022 - 2024 роках:</t>
  </si>
  <si>
    <t>2024 рік</t>
  </si>
  <si>
    <t>1) місцеві/регіональні програми, які виконуються в межах бюджетної програми у 2022 - 2024 роках:</t>
  </si>
  <si>
    <t>14. Бюджетні зобов’язання у 2022 - 2024 роках:</t>
  </si>
  <si>
    <t xml:space="preserve">2) кредиторська заборгованість місцевого бюджету у 2023 - 2024 роках: </t>
  </si>
  <si>
    <t>Очікувана дебіторська заборгованость  на 01.01.2024</t>
  </si>
  <si>
    <t>2025 рік (прогноз)</t>
  </si>
  <si>
    <t>2025 рік</t>
  </si>
  <si>
    <t>БЮДЖЕТНИЙ ЗАПИТ НА 2024-2026 РОКИ індивідуальний (Форма 2024-2)</t>
  </si>
  <si>
    <t>4. Мета та завдання бюджетної програми на 2024 - 2026 роки</t>
  </si>
  <si>
    <t>2) надходження для виконання бюджетної програми  у 2025 - 2026 роках:</t>
  </si>
  <si>
    <t>2026 рік (прогноз)</t>
  </si>
  <si>
    <t>3) видатки за кодами Економічної класифікації видатків бюджету у 2025 - 2026 роках:</t>
  </si>
  <si>
    <t>4) надання кредитів за кодами Класифікації кредитування бюджету у 2025 - 2026 роках:</t>
  </si>
  <si>
    <t>2) витрати за напрямами використання бюджетних коштів у 2025 - 2026 роках:</t>
  </si>
  <si>
    <t>2) результативні показники бюджетної програми у 2025 - 2026 роках:</t>
  </si>
  <si>
    <t xml:space="preserve">2026 рік </t>
  </si>
  <si>
    <t>2) місцеві/регіональні програми, які виконуються в межах бюджетної програми у 2025 - 2026 роках:</t>
  </si>
  <si>
    <t>12. Об’єкти, які виконуються в межах бюджетної програми за рахунок коштів бюджету розвитку у 2022 - 2026 роках:</t>
  </si>
  <si>
    <t>13. Аналіз результатів, досягнутих внаслідок використання коштів загального фонду бюджету у 2022 році, очікувані результати у 
2023 році, обґрунтування необхідності передбачення витрат кредитів на 2024 - 2026 роки</t>
  </si>
  <si>
    <t xml:space="preserve"> 15. Підстави та обґрунтування видатків спеціального фонду на 2024 рік та на 2025 - 2026 роки за рахунок надходжень до спеціального фонду, аналіз результатів, досягнутих </t>
  </si>
  <si>
    <t>(0)(1)(1)(3)(2)(4)(2)</t>
  </si>
  <si>
    <t>(3)(2)(4)(2)</t>
  </si>
  <si>
    <t>(1)(0)(9)(0)</t>
  </si>
  <si>
    <t>Широківська сільська рада Запорізького району Запорізької області</t>
  </si>
  <si>
    <t>(0)(1)(1)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</si>
</sst>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2" formatCode="#0.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Arial Cyr"/>
      <charset val="204"/>
    </font>
    <font>
      <sz val="8"/>
      <name val="Arial CYR"/>
      <charset val="204"/>
    </font>
    <font>
      <sz val="8"/>
      <name val="Times New Roman"/>
      <family val="1"/>
      <charset val="204"/>
    </font>
    <font>
      <sz val="8"/>
      <name val="Times New Roman CYR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11"/>
      <name val="Times New Roman"/>
      <family val="1"/>
    </font>
    <font>
      <sz val="10"/>
      <name val="Arial Cyr"/>
      <charset val="204"/>
    </font>
    <font>
      <sz val="11"/>
      <name val="Times New Roman CYR"/>
      <family val="1"/>
      <charset val="204"/>
    </font>
    <font>
      <sz val="8"/>
      <name val="Times New Roman"/>
      <family val="1"/>
    </font>
    <font>
      <b/>
      <sz val="8"/>
      <name val="Arial Cyr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top"/>
    </xf>
    <xf numFmtId="0" fontId="14" fillId="0" borderId="0" xfId="0" applyFont="1" applyBorder="1" applyAlignment="1"/>
    <xf numFmtId="0" fontId="11" fillId="0" borderId="0" xfId="0" applyFont="1" applyBorder="1" applyAlignment="1">
      <alignment horizontal="center" vertical="center"/>
    </xf>
    <xf numFmtId="0" fontId="0" fillId="0" borderId="0" xfId="0" applyBorder="1" applyAlignment="1"/>
    <xf numFmtId="0" fontId="1" fillId="0" borderId="0" xfId="0" applyFont="1" applyBorder="1" applyAlignment="1">
      <alignment horizontal="center" vertical="center" wrapText="1"/>
    </xf>
    <xf numFmtId="3" fontId="1" fillId="0" borderId="0" xfId="0" applyNumberFormat="1" applyFont="1" applyBorder="1" applyAlignment="1">
      <alignment horizontal="right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top" wrapText="1"/>
    </xf>
    <xf numFmtId="0" fontId="1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82" fontId="1" fillId="0" borderId="5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3" fillId="0" borderId="0" xfId="0" applyFont="1" applyAlignment="1">
      <alignment vertical="center" wrapText="1"/>
    </xf>
    <xf numFmtId="0" fontId="11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right" vertical="center" wrapText="1"/>
    </xf>
    <xf numFmtId="0" fontId="7" fillId="0" borderId="7" xfId="0" applyFont="1" applyBorder="1" applyAlignment="1">
      <alignment horizontal="center" vertical="top" wrapText="1"/>
    </xf>
    <xf numFmtId="0" fontId="6" fillId="0" borderId="7" xfId="0" applyFont="1" applyFill="1" applyBorder="1" applyAlignment="1">
      <alignment horizontal="center" vertical="center" wrapText="1"/>
    </xf>
    <xf numFmtId="182" fontId="4" fillId="0" borderId="1" xfId="0" applyNumberFormat="1" applyFont="1" applyBorder="1" applyAlignment="1">
      <alignment horizontal="center" vertical="center" wrapText="1"/>
    </xf>
    <xf numFmtId="182" fontId="4" fillId="0" borderId="2" xfId="0" applyNumberFormat="1" applyFont="1" applyBorder="1" applyAlignment="1">
      <alignment horizontal="center" vertical="center" wrapText="1"/>
    </xf>
    <xf numFmtId="182" fontId="4" fillId="0" borderId="3" xfId="0" applyNumberFormat="1" applyFont="1" applyBorder="1" applyAlignment="1">
      <alignment horizontal="center" vertical="center" wrapText="1"/>
    </xf>
    <xf numFmtId="182" fontId="4" fillId="0" borderId="5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right" vertical="center" wrapText="1"/>
    </xf>
    <xf numFmtId="0" fontId="0" fillId="0" borderId="2" xfId="0" applyBorder="1"/>
    <xf numFmtId="0" fontId="0" fillId="0" borderId="3" xfId="0" applyBorder="1"/>
    <xf numFmtId="0" fontId="1" fillId="0" borderId="5" xfId="0" applyNumberFormat="1" applyFont="1" applyBorder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top" wrapText="1"/>
    </xf>
    <xf numFmtId="0" fontId="0" fillId="0" borderId="2" xfId="0" applyFont="1" applyBorder="1" applyAlignment="1">
      <alignment horizontal="center" vertical="top" wrapText="1"/>
    </xf>
    <xf numFmtId="0" fontId="0" fillId="0" borderId="3" xfId="0" applyFont="1" applyBorder="1" applyAlignment="1">
      <alignment horizontal="center" vertical="top" wrapText="1"/>
    </xf>
    <xf numFmtId="3" fontId="0" fillId="0" borderId="5" xfId="0" applyNumberFormat="1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 wrapText="1"/>
    </xf>
    <xf numFmtId="3" fontId="0" fillId="0" borderId="2" xfId="0" applyNumberFormat="1" applyFont="1" applyBorder="1" applyAlignment="1">
      <alignment horizontal="center" vertical="center" wrapText="1"/>
    </xf>
    <xf numFmtId="3" fontId="0" fillId="0" borderId="3" xfId="0" applyNumberFormat="1" applyFont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3" fontId="4" fillId="0" borderId="5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 vertical="center" wrapText="1"/>
    </xf>
    <xf numFmtId="3" fontId="4" fillId="0" borderId="2" xfId="0" applyNumberFormat="1" applyFont="1" applyBorder="1" applyAlignment="1">
      <alignment horizontal="right" vertical="center" wrapText="1"/>
    </xf>
    <xf numFmtId="3" fontId="4" fillId="0" borderId="3" xfId="0" applyNumberFormat="1" applyFont="1" applyBorder="1" applyAlignment="1">
      <alignment horizontal="right" vertical="center" wrapText="1"/>
    </xf>
    <xf numFmtId="0" fontId="0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5" xfId="0" applyNumberFormat="1" applyFont="1" applyBorder="1" applyAlignment="1">
      <alignment horizontal="right" vertical="center" wrapText="1"/>
    </xf>
    <xf numFmtId="3" fontId="4" fillId="0" borderId="5" xfId="0" applyNumberFormat="1" applyFont="1" applyBorder="1" applyAlignment="1">
      <alignment horizontal="right" vertical="center" wrapText="1"/>
    </xf>
    <xf numFmtId="3" fontId="0" fillId="0" borderId="5" xfId="0" applyNumberFormat="1" applyFont="1" applyBorder="1" applyAlignment="1">
      <alignment horizontal="right" vertical="center" wrapText="1"/>
    </xf>
    <xf numFmtId="0" fontId="5" fillId="0" borderId="5" xfId="0" applyFont="1" applyBorder="1" applyAlignment="1">
      <alignment horizontal="left" vertical="center" wrapText="1"/>
    </xf>
    <xf numFmtId="0" fontId="17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1" fontId="4" fillId="0" borderId="5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2" fillId="0" borderId="6" xfId="0" quotePrefix="1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15" fillId="0" borderId="6" xfId="0" quotePrefix="1" applyFont="1" applyBorder="1" applyAlignment="1">
      <alignment horizontal="left" vertical="top" wrapText="1"/>
    </xf>
    <xf numFmtId="0" fontId="13" fillId="0" borderId="6" xfId="0" quotePrefix="1" applyFont="1" applyBorder="1" applyAlignment="1">
      <alignment horizontal="left" vertical="top" wrapText="1"/>
    </xf>
    <xf numFmtId="0" fontId="11" fillId="0" borderId="6" xfId="0" quotePrefix="1" applyFont="1" applyBorder="1" applyAlignment="1">
      <alignment horizontal="center" vertical="center" wrapText="1"/>
    </xf>
    <xf numFmtId="0" fontId="11" fillId="0" borderId="6" xfId="0" quotePrefix="1" applyFont="1" applyBorder="1" applyAlignment="1">
      <alignment horizontal="left" vertical="top" wrapText="1"/>
    </xf>
  </cellXfs>
  <cellStyles count="1">
    <cellStyle name="Обычный" xfId="0" builtinId="0"/>
  </cellStyles>
  <dxfs count="107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257"/>
  <sheetViews>
    <sheetView tabSelected="1" zoomScaleNormal="100" workbookViewId="0"/>
  </sheetViews>
  <sheetFormatPr defaultRowHeight="12.75" x14ac:dyDescent="0.2"/>
  <cols>
    <col min="1" max="78" width="2.85546875" customWidth="1"/>
    <col min="79" max="79" width="4" hidden="1" customWidth="1"/>
  </cols>
  <sheetData>
    <row r="1" spans="1:79" ht="57.75" customHeight="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80" t="s">
        <v>115</v>
      </c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</row>
    <row r="2" spans="1:79" ht="14.25" customHeight="1" x14ac:dyDescent="0.2">
      <c r="A2" s="32" t="s">
        <v>232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</row>
    <row r="4" spans="1:79" ht="15" customHeight="1" x14ac:dyDescent="0.2">
      <c r="A4" s="11" t="s">
        <v>159</v>
      </c>
      <c r="B4" s="127" t="s">
        <v>201</v>
      </c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8"/>
      <c r="AH4" s="35" t="s">
        <v>200</v>
      </c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8"/>
      <c r="AT4" s="132" t="s">
        <v>206</v>
      </c>
      <c r="AU4" s="35"/>
      <c r="AV4" s="35"/>
      <c r="AW4" s="35"/>
      <c r="AX4" s="35"/>
      <c r="AY4" s="35"/>
      <c r="AZ4" s="35"/>
      <c r="BA4" s="35"/>
      <c r="BB4" s="15"/>
      <c r="BC4" s="8"/>
      <c r="BD4" s="8"/>
      <c r="BE4" s="12"/>
      <c r="BF4" s="12"/>
      <c r="BG4" s="12"/>
      <c r="BH4" s="12"/>
      <c r="BI4" s="12"/>
      <c r="BJ4" s="12"/>
      <c r="BK4" s="12"/>
      <c r="BL4" s="12"/>
    </row>
    <row r="5" spans="1:79" ht="24" customHeight="1" x14ac:dyDescent="0.2">
      <c r="A5" s="25" t="s">
        <v>0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7"/>
      <c r="AH5" s="33" t="s">
        <v>160</v>
      </c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7"/>
      <c r="AT5" s="33" t="s">
        <v>157</v>
      </c>
      <c r="AU5" s="33"/>
      <c r="AV5" s="33"/>
      <c r="AW5" s="33"/>
      <c r="AX5" s="33"/>
      <c r="AY5" s="33"/>
      <c r="AZ5" s="33"/>
      <c r="BA5" s="33"/>
      <c r="BB5" s="13"/>
      <c r="BC5" s="7"/>
      <c r="BD5" s="7"/>
      <c r="BE5" s="13"/>
      <c r="BF5" s="13"/>
      <c r="BG5" s="13"/>
      <c r="BH5" s="13"/>
      <c r="BI5" s="13"/>
      <c r="BJ5" s="13"/>
      <c r="BK5" s="13"/>
      <c r="BL5" s="13"/>
    </row>
    <row r="6" spans="1:79" x14ac:dyDescent="0.2">
      <c r="BE6" s="14"/>
      <c r="BF6" s="14"/>
      <c r="BG6" s="14"/>
      <c r="BH6" s="14"/>
      <c r="BI6" s="14"/>
      <c r="BJ6" s="14"/>
      <c r="BK6" s="14"/>
      <c r="BL6" s="14"/>
    </row>
    <row r="7" spans="1:79" ht="15" customHeight="1" x14ac:dyDescent="0.2">
      <c r="A7" s="11" t="s">
        <v>161</v>
      </c>
      <c r="B7" s="127" t="s">
        <v>248</v>
      </c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8"/>
      <c r="AD7" s="128"/>
      <c r="AE7" s="128"/>
      <c r="AF7" s="128"/>
      <c r="AG7" s="8"/>
      <c r="AH7" s="35" t="s">
        <v>249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15"/>
      <c r="BC7" s="132" t="s">
        <v>206</v>
      </c>
      <c r="BD7" s="35"/>
      <c r="BE7" s="35"/>
      <c r="BF7" s="35"/>
      <c r="BG7" s="35"/>
      <c r="BH7" s="35"/>
      <c r="BI7" s="35"/>
      <c r="BJ7" s="35"/>
      <c r="BK7" s="15"/>
      <c r="BL7" s="12"/>
      <c r="BM7" s="16"/>
      <c r="BN7" s="16"/>
      <c r="BO7" s="16"/>
      <c r="BP7" s="15"/>
      <c r="BQ7" s="15"/>
      <c r="BR7" s="15"/>
      <c r="BS7" s="15"/>
      <c r="BT7" s="15"/>
      <c r="BU7" s="15"/>
      <c r="BV7" s="15"/>
      <c r="BW7" s="15"/>
    </row>
    <row r="8" spans="1:79" ht="24" customHeight="1" x14ac:dyDescent="0.2">
      <c r="A8" s="25" t="s">
        <v>155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7"/>
      <c r="AH8" s="33" t="s">
        <v>162</v>
      </c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13"/>
      <c r="BC8" s="33" t="s">
        <v>157</v>
      </c>
      <c r="BD8" s="33"/>
      <c r="BE8" s="33"/>
      <c r="BF8" s="33"/>
      <c r="BG8" s="33"/>
      <c r="BH8" s="33"/>
      <c r="BI8" s="33"/>
      <c r="BJ8" s="33"/>
      <c r="BK8" s="21"/>
      <c r="BL8" s="13"/>
      <c r="BM8" s="16"/>
      <c r="BN8" s="16"/>
      <c r="BO8" s="16"/>
      <c r="BP8" s="13"/>
      <c r="BQ8" s="13"/>
      <c r="BR8" s="13"/>
      <c r="BS8" s="13"/>
      <c r="BT8" s="13"/>
      <c r="BU8" s="13"/>
      <c r="BV8" s="13"/>
      <c r="BW8" s="13"/>
    </row>
    <row r="10" spans="1:79" ht="14.25" customHeight="1" x14ac:dyDescent="0.2">
      <c r="A10" s="11" t="s">
        <v>163</v>
      </c>
      <c r="B10" s="35" t="s">
        <v>245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N10" s="35" t="s">
        <v>246</v>
      </c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15"/>
      <c r="AA10" s="35" t="s">
        <v>247</v>
      </c>
      <c r="AB10" s="35"/>
      <c r="AC10" s="35"/>
      <c r="AD10" s="35"/>
      <c r="AE10" s="35"/>
      <c r="AF10" s="35"/>
      <c r="AG10" s="35"/>
      <c r="AH10" s="35"/>
      <c r="AI10" s="35"/>
      <c r="AJ10" s="15"/>
      <c r="AK10" s="133" t="s">
        <v>196</v>
      </c>
      <c r="AL10" s="128"/>
      <c r="AM10" s="128"/>
      <c r="AN10" s="128"/>
      <c r="AO10" s="128"/>
      <c r="AP10" s="128"/>
      <c r="AQ10" s="128"/>
      <c r="AR10" s="128"/>
      <c r="AS10" s="128"/>
      <c r="AT10" s="128"/>
      <c r="AU10" s="128"/>
      <c r="AV10" s="128"/>
      <c r="AW10" s="128"/>
      <c r="AX10" s="128"/>
      <c r="AY10" s="128"/>
      <c r="AZ10" s="128"/>
      <c r="BA10" s="128"/>
      <c r="BB10" s="128"/>
      <c r="BC10" s="128"/>
      <c r="BD10" s="128"/>
      <c r="BE10" s="128"/>
      <c r="BF10" s="128"/>
      <c r="BG10" s="128"/>
      <c r="BH10" s="128"/>
      <c r="BI10" s="128"/>
      <c r="BJ10" s="128"/>
      <c r="BK10" s="20"/>
      <c r="BL10" s="132" t="s">
        <v>207</v>
      </c>
      <c r="BM10" s="35"/>
      <c r="BN10" s="35"/>
      <c r="BO10" s="35"/>
      <c r="BP10" s="35"/>
      <c r="BQ10" s="35"/>
      <c r="BR10" s="35"/>
      <c r="BS10" s="35"/>
      <c r="BT10" s="15"/>
      <c r="BU10" s="15"/>
      <c r="BV10" s="15"/>
      <c r="BW10" s="15"/>
      <c r="BX10" s="15"/>
      <c r="BY10" s="15"/>
      <c r="BZ10" s="15"/>
      <c r="CA10" s="15"/>
    </row>
    <row r="11" spans="1:79" ht="25.5" customHeight="1" x14ac:dyDescent="0.2">
      <c r="B11" s="33" t="s">
        <v>164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N11" s="33" t="s">
        <v>166</v>
      </c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13"/>
      <c r="AA11" s="45" t="s">
        <v>167</v>
      </c>
      <c r="AB11" s="45"/>
      <c r="AC11" s="45"/>
      <c r="AD11" s="45"/>
      <c r="AE11" s="45"/>
      <c r="AF11" s="45"/>
      <c r="AG11" s="45"/>
      <c r="AH11" s="45"/>
      <c r="AI11" s="45"/>
      <c r="AJ11" s="13"/>
      <c r="AK11" s="46" t="s">
        <v>165</v>
      </c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19"/>
      <c r="BL11" s="33" t="s">
        <v>158</v>
      </c>
      <c r="BM11" s="33"/>
      <c r="BN11" s="33"/>
      <c r="BO11" s="33"/>
      <c r="BP11" s="33"/>
      <c r="BQ11" s="33"/>
      <c r="BR11" s="33"/>
      <c r="BS11" s="33"/>
      <c r="BT11" s="13"/>
      <c r="BU11" s="13"/>
      <c r="BV11" s="13"/>
      <c r="BW11" s="13"/>
      <c r="BX11" s="13"/>
      <c r="BY11" s="13"/>
      <c r="BZ11" s="13"/>
      <c r="CA11" s="13"/>
    </row>
    <row r="13" spans="1:79" ht="14.25" customHeight="1" x14ac:dyDescent="0.2">
      <c r="A13" s="29" t="s">
        <v>233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9" ht="14.25" customHeight="1" x14ac:dyDescent="0.2">
      <c r="A14" s="29" t="s">
        <v>148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</row>
    <row r="15" spans="1:79" ht="15" customHeight="1" x14ac:dyDescent="0.2">
      <c r="A15" s="125" t="s">
        <v>196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26"/>
      <c r="AW15" s="126"/>
      <c r="AX15" s="126"/>
      <c r="AY15" s="126"/>
      <c r="AZ15" s="126"/>
      <c r="BA15" s="126"/>
      <c r="BB15" s="126"/>
      <c r="BC15" s="126"/>
      <c r="BD15" s="126"/>
      <c r="BE15" s="126"/>
      <c r="BF15" s="126"/>
      <c r="BG15" s="126"/>
      <c r="BH15" s="126"/>
      <c r="BI15" s="126"/>
      <c r="BJ15" s="126"/>
      <c r="BK15" s="126"/>
      <c r="BL15" s="126"/>
      <c r="BM15" s="126"/>
      <c r="BN15" s="126"/>
      <c r="BO15" s="126"/>
      <c r="BP15" s="126"/>
      <c r="BQ15" s="126"/>
      <c r="BR15" s="126"/>
      <c r="BS15" s="126"/>
      <c r="BT15" s="126"/>
      <c r="BU15" s="126"/>
      <c r="BV15" s="126"/>
      <c r="BW15" s="126"/>
      <c r="BX15" s="126"/>
      <c r="BY15" s="126"/>
    </row>
    <row r="16" spans="1:79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</row>
    <row r="17" spans="1:79" ht="15" customHeight="1" x14ac:dyDescent="0.25">
      <c r="A17" s="81" t="s">
        <v>149</v>
      </c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</row>
    <row r="18" spans="1:79" ht="15" customHeight="1" x14ac:dyDescent="0.2">
      <c r="A18" s="125" t="s">
        <v>197</v>
      </c>
      <c r="B18" s="126"/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  <c r="AP18" s="126"/>
      <c r="AQ18" s="126"/>
      <c r="AR18" s="126"/>
      <c r="AS18" s="126"/>
      <c r="AT18" s="126"/>
      <c r="AU18" s="126"/>
      <c r="AV18" s="126"/>
      <c r="AW18" s="126"/>
      <c r="AX18" s="126"/>
      <c r="AY18" s="126"/>
      <c r="AZ18" s="126"/>
      <c r="BA18" s="126"/>
      <c r="BB18" s="126"/>
      <c r="BC18" s="126"/>
      <c r="BD18" s="126"/>
      <c r="BE18" s="126"/>
      <c r="BF18" s="126"/>
      <c r="BG18" s="126"/>
      <c r="BH18" s="126"/>
      <c r="BI18" s="126"/>
      <c r="BJ18" s="126"/>
      <c r="BK18" s="126"/>
      <c r="BL18" s="126"/>
      <c r="BM18" s="126"/>
      <c r="BN18" s="126"/>
      <c r="BO18" s="126"/>
      <c r="BP18" s="126"/>
      <c r="BQ18" s="126"/>
      <c r="BR18" s="126"/>
      <c r="BS18" s="126"/>
      <c r="BT18" s="126"/>
      <c r="BU18" s="126"/>
      <c r="BV18" s="126"/>
      <c r="BW18" s="126"/>
      <c r="BX18" s="126"/>
      <c r="BY18" s="126"/>
    </row>
    <row r="19" spans="1:79" ht="1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</row>
    <row r="20" spans="1:79" ht="14.25" customHeight="1" x14ac:dyDescent="0.2">
      <c r="A20" s="29" t="s">
        <v>150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</row>
    <row r="21" spans="1:79" ht="120" customHeight="1" x14ac:dyDescent="0.2">
      <c r="A21" s="125" t="s">
        <v>198</v>
      </c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6"/>
      <c r="AU21" s="126"/>
      <c r="AV21" s="126"/>
      <c r="AW21" s="126"/>
      <c r="AX21" s="126"/>
      <c r="AY21" s="126"/>
      <c r="AZ21" s="126"/>
      <c r="BA21" s="126"/>
      <c r="BB21" s="126"/>
      <c r="BC21" s="126"/>
      <c r="BD21" s="126"/>
      <c r="BE21" s="126"/>
      <c r="BF21" s="126"/>
      <c r="BG21" s="126"/>
      <c r="BH21" s="126"/>
      <c r="BI21" s="126"/>
      <c r="BJ21" s="126"/>
      <c r="BK21" s="126"/>
      <c r="BL21" s="126"/>
      <c r="BM21" s="126"/>
      <c r="BN21" s="126"/>
      <c r="BO21" s="126"/>
      <c r="BP21" s="126"/>
      <c r="BQ21" s="126"/>
      <c r="BR21" s="126"/>
      <c r="BS21" s="126"/>
      <c r="BT21" s="126"/>
      <c r="BU21" s="126"/>
      <c r="BV21" s="126"/>
      <c r="BW21" s="126"/>
      <c r="BX21" s="126"/>
      <c r="BY21" s="126"/>
    </row>
    <row r="22" spans="1:79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</row>
    <row r="23" spans="1:79" ht="14.25" customHeight="1" x14ac:dyDescent="0.2">
      <c r="A23" s="29" t="s">
        <v>151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</row>
    <row r="24" spans="1:79" ht="14.25" customHeight="1" x14ac:dyDescent="0.2">
      <c r="A24" s="79" t="s">
        <v>219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79"/>
      <c r="BF24" s="79"/>
      <c r="BG24" s="79"/>
      <c r="BH24" s="79"/>
      <c r="BI24" s="79"/>
      <c r="BJ24" s="79"/>
      <c r="BK24" s="79"/>
      <c r="BL24" s="79"/>
      <c r="BM24" s="79"/>
      <c r="BN24" s="79"/>
      <c r="BO24" s="79"/>
      <c r="BP24" s="79"/>
      <c r="BQ24" s="79"/>
      <c r="BR24" s="79"/>
      <c r="BS24" s="79"/>
      <c r="BT24" s="79"/>
      <c r="BU24" s="79"/>
      <c r="BV24" s="79"/>
      <c r="BW24" s="79"/>
      <c r="BX24" s="79"/>
      <c r="BY24" s="79"/>
    </row>
    <row r="25" spans="1:79" ht="15" customHeight="1" x14ac:dyDescent="0.2">
      <c r="A25" s="31" t="s">
        <v>208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</row>
    <row r="26" spans="1:79" ht="23.1" customHeight="1" x14ac:dyDescent="0.2">
      <c r="A26" s="51" t="s">
        <v>2</v>
      </c>
      <c r="B26" s="52"/>
      <c r="C26" s="52"/>
      <c r="D26" s="53"/>
      <c r="E26" s="51" t="s">
        <v>19</v>
      </c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27" t="s">
        <v>209</v>
      </c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 t="s">
        <v>212</v>
      </c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 t="s">
        <v>220</v>
      </c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</row>
    <row r="27" spans="1:79" ht="54.75" customHeight="1" x14ac:dyDescent="0.2">
      <c r="A27" s="54"/>
      <c r="B27" s="55"/>
      <c r="C27" s="55"/>
      <c r="D27" s="56"/>
      <c r="E27" s="54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36" t="s">
        <v>4</v>
      </c>
      <c r="V27" s="37"/>
      <c r="W27" s="37"/>
      <c r="X27" s="37"/>
      <c r="Y27" s="38"/>
      <c r="Z27" s="36" t="s">
        <v>3</v>
      </c>
      <c r="AA27" s="37"/>
      <c r="AB27" s="37"/>
      <c r="AC27" s="37"/>
      <c r="AD27" s="38"/>
      <c r="AE27" s="57" t="s">
        <v>116</v>
      </c>
      <c r="AF27" s="58"/>
      <c r="AG27" s="58"/>
      <c r="AH27" s="59"/>
      <c r="AI27" s="36" t="s">
        <v>5</v>
      </c>
      <c r="AJ27" s="37"/>
      <c r="AK27" s="37"/>
      <c r="AL27" s="37"/>
      <c r="AM27" s="38"/>
      <c r="AN27" s="36" t="s">
        <v>4</v>
      </c>
      <c r="AO27" s="37"/>
      <c r="AP27" s="37"/>
      <c r="AQ27" s="37"/>
      <c r="AR27" s="38"/>
      <c r="AS27" s="36" t="s">
        <v>3</v>
      </c>
      <c r="AT27" s="37"/>
      <c r="AU27" s="37"/>
      <c r="AV27" s="37"/>
      <c r="AW27" s="38"/>
      <c r="AX27" s="57" t="s">
        <v>116</v>
      </c>
      <c r="AY27" s="58"/>
      <c r="AZ27" s="58"/>
      <c r="BA27" s="59"/>
      <c r="BB27" s="36" t="s">
        <v>96</v>
      </c>
      <c r="BC27" s="37"/>
      <c r="BD27" s="37"/>
      <c r="BE27" s="37"/>
      <c r="BF27" s="38"/>
      <c r="BG27" s="36" t="s">
        <v>4</v>
      </c>
      <c r="BH27" s="37"/>
      <c r="BI27" s="37"/>
      <c r="BJ27" s="37"/>
      <c r="BK27" s="38"/>
      <c r="BL27" s="36" t="s">
        <v>3</v>
      </c>
      <c r="BM27" s="37"/>
      <c r="BN27" s="37"/>
      <c r="BO27" s="37"/>
      <c r="BP27" s="38"/>
      <c r="BQ27" s="57" t="s">
        <v>116</v>
      </c>
      <c r="BR27" s="58"/>
      <c r="BS27" s="58"/>
      <c r="BT27" s="59"/>
      <c r="BU27" s="36" t="s">
        <v>97</v>
      </c>
      <c r="BV27" s="37"/>
      <c r="BW27" s="37"/>
      <c r="BX27" s="37"/>
      <c r="BY27" s="38"/>
    </row>
    <row r="28" spans="1:79" ht="15" customHeight="1" x14ac:dyDescent="0.2">
      <c r="A28" s="36">
        <v>1</v>
      </c>
      <c r="B28" s="37"/>
      <c r="C28" s="37"/>
      <c r="D28" s="38"/>
      <c r="E28" s="36">
        <v>2</v>
      </c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6">
        <v>3</v>
      </c>
      <c r="V28" s="37"/>
      <c r="W28" s="37"/>
      <c r="X28" s="37"/>
      <c r="Y28" s="38"/>
      <c r="Z28" s="36">
        <v>4</v>
      </c>
      <c r="AA28" s="37"/>
      <c r="AB28" s="37"/>
      <c r="AC28" s="37"/>
      <c r="AD28" s="38"/>
      <c r="AE28" s="36">
        <v>5</v>
      </c>
      <c r="AF28" s="37"/>
      <c r="AG28" s="37"/>
      <c r="AH28" s="38"/>
      <c r="AI28" s="36">
        <v>6</v>
      </c>
      <c r="AJ28" s="37"/>
      <c r="AK28" s="37"/>
      <c r="AL28" s="37"/>
      <c r="AM28" s="38"/>
      <c r="AN28" s="36">
        <v>7</v>
      </c>
      <c r="AO28" s="37"/>
      <c r="AP28" s="37"/>
      <c r="AQ28" s="37"/>
      <c r="AR28" s="38"/>
      <c r="AS28" s="36">
        <v>8</v>
      </c>
      <c r="AT28" s="37"/>
      <c r="AU28" s="37"/>
      <c r="AV28" s="37"/>
      <c r="AW28" s="38"/>
      <c r="AX28" s="36">
        <v>9</v>
      </c>
      <c r="AY28" s="37"/>
      <c r="AZ28" s="37"/>
      <c r="BA28" s="38"/>
      <c r="BB28" s="36">
        <v>10</v>
      </c>
      <c r="BC28" s="37"/>
      <c r="BD28" s="37"/>
      <c r="BE28" s="37"/>
      <c r="BF28" s="38"/>
      <c r="BG28" s="36">
        <v>11</v>
      </c>
      <c r="BH28" s="37"/>
      <c r="BI28" s="37"/>
      <c r="BJ28" s="37"/>
      <c r="BK28" s="38"/>
      <c r="BL28" s="36">
        <v>12</v>
      </c>
      <c r="BM28" s="37"/>
      <c r="BN28" s="37"/>
      <c r="BO28" s="37"/>
      <c r="BP28" s="38"/>
      <c r="BQ28" s="36">
        <v>13</v>
      </c>
      <c r="BR28" s="37"/>
      <c r="BS28" s="37"/>
      <c r="BT28" s="38"/>
      <c r="BU28" s="36">
        <v>14</v>
      </c>
      <c r="BV28" s="37"/>
      <c r="BW28" s="37"/>
      <c r="BX28" s="37"/>
      <c r="BY28" s="38"/>
    </row>
    <row r="29" spans="1:79" ht="13.5" hidden="1" customHeight="1" x14ac:dyDescent="0.2">
      <c r="A29" s="39" t="s">
        <v>56</v>
      </c>
      <c r="B29" s="40"/>
      <c r="C29" s="40"/>
      <c r="D29" s="41"/>
      <c r="E29" s="39" t="s">
        <v>57</v>
      </c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82" t="s">
        <v>65</v>
      </c>
      <c r="V29" s="83"/>
      <c r="W29" s="83"/>
      <c r="X29" s="83"/>
      <c r="Y29" s="84"/>
      <c r="Z29" s="82" t="s">
        <v>66</v>
      </c>
      <c r="AA29" s="83"/>
      <c r="AB29" s="83"/>
      <c r="AC29" s="83"/>
      <c r="AD29" s="84"/>
      <c r="AE29" s="39" t="s">
        <v>91</v>
      </c>
      <c r="AF29" s="40"/>
      <c r="AG29" s="40"/>
      <c r="AH29" s="41"/>
      <c r="AI29" s="47" t="s">
        <v>169</v>
      </c>
      <c r="AJ29" s="48"/>
      <c r="AK29" s="48"/>
      <c r="AL29" s="48"/>
      <c r="AM29" s="49"/>
      <c r="AN29" s="39" t="s">
        <v>67</v>
      </c>
      <c r="AO29" s="40"/>
      <c r="AP29" s="40"/>
      <c r="AQ29" s="40"/>
      <c r="AR29" s="41"/>
      <c r="AS29" s="39" t="s">
        <v>68</v>
      </c>
      <c r="AT29" s="40"/>
      <c r="AU29" s="40"/>
      <c r="AV29" s="40"/>
      <c r="AW29" s="41"/>
      <c r="AX29" s="39" t="s">
        <v>92</v>
      </c>
      <c r="AY29" s="40"/>
      <c r="AZ29" s="40"/>
      <c r="BA29" s="41"/>
      <c r="BB29" s="47" t="s">
        <v>169</v>
      </c>
      <c r="BC29" s="48"/>
      <c r="BD29" s="48"/>
      <c r="BE29" s="48"/>
      <c r="BF29" s="49"/>
      <c r="BG29" s="39" t="s">
        <v>58</v>
      </c>
      <c r="BH29" s="40"/>
      <c r="BI29" s="40"/>
      <c r="BJ29" s="40"/>
      <c r="BK29" s="41"/>
      <c r="BL29" s="39" t="s">
        <v>59</v>
      </c>
      <c r="BM29" s="40"/>
      <c r="BN29" s="40"/>
      <c r="BO29" s="40"/>
      <c r="BP29" s="41"/>
      <c r="BQ29" s="39" t="s">
        <v>93</v>
      </c>
      <c r="BR29" s="40"/>
      <c r="BS29" s="40"/>
      <c r="BT29" s="41"/>
      <c r="BU29" s="47" t="s">
        <v>169</v>
      </c>
      <c r="BV29" s="48"/>
      <c r="BW29" s="48"/>
      <c r="BX29" s="48"/>
      <c r="BY29" s="49"/>
      <c r="CA29" t="s">
        <v>21</v>
      </c>
    </row>
    <row r="30" spans="1:79" s="99" customFormat="1" ht="12.75" customHeight="1" x14ac:dyDescent="0.2">
      <c r="A30" s="89"/>
      <c r="B30" s="90"/>
      <c r="C30" s="90"/>
      <c r="D30" s="91"/>
      <c r="E30" s="92" t="s">
        <v>172</v>
      </c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4"/>
      <c r="U30" s="95">
        <v>192112</v>
      </c>
      <c r="V30" s="95"/>
      <c r="W30" s="95"/>
      <c r="X30" s="95"/>
      <c r="Y30" s="95"/>
      <c r="Z30" s="95" t="s">
        <v>173</v>
      </c>
      <c r="AA30" s="95"/>
      <c r="AB30" s="95"/>
      <c r="AC30" s="95"/>
      <c r="AD30" s="95"/>
      <c r="AE30" s="96" t="s">
        <v>173</v>
      </c>
      <c r="AF30" s="97"/>
      <c r="AG30" s="97"/>
      <c r="AH30" s="98"/>
      <c r="AI30" s="96">
        <f>IF(ISNUMBER(U30),U30,0)+IF(ISNUMBER(Z30),Z30,0)</f>
        <v>192112</v>
      </c>
      <c r="AJ30" s="97"/>
      <c r="AK30" s="97"/>
      <c r="AL30" s="97"/>
      <c r="AM30" s="98"/>
      <c r="AN30" s="96">
        <v>590672</v>
      </c>
      <c r="AO30" s="97"/>
      <c r="AP30" s="97"/>
      <c r="AQ30" s="97"/>
      <c r="AR30" s="98"/>
      <c r="AS30" s="96" t="s">
        <v>173</v>
      </c>
      <c r="AT30" s="97"/>
      <c r="AU30" s="97"/>
      <c r="AV30" s="97"/>
      <c r="AW30" s="98"/>
      <c r="AX30" s="96" t="s">
        <v>173</v>
      </c>
      <c r="AY30" s="97"/>
      <c r="AZ30" s="97"/>
      <c r="BA30" s="98"/>
      <c r="BB30" s="96">
        <f>IF(ISNUMBER(AN30),AN30,0)+IF(ISNUMBER(AS30),AS30,0)</f>
        <v>590672</v>
      </c>
      <c r="BC30" s="97"/>
      <c r="BD30" s="97"/>
      <c r="BE30" s="97"/>
      <c r="BF30" s="98"/>
      <c r="BG30" s="96">
        <v>1105078</v>
      </c>
      <c r="BH30" s="97"/>
      <c r="BI30" s="97"/>
      <c r="BJ30" s="97"/>
      <c r="BK30" s="98"/>
      <c r="BL30" s="96" t="s">
        <v>173</v>
      </c>
      <c r="BM30" s="97"/>
      <c r="BN30" s="97"/>
      <c r="BO30" s="97"/>
      <c r="BP30" s="98"/>
      <c r="BQ30" s="96" t="s">
        <v>173</v>
      </c>
      <c r="BR30" s="97"/>
      <c r="BS30" s="97"/>
      <c r="BT30" s="98"/>
      <c r="BU30" s="96">
        <f>IF(ISNUMBER(BG30),BG30,0)+IF(ISNUMBER(BL30),BL30,0)</f>
        <v>1105078</v>
      </c>
      <c r="BV30" s="97"/>
      <c r="BW30" s="97"/>
      <c r="BX30" s="97"/>
      <c r="BY30" s="98"/>
      <c r="CA30" s="99" t="s">
        <v>22</v>
      </c>
    </row>
    <row r="31" spans="1:79" s="6" customFormat="1" ht="12.75" customHeight="1" x14ac:dyDescent="0.2">
      <c r="A31" s="86"/>
      <c r="B31" s="87"/>
      <c r="C31" s="87"/>
      <c r="D31" s="88"/>
      <c r="E31" s="100" t="s">
        <v>147</v>
      </c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2"/>
      <c r="U31" s="103">
        <v>192112</v>
      </c>
      <c r="V31" s="103"/>
      <c r="W31" s="103"/>
      <c r="X31" s="103"/>
      <c r="Y31" s="103"/>
      <c r="Z31" s="103">
        <v>0</v>
      </c>
      <c r="AA31" s="103"/>
      <c r="AB31" s="103"/>
      <c r="AC31" s="103"/>
      <c r="AD31" s="103"/>
      <c r="AE31" s="104">
        <v>0</v>
      </c>
      <c r="AF31" s="105"/>
      <c r="AG31" s="105"/>
      <c r="AH31" s="106"/>
      <c r="AI31" s="104">
        <f>IF(ISNUMBER(U31),U31,0)+IF(ISNUMBER(Z31),Z31,0)</f>
        <v>192112</v>
      </c>
      <c r="AJ31" s="105"/>
      <c r="AK31" s="105"/>
      <c r="AL31" s="105"/>
      <c r="AM31" s="106"/>
      <c r="AN31" s="104">
        <v>590672</v>
      </c>
      <c r="AO31" s="105"/>
      <c r="AP31" s="105"/>
      <c r="AQ31" s="105"/>
      <c r="AR31" s="106"/>
      <c r="AS31" s="104">
        <v>0</v>
      </c>
      <c r="AT31" s="105"/>
      <c r="AU31" s="105"/>
      <c r="AV31" s="105"/>
      <c r="AW31" s="106"/>
      <c r="AX31" s="104">
        <v>0</v>
      </c>
      <c r="AY31" s="105"/>
      <c r="AZ31" s="105"/>
      <c r="BA31" s="106"/>
      <c r="BB31" s="104">
        <f>IF(ISNUMBER(AN31),AN31,0)+IF(ISNUMBER(AS31),AS31,0)</f>
        <v>590672</v>
      </c>
      <c r="BC31" s="105"/>
      <c r="BD31" s="105"/>
      <c r="BE31" s="105"/>
      <c r="BF31" s="106"/>
      <c r="BG31" s="104">
        <v>1105078</v>
      </c>
      <c r="BH31" s="105"/>
      <c r="BI31" s="105"/>
      <c r="BJ31" s="105"/>
      <c r="BK31" s="106"/>
      <c r="BL31" s="104">
        <v>0</v>
      </c>
      <c r="BM31" s="105"/>
      <c r="BN31" s="105"/>
      <c r="BO31" s="105"/>
      <c r="BP31" s="106"/>
      <c r="BQ31" s="104">
        <v>0</v>
      </c>
      <c r="BR31" s="105"/>
      <c r="BS31" s="105"/>
      <c r="BT31" s="106"/>
      <c r="BU31" s="104">
        <f>IF(ISNUMBER(BG31),BG31,0)+IF(ISNUMBER(BL31),BL31,0)</f>
        <v>1105078</v>
      </c>
      <c r="BV31" s="105"/>
      <c r="BW31" s="105"/>
      <c r="BX31" s="105"/>
      <c r="BY31" s="106"/>
    </row>
    <row r="33" spans="1:79" ht="14.25" customHeight="1" x14ac:dyDescent="0.2">
      <c r="A33" s="79" t="s">
        <v>234</v>
      </c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79"/>
      <c r="BF33" s="79"/>
      <c r="BG33" s="79"/>
      <c r="BH33" s="79"/>
      <c r="BI33" s="79"/>
      <c r="BJ33" s="79"/>
      <c r="BK33" s="79"/>
      <c r="BL33" s="79"/>
    </row>
    <row r="34" spans="1:79" ht="15" customHeight="1" x14ac:dyDescent="0.2">
      <c r="A34" s="44" t="s">
        <v>208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</row>
    <row r="35" spans="1:79" ht="22.5" customHeight="1" x14ac:dyDescent="0.2">
      <c r="A35" s="51" t="s">
        <v>2</v>
      </c>
      <c r="B35" s="52"/>
      <c r="C35" s="52"/>
      <c r="D35" s="53"/>
      <c r="E35" s="51" t="s">
        <v>19</v>
      </c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3"/>
      <c r="X35" s="36" t="s">
        <v>230</v>
      </c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8"/>
      <c r="AR35" s="27" t="s">
        <v>235</v>
      </c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</row>
    <row r="36" spans="1:79" ht="36" customHeight="1" x14ac:dyDescent="0.2">
      <c r="A36" s="54"/>
      <c r="B36" s="55"/>
      <c r="C36" s="55"/>
      <c r="D36" s="56"/>
      <c r="E36" s="54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6"/>
      <c r="X36" s="27" t="s">
        <v>4</v>
      </c>
      <c r="Y36" s="27"/>
      <c r="Z36" s="27"/>
      <c r="AA36" s="27"/>
      <c r="AB36" s="27"/>
      <c r="AC36" s="27" t="s">
        <v>3</v>
      </c>
      <c r="AD36" s="27"/>
      <c r="AE36" s="27"/>
      <c r="AF36" s="27"/>
      <c r="AG36" s="27"/>
      <c r="AH36" s="57" t="s">
        <v>116</v>
      </c>
      <c r="AI36" s="58"/>
      <c r="AJ36" s="58"/>
      <c r="AK36" s="58"/>
      <c r="AL36" s="59"/>
      <c r="AM36" s="36" t="s">
        <v>5</v>
      </c>
      <c r="AN36" s="37"/>
      <c r="AO36" s="37"/>
      <c r="AP36" s="37"/>
      <c r="AQ36" s="38"/>
      <c r="AR36" s="36" t="s">
        <v>4</v>
      </c>
      <c r="AS36" s="37"/>
      <c r="AT36" s="37"/>
      <c r="AU36" s="37"/>
      <c r="AV36" s="38"/>
      <c r="AW36" s="36" t="s">
        <v>3</v>
      </c>
      <c r="AX36" s="37"/>
      <c r="AY36" s="37"/>
      <c r="AZ36" s="37"/>
      <c r="BA36" s="38"/>
      <c r="BB36" s="57" t="s">
        <v>116</v>
      </c>
      <c r="BC36" s="58"/>
      <c r="BD36" s="58"/>
      <c r="BE36" s="58"/>
      <c r="BF36" s="59"/>
      <c r="BG36" s="36" t="s">
        <v>96</v>
      </c>
      <c r="BH36" s="37"/>
      <c r="BI36" s="37"/>
      <c r="BJ36" s="37"/>
      <c r="BK36" s="38"/>
    </row>
    <row r="37" spans="1:79" ht="15" customHeight="1" x14ac:dyDescent="0.2">
      <c r="A37" s="36">
        <v>1</v>
      </c>
      <c r="B37" s="37"/>
      <c r="C37" s="37"/>
      <c r="D37" s="38"/>
      <c r="E37" s="36">
        <v>2</v>
      </c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8"/>
      <c r="X37" s="27">
        <v>3</v>
      </c>
      <c r="Y37" s="27"/>
      <c r="Z37" s="27"/>
      <c r="AA37" s="27"/>
      <c r="AB37" s="27"/>
      <c r="AC37" s="27">
        <v>4</v>
      </c>
      <c r="AD37" s="27"/>
      <c r="AE37" s="27"/>
      <c r="AF37" s="27"/>
      <c r="AG37" s="27"/>
      <c r="AH37" s="27">
        <v>5</v>
      </c>
      <c r="AI37" s="27"/>
      <c r="AJ37" s="27"/>
      <c r="AK37" s="27"/>
      <c r="AL37" s="27"/>
      <c r="AM37" s="27">
        <v>6</v>
      </c>
      <c r="AN37" s="27"/>
      <c r="AO37" s="27"/>
      <c r="AP37" s="27"/>
      <c r="AQ37" s="27"/>
      <c r="AR37" s="36">
        <v>7</v>
      </c>
      <c r="AS37" s="37"/>
      <c r="AT37" s="37"/>
      <c r="AU37" s="37"/>
      <c r="AV37" s="38"/>
      <c r="AW37" s="36">
        <v>8</v>
      </c>
      <c r="AX37" s="37"/>
      <c r="AY37" s="37"/>
      <c r="AZ37" s="37"/>
      <c r="BA37" s="38"/>
      <c r="BB37" s="36">
        <v>9</v>
      </c>
      <c r="BC37" s="37"/>
      <c r="BD37" s="37"/>
      <c r="BE37" s="37"/>
      <c r="BF37" s="38"/>
      <c r="BG37" s="36">
        <v>10</v>
      </c>
      <c r="BH37" s="37"/>
      <c r="BI37" s="37"/>
      <c r="BJ37" s="37"/>
      <c r="BK37" s="38"/>
    </row>
    <row r="38" spans="1:79" ht="20.25" hidden="1" customHeight="1" x14ac:dyDescent="0.2">
      <c r="A38" s="39" t="s">
        <v>56</v>
      </c>
      <c r="B38" s="40"/>
      <c r="C38" s="40"/>
      <c r="D38" s="41"/>
      <c r="E38" s="39" t="s">
        <v>57</v>
      </c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1"/>
      <c r="X38" s="26" t="s">
        <v>60</v>
      </c>
      <c r="Y38" s="26"/>
      <c r="Z38" s="26"/>
      <c r="AA38" s="26"/>
      <c r="AB38" s="26"/>
      <c r="AC38" s="26" t="s">
        <v>61</v>
      </c>
      <c r="AD38" s="26"/>
      <c r="AE38" s="26"/>
      <c r="AF38" s="26"/>
      <c r="AG38" s="26"/>
      <c r="AH38" s="39" t="s">
        <v>94</v>
      </c>
      <c r="AI38" s="40"/>
      <c r="AJ38" s="40"/>
      <c r="AK38" s="40"/>
      <c r="AL38" s="41"/>
      <c r="AM38" s="47" t="s">
        <v>170</v>
      </c>
      <c r="AN38" s="48"/>
      <c r="AO38" s="48"/>
      <c r="AP38" s="48"/>
      <c r="AQ38" s="49"/>
      <c r="AR38" s="39" t="s">
        <v>62</v>
      </c>
      <c r="AS38" s="40"/>
      <c r="AT38" s="40"/>
      <c r="AU38" s="40"/>
      <c r="AV38" s="41"/>
      <c r="AW38" s="39" t="s">
        <v>63</v>
      </c>
      <c r="AX38" s="40"/>
      <c r="AY38" s="40"/>
      <c r="AZ38" s="40"/>
      <c r="BA38" s="41"/>
      <c r="BB38" s="39" t="s">
        <v>95</v>
      </c>
      <c r="BC38" s="40"/>
      <c r="BD38" s="40"/>
      <c r="BE38" s="40"/>
      <c r="BF38" s="41"/>
      <c r="BG38" s="47" t="s">
        <v>170</v>
      </c>
      <c r="BH38" s="48"/>
      <c r="BI38" s="48"/>
      <c r="BJ38" s="48"/>
      <c r="BK38" s="49"/>
      <c r="CA38" t="s">
        <v>23</v>
      </c>
    </row>
    <row r="39" spans="1:79" s="99" customFormat="1" ht="12.75" customHeight="1" x14ac:dyDescent="0.2">
      <c r="A39" s="89"/>
      <c r="B39" s="90"/>
      <c r="C39" s="90"/>
      <c r="D39" s="91"/>
      <c r="E39" s="92" t="s">
        <v>172</v>
      </c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4"/>
      <c r="X39" s="96">
        <v>1182433</v>
      </c>
      <c r="Y39" s="97"/>
      <c r="Z39" s="97"/>
      <c r="AA39" s="97"/>
      <c r="AB39" s="98"/>
      <c r="AC39" s="96" t="s">
        <v>173</v>
      </c>
      <c r="AD39" s="97"/>
      <c r="AE39" s="97"/>
      <c r="AF39" s="97"/>
      <c r="AG39" s="98"/>
      <c r="AH39" s="96" t="s">
        <v>173</v>
      </c>
      <c r="AI39" s="97"/>
      <c r="AJ39" s="97"/>
      <c r="AK39" s="97"/>
      <c r="AL39" s="98"/>
      <c r="AM39" s="96">
        <f>IF(ISNUMBER(X39),X39,0)+IF(ISNUMBER(AC39),AC39,0)</f>
        <v>1182433</v>
      </c>
      <c r="AN39" s="97"/>
      <c r="AO39" s="97"/>
      <c r="AP39" s="97"/>
      <c r="AQ39" s="98"/>
      <c r="AR39" s="96">
        <v>1251014</v>
      </c>
      <c r="AS39" s="97"/>
      <c r="AT39" s="97"/>
      <c r="AU39" s="97"/>
      <c r="AV39" s="98"/>
      <c r="AW39" s="96" t="s">
        <v>173</v>
      </c>
      <c r="AX39" s="97"/>
      <c r="AY39" s="97"/>
      <c r="AZ39" s="97"/>
      <c r="BA39" s="98"/>
      <c r="BB39" s="96" t="s">
        <v>173</v>
      </c>
      <c r="BC39" s="97"/>
      <c r="BD39" s="97"/>
      <c r="BE39" s="97"/>
      <c r="BF39" s="98"/>
      <c r="BG39" s="95">
        <f>IF(ISNUMBER(AR39),AR39,0)+IF(ISNUMBER(AW39),AW39,0)</f>
        <v>1251014</v>
      </c>
      <c r="BH39" s="95"/>
      <c r="BI39" s="95"/>
      <c r="BJ39" s="95"/>
      <c r="BK39" s="95"/>
      <c r="CA39" s="99" t="s">
        <v>24</v>
      </c>
    </row>
    <row r="40" spans="1:79" s="6" customFormat="1" ht="12.75" customHeight="1" x14ac:dyDescent="0.2">
      <c r="A40" s="86"/>
      <c r="B40" s="87"/>
      <c r="C40" s="87"/>
      <c r="D40" s="88"/>
      <c r="E40" s="100" t="s">
        <v>147</v>
      </c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2"/>
      <c r="X40" s="104">
        <v>1182433</v>
      </c>
      <c r="Y40" s="105"/>
      <c r="Z40" s="105"/>
      <c r="AA40" s="105"/>
      <c r="AB40" s="106"/>
      <c r="AC40" s="104">
        <v>0</v>
      </c>
      <c r="AD40" s="105"/>
      <c r="AE40" s="105"/>
      <c r="AF40" s="105"/>
      <c r="AG40" s="106"/>
      <c r="AH40" s="104">
        <v>0</v>
      </c>
      <c r="AI40" s="105"/>
      <c r="AJ40" s="105"/>
      <c r="AK40" s="105"/>
      <c r="AL40" s="106"/>
      <c r="AM40" s="104">
        <f>IF(ISNUMBER(X40),X40,0)+IF(ISNUMBER(AC40),AC40,0)</f>
        <v>1182433</v>
      </c>
      <c r="AN40" s="105"/>
      <c r="AO40" s="105"/>
      <c r="AP40" s="105"/>
      <c r="AQ40" s="106"/>
      <c r="AR40" s="104">
        <v>1251014</v>
      </c>
      <c r="AS40" s="105"/>
      <c r="AT40" s="105"/>
      <c r="AU40" s="105"/>
      <c r="AV40" s="106"/>
      <c r="AW40" s="104">
        <v>0</v>
      </c>
      <c r="AX40" s="105"/>
      <c r="AY40" s="105"/>
      <c r="AZ40" s="105"/>
      <c r="BA40" s="106"/>
      <c r="BB40" s="104">
        <v>0</v>
      </c>
      <c r="BC40" s="105"/>
      <c r="BD40" s="105"/>
      <c r="BE40" s="105"/>
      <c r="BF40" s="106"/>
      <c r="BG40" s="103">
        <f>IF(ISNUMBER(AR40),AR40,0)+IF(ISNUMBER(AW40),AW40,0)</f>
        <v>1251014</v>
      </c>
      <c r="BH40" s="103"/>
      <c r="BI40" s="103"/>
      <c r="BJ40" s="103"/>
      <c r="BK40" s="103"/>
    </row>
    <row r="41" spans="1:79" s="4" customFormat="1" ht="12.75" customHeight="1" x14ac:dyDescent="0.2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</row>
    <row r="43" spans="1:79" s="3" customFormat="1" ht="14.25" customHeight="1" x14ac:dyDescent="0.2">
      <c r="A43" s="29" t="s">
        <v>117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9"/>
    </row>
    <row r="44" spans="1:79" ht="14.25" customHeight="1" x14ac:dyDescent="0.2">
      <c r="A44" s="29" t="s">
        <v>221</v>
      </c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</row>
    <row r="45" spans="1:79" ht="15" customHeight="1" x14ac:dyDescent="0.2">
      <c r="A45" s="31" t="s">
        <v>208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</row>
    <row r="46" spans="1:79" ht="23.1" customHeight="1" x14ac:dyDescent="0.2">
      <c r="A46" s="61" t="s">
        <v>118</v>
      </c>
      <c r="B46" s="62"/>
      <c r="C46" s="62"/>
      <c r="D46" s="63"/>
      <c r="E46" s="27" t="s">
        <v>19</v>
      </c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36" t="s">
        <v>209</v>
      </c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8"/>
      <c r="AN46" s="36" t="s">
        <v>212</v>
      </c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8"/>
      <c r="BG46" s="36" t="s">
        <v>220</v>
      </c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8"/>
    </row>
    <row r="47" spans="1:79" ht="48.75" customHeight="1" x14ac:dyDescent="0.2">
      <c r="A47" s="64"/>
      <c r="B47" s="65"/>
      <c r="C47" s="65"/>
      <c r="D47" s="66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36" t="s">
        <v>4</v>
      </c>
      <c r="V47" s="37"/>
      <c r="W47" s="37"/>
      <c r="X47" s="37"/>
      <c r="Y47" s="38"/>
      <c r="Z47" s="36" t="s">
        <v>3</v>
      </c>
      <c r="AA47" s="37"/>
      <c r="AB47" s="37"/>
      <c r="AC47" s="37"/>
      <c r="AD47" s="38"/>
      <c r="AE47" s="57" t="s">
        <v>116</v>
      </c>
      <c r="AF47" s="58"/>
      <c r="AG47" s="58"/>
      <c r="AH47" s="59"/>
      <c r="AI47" s="36" t="s">
        <v>5</v>
      </c>
      <c r="AJ47" s="37"/>
      <c r="AK47" s="37"/>
      <c r="AL47" s="37"/>
      <c r="AM47" s="38"/>
      <c r="AN47" s="36" t="s">
        <v>4</v>
      </c>
      <c r="AO47" s="37"/>
      <c r="AP47" s="37"/>
      <c r="AQ47" s="37"/>
      <c r="AR47" s="38"/>
      <c r="AS47" s="36" t="s">
        <v>3</v>
      </c>
      <c r="AT47" s="37"/>
      <c r="AU47" s="37"/>
      <c r="AV47" s="37"/>
      <c r="AW47" s="38"/>
      <c r="AX47" s="57" t="s">
        <v>116</v>
      </c>
      <c r="AY47" s="58"/>
      <c r="AZ47" s="58"/>
      <c r="BA47" s="59"/>
      <c r="BB47" s="36" t="s">
        <v>96</v>
      </c>
      <c r="BC47" s="37"/>
      <c r="BD47" s="37"/>
      <c r="BE47" s="37"/>
      <c r="BF47" s="38"/>
      <c r="BG47" s="36" t="s">
        <v>4</v>
      </c>
      <c r="BH47" s="37"/>
      <c r="BI47" s="37"/>
      <c r="BJ47" s="37"/>
      <c r="BK47" s="38"/>
      <c r="BL47" s="36" t="s">
        <v>3</v>
      </c>
      <c r="BM47" s="37"/>
      <c r="BN47" s="37"/>
      <c r="BO47" s="37"/>
      <c r="BP47" s="38"/>
      <c r="BQ47" s="57" t="s">
        <v>116</v>
      </c>
      <c r="BR47" s="58"/>
      <c r="BS47" s="58"/>
      <c r="BT47" s="59"/>
      <c r="BU47" s="36" t="s">
        <v>97</v>
      </c>
      <c r="BV47" s="37"/>
      <c r="BW47" s="37"/>
      <c r="BX47" s="37"/>
      <c r="BY47" s="38"/>
    </row>
    <row r="48" spans="1:79" ht="15" customHeight="1" x14ac:dyDescent="0.2">
      <c r="A48" s="36">
        <v>1</v>
      </c>
      <c r="B48" s="37"/>
      <c r="C48" s="37"/>
      <c r="D48" s="38"/>
      <c r="E48" s="36">
        <v>2</v>
      </c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8"/>
      <c r="U48" s="36">
        <v>3</v>
      </c>
      <c r="V48" s="37"/>
      <c r="W48" s="37"/>
      <c r="X48" s="37"/>
      <c r="Y48" s="38"/>
      <c r="Z48" s="36">
        <v>4</v>
      </c>
      <c r="AA48" s="37"/>
      <c r="AB48" s="37"/>
      <c r="AC48" s="37"/>
      <c r="AD48" s="38"/>
      <c r="AE48" s="36">
        <v>5</v>
      </c>
      <c r="AF48" s="37"/>
      <c r="AG48" s="37"/>
      <c r="AH48" s="38"/>
      <c r="AI48" s="36">
        <v>6</v>
      </c>
      <c r="AJ48" s="37"/>
      <c r="AK48" s="37"/>
      <c r="AL48" s="37"/>
      <c r="AM48" s="38"/>
      <c r="AN48" s="36">
        <v>7</v>
      </c>
      <c r="AO48" s="37"/>
      <c r="AP48" s="37"/>
      <c r="AQ48" s="37"/>
      <c r="AR48" s="38"/>
      <c r="AS48" s="36">
        <v>8</v>
      </c>
      <c r="AT48" s="37"/>
      <c r="AU48" s="37"/>
      <c r="AV48" s="37"/>
      <c r="AW48" s="38"/>
      <c r="AX48" s="36">
        <v>9</v>
      </c>
      <c r="AY48" s="37"/>
      <c r="AZ48" s="37"/>
      <c r="BA48" s="38"/>
      <c r="BB48" s="36">
        <v>10</v>
      </c>
      <c r="BC48" s="37"/>
      <c r="BD48" s="37"/>
      <c r="BE48" s="37"/>
      <c r="BF48" s="38"/>
      <c r="BG48" s="36">
        <v>11</v>
      </c>
      <c r="BH48" s="37"/>
      <c r="BI48" s="37"/>
      <c r="BJ48" s="37"/>
      <c r="BK48" s="38"/>
      <c r="BL48" s="36">
        <v>12</v>
      </c>
      <c r="BM48" s="37"/>
      <c r="BN48" s="37"/>
      <c r="BO48" s="37"/>
      <c r="BP48" s="38"/>
      <c r="BQ48" s="36">
        <v>13</v>
      </c>
      <c r="BR48" s="37"/>
      <c r="BS48" s="37"/>
      <c r="BT48" s="38"/>
      <c r="BU48" s="36">
        <v>14</v>
      </c>
      <c r="BV48" s="37"/>
      <c r="BW48" s="37"/>
      <c r="BX48" s="37"/>
      <c r="BY48" s="38"/>
    </row>
    <row r="49" spans="1:79" s="1" customFormat="1" ht="12.75" hidden="1" customHeight="1" x14ac:dyDescent="0.2">
      <c r="A49" s="39" t="s">
        <v>64</v>
      </c>
      <c r="B49" s="40"/>
      <c r="C49" s="40"/>
      <c r="D49" s="41"/>
      <c r="E49" s="39" t="s">
        <v>57</v>
      </c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1"/>
      <c r="U49" s="39" t="s">
        <v>65</v>
      </c>
      <c r="V49" s="40"/>
      <c r="W49" s="40"/>
      <c r="X49" s="40"/>
      <c r="Y49" s="41"/>
      <c r="Z49" s="39" t="s">
        <v>66</v>
      </c>
      <c r="AA49" s="40"/>
      <c r="AB49" s="40"/>
      <c r="AC49" s="40"/>
      <c r="AD49" s="41"/>
      <c r="AE49" s="39" t="s">
        <v>91</v>
      </c>
      <c r="AF49" s="40"/>
      <c r="AG49" s="40"/>
      <c r="AH49" s="41"/>
      <c r="AI49" s="47" t="s">
        <v>169</v>
      </c>
      <c r="AJ49" s="48"/>
      <c r="AK49" s="48"/>
      <c r="AL49" s="48"/>
      <c r="AM49" s="49"/>
      <c r="AN49" s="39" t="s">
        <v>67</v>
      </c>
      <c r="AO49" s="40"/>
      <c r="AP49" s="40"/>
      <c r="AQ49" s="40"/>
      <c r="AR49" s="41"/>
      <c r="AS49" s="39" t="s">
        <v>68</v>
      </c>
      <c r="AT49" s="40"/>
      <c r="AU49" s="40"/>
      <c r="AV49" s="40"/>
      <c r="AW49" s="41"/>
      <c r="AX49" s="39" t="s">
        <v>92</v>
      </c>
      <c r="AY49" s="40"/>
      <c r="AZ49" s="40"/>
      <c r="BA49" s="41"/>
      <c r="BB49" s="47" t="s">
        <v>169</v>
      </c>
      <c r="BC49" s="48"/>
      <c r="BD49" s="48"/>
      <c r="BE49" s="48"/>
      <c r="BF49" s="49"/>
      <c r="BG49" s="39" t="s">
        <v>58</v>
      </c>
      <c r="BH49" s="40"/>
      <c r="BI49" s="40"/>
      <c r="BJ49" s="40"/>
      <c r="BK49" s="41"/>
      <c r="BL49" s="39" t="s">
        <v>59</v>
      </c>
      <c r="BM49" s="40"/>
      <c r="BN49" s="40"/>
      <c r="BO49" s="40"/>
      <c r="BP49" s="41"/>
      <c r="BQ49" s="39" t="s">
        <v>93</v>
      </c>
      <c r="BR49" s="40"/>
      <c r="BS49" s="40"/>
      <c r="BT49" s="41"/>
      <c r="BU49" s="47" t="s">
        <v>169</v>
      </c>
      <c r="BV49" s="48"/>
      <c r="BW49" s="48"/>
      <c r="BX49" s="48"/>
      <c r="BY49" s="49"/>
      <c r="CA49" t="s">
        <v>25</v>
      </c>
    </row>
    <row r="50" spans="1:79" s="99" customFormat="1" ht="12.75" customHeight="1" x14ac:dyDescent="0.2">
      <c r="A50" s="89">
        <v>2730</v>
      </c>
      <c r="B50" s="90"/>
      <c r="C50" s="90"/>
      <c r="D50" s="91"/>
      <c r="E50" s="92" t="s">
        <v>174</v>
      </c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4"/>
      <c r="U50" s="96">
        <v>192112</v>
      </c>
      <c r="V50" s="97"/>
      <c r="W50" s="97"/>
      <c r="X50" s="97"/>
      <c r="Y50" s="98"/>
      <c r="Z50" s="96">
        <v>0</v>
      </c>
      <c r="AA50" s="97"/>
      <c r="AB50" s="97"/>
      <c r="AC50" s="97"/>
      <c r="AD50" s="98"/>
      <c r="AE50" s="96">
        <v>0</v>
      </c>
      <c r="AF50" s="97"/>
      <c r="AG50" s="97"/>
      <c r="AH50" s="98"/>
      <c r="AI50" s="96">
        <f>IF(ISNUMBER(U50),U50,0)+IF(ISNUMBER(Z50),Z50,0)</f>
        <v>192112</v>
      </c>
      <c r="AJ50" s="97"/>
      <c r="AK50" s="97"/>
      <c r="AL50" s="97"/>
      <c r="AM50" s="98"/>
      <c r="AN50" s="96">
        <v>590672</v>
      </c>
      <c r="AO50" s="97"/>
      <c r="AP50" s="97"/>
      <c r="AQ50" s="97"/>
      <c r="AR50" s="98"/>
      <c r="AS50" s="96">
        <v>0</v>
      </c>
      <c r="AT50" s="97"/>
      <c r="AU50" s="97"/>
      <c r="AV50" s="97"/>
      <c r="AW50" s="98"/>
      <c r="AX50" s="96">
        <v>0</v>
      </c>
      <c r="AY50" s="97"/>
      <c r="AZ50" s="97"/>
      <c r="BA50" s="98"/>
      <c r="BB50" s="96">
        <f>IF(ISNUMBER(AN50),AN50,0)+IF(ISNUMBER(AS50),AS50,0)</f>
        <v>590672</v>
      </c>
      <c r="BC50" s="97"/>
      <c r="BD50" s="97"/>
      <c r="BE50" s="97"/>
      <c r="BF50" s="98"/>
      <c r="BG50" s="96">
        <v>1105078</v>
      </c>
      <c r="BH50" s="97"/>
      <c r="BI50" s="97"/>
      <c r="BJ50" s="97"/>
      <c r="BK50" s="98"/>
      <c r="BL50" s="96">
        <v>0</v>
      </c>
      <c r="BM50" s="97"/>
      <c r="BN50" s="97"/>
      <c r="BO50" s="97"/>
      <c r="BP50" s="98"/>
      <c r="BQ50" s="96">
        <v>0</v>
      </c>
      <c r="BR50" s="97"/>
      <c r="BS50" s="97"/>
      <c r="BT50" s="98"/>
      <c r="BU50" s="96">
        <f>IF(ISNUMBER(BG50),BG50,0)+IF(ISNUMBER(BL50),BL50,0)</f>
        <v>1105078</v>
      </c>
      <c r="BV50" s="97"/>
      <c r="BW50" s="97"/>
      <c r="BX50" s="97"/>
      <c r="BY50" s="98"/>
      <c r="CA50" s="99" t="s">
        <v>26</v>
      </c>
    </row>
    <row r="51" spans="1:79" s="6" customFormat="1" ht="12.75" customHeight="1" x14ac:dyDescent="0.2">
      <c r="A51" s="86"/>
      <c r="B51" s="87"/>
      <c r="C51" s="87"/>
      <c r="D51" s="88"/>
      <c r="E51" s="100" t="s">
        <v>147</v>
      </c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2"/>
      <c r="U51" s="104">
        <v>192112</v>
      </c>
      <c r="V51" s="105"/>
      <c r="W51" s="105"/>
      <c r="X51" s="105"/>
      <c r="Y51" s="106"/>
      <c r="Z51" s="104">
        <v>0</v>
      </c>
      <c r="AA51" s="105"/>
      <c r="AB51" s="105"/>
      <c r="AC51" s="105"/>
      <c r="AD51" s="106"/>
      <c r="AE51" s="104">
        <v>0</v>
      </c>
      <c r="AF51" s="105"/>
      <c r="AG51" s="105"/>
      <c r="AH51" s="106"/>
      <c r="AI51" s="104">
        <f>IF(ISNUMBER(U51),U51,0)+IF(ISNUMBER(Z51),Z51,0)</f>
        <v>192112</v>
      </c>
      <c r="AJ51" s="105"/>
      <c r="AK51" s="105"/>
      <c r="AL51" s="105"/>
      <c r="AM51" s="106"/>
      <c r="AN51" s="104">
        <v>590672</v>
      </c>
      <c r="AO51" s="105"/>
      <c r="AP51" s="105"/>
      <c r="AQ51" s="105"/>
      <c r="AR51" s="106"/>
      <c r="AS51" s="104">
        <v>0</v>
      </c>
      <c r="AT51" s="105"/>
      <c r="AU51" s="105"/>
      <c r="AV51" s="105"/>
      <c r="AW51" s="106"/>
      <c r="AX51" s="104">
        <v>0</v>
      </c>
      <c r="AY51" s="105"/>
      <c r="AZ51" s="105"/>
      <c r="BA51" s="106"/>
      <c r="BB51" s="104">
        <f>IF(ISNUMBER(AN51),AN51,0)+IF(ISNUMBER(AS51),AS51,0)</f>
        <v>590672</v>
      </c>
      <c r="BC51" s="105"/>
      <c r="BD51" s="105"/>
      <c r="BE51" s="105"/>
      <c r="BF51" s="106"/>
      <c r="BG51" s="104">
        <v>1105078</v>
      </c>
      <c r="BH51" s="105"/>
      <c r="BI51" s="105"/>
      <c r="BJ51" s="105"/>
      <c r="BK51" s="106"/>
      <c r="BL51" s="104">
        <v>0</v>
      </c>
      <c r="BM51" s="105"/>
      <c r="BN51" s="105"/>
      <c r="BO51" s="105"/>
      <c r="BP51" s="106"/>
      <c r="BQ51" s="104">
        <v>0</v>
      </c>
      <c r="BR51" s="105"/>
      <c r="BS51" s="105"/>
      <c r="BT51" s="106"/>
      <c r="BU51" s="104">
        <f>IF(ISNUMBER(BG51),BG51,0)+IF(ISNUMBER(BL51),BL51,0)</f>
        <v>1105078</v>
      </c>
      <c r="BV51" s="105"/>
      <c r="BW51" s="105"/>
      <c r="BX51" s="105"/>
      <c r="BY51" s="106"/>
    </row>
    <row r="53" spans="1:79" ht="14.25" customHeight="1" x14ac:dyDescent="0.2">
      <c r="A53" s="29" t="s">
        <v>222</v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</row>
    <row r="54" spans="1:79" ht="15" customHeight="1" x14ac:dyDescent="0.2">
      <c r="A54" s="44" t="s">
        <v>208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</row>
    <row r="55" spans="1:79" ht="23.1" customHeight="1" x14ac:dyDescent="0.2">
      <c r="A55" s="61" t="s">
        <v>119</v>
      </c>
      <c r="B55" s="62"/>
      <c r="C55" s="62"/>
      <c r="D55" s="62"/>
      <c r="E55" s="63"/>
      <c r="F55" s="27" t="s">
        <v>19</v>
      </c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36" t="s">
        <v>209</v>
      </c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8"/>
      <c r="AN55" s="36" t="s">
        <v>212</v>
      </c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8"/>
      <c r="BG55" s="36" t="s">
        <v>220</v>
      </c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  <c r="BX55" s="37"/>
      <c r="BY55" s="38"/>
    </row>
    <row r="56" spans="1:79" ht="51.75" customHeight="1" x14ac:dyDescent="0.2">
      <c r="A56" s="64"/>
      <c r="B56" s="65"/>
      <c r="C56" s="65"/>
      <c r="D56" s="65"/>
      <c r="E56" s="66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36" t="s">
        <v>4</v>
      </c>
      <c r="V56" s="37"/>
      <c r="W56" s="37"/>
      <c r="X56" s="37"/>
      <c r="Y56" s="38"/>
      <c r="Z56" s="36" t="s">
        <v>3</v>
      </c>
      <c r="AA56" s="37"/>
      <c r="AB56" s="37"/>
      <c r="AC56" s="37"/>
      <c r="AD56" s="38"/>
      <c r="AE56" s="57" t="s">
        <v>116</v>
      </c>
      <c r="AF56" s="58"/>
      <c r="AG56" s="58"/>
      <c r="AH56" s="59"/>
      <c r="AI56" s="36" t="s">
        <v>5</v>
      </c>
      <c r="AJ56" s="37"/>
      <c r="AK56" s="37"/>
      <c r="AL56" s="37"/>
      <c r="AM56" s="38"/>
      <c r="AN56" s="36" t="s">
        <v>4</v>
      </c>
      <c r="AO56" s="37"/>
      <c r="AP56" s="37"/>
      <c r="AQ56" s="37"/>
      <c r="AR56" s="38"/>
      <c r="AS56" s="36" t="s">
        <v>3</v>
      </c>
      <c r="AT56" s="37"/>
      <c r="AU56" s="37"/>
      <c r="AV56" s="37"/>
      <c r="AW56" s="38"/>
      <c r="AX56" s="57" t="s">
        <v>116</v>
      </c>
      <c r="AY56" s="58"/>
      <c r="AZ56" s="58"/>
      <c r="BA56" s="59"/>
      <c r="BB56" s="36" t="s">
        <v>96</v>
      </c>
      <c r="BC56" s="37"/>
      <c r="BD56" s="37"/>
      <c r="BE56" s="37"/>
      <c r="BF56" s="38"/>
      <c r="BG56" s="36" t="s">
        <v>4</v>
      </c>
      <c r="BH56" s="37"/>
      <c r="BI56" s="37"/>
      <c r="BJ56" s="37"/>
      <c r="BK56" s="38"/>
      <c r="BL56" s="36" t="s">
        <v>3</v>
      </c>
      <c r="BM56" s="37"/>
      <c r="BN56" s="37"/>
      <c r="BO56" s="37"/>
      <c r="BP56" s="38"/>
      <c r="BQ56" s="57" t="s">
        <v>116</v>
      </c>
      <c r="BR56" s="58"/>
      <c r="BS56" s="58"/>
      <c r="BT56" s="59"/>
      <c r="BU56" s="27" t="s">
        <v>97</v>
      </c>
      <c r="BV56" s="27"/>
      <c r="BW56" s="27"/>
      <c r="BX56" s="27"/>
      <c r="BY56" s="27"/>
    </row>
    <row r="57" spans="1:79" ht="15" customHeight="1" x14ac:dyDescent="0.2">
      <c r="A57" s="36">
        <v>1</v>
      </c>
      <c r="B57" s="37"/>
      <c r="C57" s="37"/>
      <c r="D57" s="37"/>
      <c r="E57" s="38"/>
      <c r="F57" s="36">
        <v>2</v>
      </c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8"/>
      <c r="U57" s="36">
        <v>3</v>
      </c>
      <c r="V57" s="37"/>
      <c r="W57" s="37"/>
      <c r="X57" s="37"/>
      <c r="Y57" s="38"/>
      <c r="Z57" s="36">
        <v>4</v>
      </c>
      <c r="AA57" s="37"/>
      <c r="AB57" s="37"/>
      <c r="AC57" s="37"/>
      <c r="AD57" s="38"/>
      <c r="AE57" s="36">
        <v>5</v>
      </c>
      <c r="AF57" s="37"/>
      <c r="AG57" s="37"/>
      <c r="AH57" s="38"/>
      <c r="AI57" s="36">
        <v>6</v>
      </c>
      <c r="AJ57" s="37"/>
      <c r="AK57" s="37"/>
      <c r="AL57" s="37"/>
      <c r="AM57" s="38"/>
      <c r="AN57" s="36">
        <v>7</v>
      </c>
      <c r="AO57" s="37"/>
      <c r="AP57" s="37"/>
      <c r="AQ57" s="37"/>
      <c r="AR57" s="38"/>
      <c r="AS57" s="36">
        <v>8</v>
      </c>
      <c r="AT57" s="37"/>
      <c r="AU57" s="37"/>
      <c r="AV57" s="37"/>
      <c r="AW57" s="38"/>
      <c r="AX57" s="36">
        <v>9</v>
      </c>
      <c r="AY57" s="37"/>
      <c r="AZ57" s="37"/>
      <c r="BA57" s="38"/>
      <c r="BB57" s="36">
        <v>10</v>
      </c>
      <c r="BC57" s="37"/>
      <c r="BD57" s="37"/>
      <c r="BE57" s="37"/>
      <c r="BF57" s="38"/>
      <c r="BG57" s="36">
        <v>11</v>
      </c>
      <c r="BH57" s="37"/>
      <c r="BI57" s="37"/>
      <c r="BJ57" s="37"/>
      <c r="BK57" s="38"/>
      <c r="BL57" s="36">
        <v>12</v>
      </c>
      <c r="BM57" s="37"/>
      <c r="BN57" s="37"/>
      <c r="BO57" s="37"/>
      <c r="BP57" s="38"/>
      <c r="BQ57" s="36">
        <v>13</v>
      </c>
      <c r="BR57" s="37"/>
      <c r="BS57" s="37"/>
      <c r="BT57" s="38"/>
      <c r="BU57" s="27">
        <v>14</v>
      </c>
      <c r="BV57" s="27"/>
      <c r="BW57" s="27"/>
      <c r="BX57" s="27"/>
      <c r="BY57" s="27"/>
    </row>
    <row r="58" spans="1:79" s="1" customFormat="1" ht="13.5" hidden="1" customHeight="1" x14ac:dyDescent="0.2">
      <c r="A58" s="39" t="s">
        <v>64</v>
      </c>
      <c r="B58" s="40"/>
      <c r="C58" s="40"/>
      <c r="D58" s="40"/>
      <c r="E58" s="41"/>
      <c r="F58" s="39" t="s">
        <v>57</v>
      </c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1"/>
      <c r="U58" s="39" t="s">
        <v>65</v>
      </c>
      <c r="V58" s="40"/>
      <c r="W58" s="40"/>
      <c r="X58" s="40"/>
      <c r="Y58" s="41"/>
      <c r="Z58" s="39" t="s">
        <v>66</v>
      </c>
      <c r="AA58" s="40"/>
      <c r="AB58" s="40"/>
      <c r="AC58" s="40"/>
      <c r="AD58" s="41"/>
      <c r="AE58" s="39" t="s">
        <v>91</v>
      </c>
      <c r="AF58" s="40"/>
      <c r="AG58" s="40"/>
      <c r="AH58" s="41"/>
      <c r="AI58" s="47" t="s">
        <v>169</v>
      </c>
      <c r="AJ58" s="48"/>
      <c r="AK58" s="48"/>
      <c r="AL58" s="48"/>
      <c r="AM58" s="49"/>
      <c r="AN58" s="39" t="s">
        <v>67</v>
      </c>
      <c r="AO58" s="40"/>
      <c r="AP58" s="40"/>
      <c r="AQ58" s="40"/>
      <c r="AR58" s="41"/>
      <c r="AS58" s="39" t="s">
        <v>68</v>
      </c>
      <c r="AT58" s="40"/>
      <c r="AU58" s="40"/>
      <c r="AV58" s="40"/>
      <c r="AW58" s="41"/>
      <c r="AX58" s="39" t="s">
        <v>92</v>
      </c>
      <c r="AY58" s="40"/>
      <c r="AZ58" s="40"/>
      <c r="BA58" s="41"/>
      <c r="BB58" s="47" t="s">
        <v>169</v>
      </c>
      <c r="BC58" s="48"/>
      <c r="BD58" s="48"/>
      <c r="BE58" s="48"/>
      <c r="BF58" s="49"/>
      <c r="BG58" s="39" t="s">
        <v>58</v>
      </c>
      <c r="BH58" s="40"/>
      <c r="BI58" s="40"/>
      <c r="BJ58" s="40"/>
      <c r="BK58" s="41"/>
      <c r="BL58" s="39" t="s">
        <v>59</v>
      </c>
      <c r="BM58" s="40"/>
      <c r="BN58" s="40"/>
      <c r="BO58" s="40"/>
      <c r="BP58" s="41"/>
      <c r="BQ58" s="39" t="s">
        <v>93</v>
      </c>
      <c r="BR58" s="40"/>
      <c r="BS58" s="40"/>
      <c r="BT58" s="41"/>
      <c r="BU58" s="50" t="s">
        <v>169</v>
      </c>
      <c r="BV58" s="50"/>
      <c r="BW58" s="50"/>
      <c r="BX58" s="50"/>
      <c r="BY58" s="50"/>
      <c r="CA58" t="s">
        <v>27</v>
      </c>
    </row>
    <row r="59" spans="1:79" s="6" customFormat="1" ht="12.75" customHeight="1" x14ac:dyDescent="0.2">
      <c r="A59" s="86"/>
      <c r="B59" s="87"/>
      <c r="C59" s="87"/>
      <c r="D59" s="87"/>
      <c r="E59" s="88"/>
      <c r="F59" s="86" t="s">
        <v>147</v>
      </c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8"/>
      <c r="U59" s="104"/>
      <c r="V59" s="105"/>
      <c r="W59" s="105"/>
      <c r="X59" s="105"/>
      <c r="Y59" s="106"/>
      <c r="Z59" s="104"/>
      <c r="AA59" s="105"/>
      <c r="AB59" s="105"/>
      <c r="AC59" s="105"/>
      <c r="AD59" s="106"/>
      <c r="AE59" s="104"/>
      <c r="AF59" s="105"/>
      <c r="AG59" s="105"/>
      <c r="AH59" s="106"/>
      <c r="AI59" s="104">
        <f>IF(ISNUMBER(U59),U59,0)+IF(ISNUMBER(Z59),Z59,0)</f>
        <v>0</v>
      </c>
      <c r="AJ59" s="105"/>
      <c r="AK59" s="105"/>
      <c r="AL59" s="105"/>
      <c r="AM59" s="106"/>
      <c r="AN59" s="104"/>
      <c r="AO59" s="105"/>
      <c r="AP59" s="105"/>
      <c r="AQ59" s="105"/>
      <c r="AR59" s="106"/>
      <c r="AS59" s="104"/>
      <c r="AT59" s="105"/>
      <c r="AU59" s="105"/>
      <c r="AV59" s="105"/>
      <c r="AW59" s="106"/>
      <c r="AX59" s="104"/>
      <c r="AY59" s="105"/>
      <c r="AZ59" s="105"/>
      <c r="BA59" s="106"/>
      <c r="BB59" s="104">
        <f>IF(ISNUMBER(AN59),AN59,0)+IF(ISNUMBER(AS59),AS59,0)</f>
        <v>0</v>
      </c>
      <c r="BC59" s="105"/>
      <c r="BD59" s="105"/>
      <c r="BE59" s="105"/>
      <c r="BF59" s="106"/>
      <c r="BG59" s="104"/>
      <c r="BH59" s="105"/>
      <c r="BI59" s="105"/>
      <c r="BJ59" s="105"/>
      <c r="BK59" s="106"/>
      <c r="BL59" s="104"/>
      <c r="BM59" s="105"/>
      <c r="BN59" s="105"/>
      <c r="BO59" s="105"/>
      <c r="BP59" s="106"/>
      <c r="BQ59" s="104"/>
      <c r="BR59" s="105"/>
      <c r="BS59" s="105"/>
      <c r="BT59" s="106"/>
      <c r="BU59" s="104">
        <f>IF(ISNUMBER(BG59),BG59,0)+IF(ISNUMBER(BL59),BL59,0)</f>
        <v>0</v>
      </c>
      <c r="BV59" s="105"/>
      <c r="BW59" s="105"/>
      <c r="BX59" s="105"/>
      <c r="BY59" s="106"/>
      <c r="CA59" s="6" t="s">
        <v>28</v>
      </c>
    </row>
    <row r="61" spans="1:79" ht="14.25" customHeight="1" x14ac:dyDescent="0.2">
      <c r="A61" s="29" t="s">
        <v>236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</row>
    <row r="62" spans="1:79" ht="15" customHeight="1" x14ac:dyDescent="0.2">
      <c r="A62" s="44" t="s">
        <v>208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  <c r="BF62" s="44"/>
      <c r="BG62" s="44"/>
      <c r="BH62" s="44"/>
      <c r="BI62" s="44"/>
      <c r="BJ62" s="44"/>
      <c r="BK62" s="44"/>
    </row>
    <row r="63" spans="1:79" ht="23.1" customHeight="1" x14ac:dyDescent="0.2">
      <c r="A63" s="61" t="s">
        <v>118</v>
      </c>
      <c r="B63" s="62"/>
      <c r="C63" s="62"/>
      <c r="D63" s="63"/>
      <c r="E63" s="51" t="s">
        <v>19</v>
      </c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3"/>
      <c r="X63" s="36" t="s">
        <v>230</v>
      </c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8"/>
      <c r="AR63" s="27" t="s">
        <v>235</v>
      </c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</row>
    <row r="64" spans="1:79" ht="48.75" customHeight="1" x14ac:dyDescent="0.2">
      <c r="A64" s="64"/>
      <c r="B64" s="65"/>
      <c r="C64" s="65"/>
      <c r="D64" s="66"/>
      <c r="E64" s="54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6"/>
      <c r="X64" s="51" t="s">
        <v>4</v>
      </c>
      <c r="Y64" s="52"/>
      <c r="Z64" s="52"/>
      <c r="AA64" s="52"/>
      <c r="AB64" s="53"/>
      <c r="AC64" s="51" t="s">
        <v>3</v>
      </c>
      <c r="AD64" s="52"/>
      <c r="AE64" s="52"/>
      <c r="AF64" s="52"/>
      <c r="AG64" s="53"/>
      <c r="AH64" s="57" t="s">
        <v>116</v>
      </c>
      <c r="AI64" s="58"/>
      <c r="AJ64" s="58"/>
      <c r="AK64" s="58"/>
      <c r="AL64" s="59"/>
      <c r="AM64" s="36" t="s">
        <v>5</v>
      </c>
      <c r="AN64" s="37"/>
      <c r="AO64" s="37"/>
      <c r="AP64" s="37"/>
      <c r="AQ64" s="38"/>
      <c r="AR64" s="36" t="s">
        <v>4</v>
      </c>
      <c r="AS64" s="37"/>
      <c r="AT64" s="37"/>
      <c r="AU64" s="37"/>
      <c r="AV64" s="38"/>
      <c r="AW64" s="36" t="s">
        <v>3</v>
      </c>
      <c r="AX64" s="37"/>
      <c r="AY64" s="37"/>
      <c r="AZ64" s="37"/>
      <c r="BA64" s="38"/>
      <c r="BB64" s="57" t="s">
        <v>116</v>
      </c>
      <c r="BC64" s="58"/>
      <c r="BD64" s="58"/>
      <c r="BE64" s="58"/>
      <c r="BF64" s="59"/>
      <c r="BG64" s="36" t="s">
        <v>96</v>
      </c>
      <c r="BH64" s="37"/>
      <c r="BI64" s="37"/>
      <c r="BJ64" s="37"/>
      <c r="BK64" s="38"/>
    </row>
    <row r="65" spans="1:79" ht="12.75" customHeight="1" x14ac:dyDescent="0.2">
      <c r="A65" s="36">
        <v>1</v>
      </c>
      <c r="B65" s="37"/>
      <c r="C65" s="37"/>
      <c r="D65" s="38"/>
      <c r="E65" s="36">
        <v>2</v>
      </c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8"/>
      <c r="X65" s="36">
        <v>3</v>
      </c>
      <c r="Y65" s="37"/>
      <c r="Z65" s="37"/>
      <c r="AA65" s="37"/>
      <c r="AB65" s="38"/>
      <c r="AC65" s="36">
        <v>4</v>
      </c>
      <c r="AD65" s="37"/>
      <c r="AE65" s="37"/>
      <c r="AF65" s="37"/>
      <c r="AG65" s="38"/>
      <c r="AH65" s="36">
        <v>5</v>
      </c>
      <c r="AI65" s="37"/>
      <c r="AJ65" s="37"/>
      <c r="AK65" s="37"/>
      <c r="AL65" s="38"/>
      <c r="AM65" s="36">
        <v>6</v>
      </c>
      <c r="AN65" s="37"/>
      <c r="AO65" s="37"/>
      <c r="AP65" s="37"/>
      <c r="AQ65" s="38"/>
      <c r="AR65" s="36">
        <v>7</v>
      </c>
      <c r="AS65" s="37"/>
      <c r="AT65" s="37"/>
      <c r="AU65" s="37"/>
      <c r="AV65" s="38"/>
      <c r="AW65" s="36">
        <v>8</v>
      </c>
      <c r="AX65" s="37"/>
      <c r="AY65" s="37"/>
      <c r="AZ65" s="37"/>
      <c r="BA65" s="38"/>
      <c r="BB65" s="36">
        <v>9</v>
      </c>
      <c r="BC65" s="37"/>
      <c r="BD65" s="37"/>
      <c r="BE65" s="37"/>
      <c r="BF65" s="38"/>
      <c r="BG65" s="36">
        <v>10</v>
      </c>
      <c r="BH65" s="37"/>
      <c r="BI65" s="37"/>
      <c r="BJ65" s="37"/>
      <c r="BK65" s="38"/>
    </row>
    <row r="66" spans="1:79" s="1" customFormat="1" ht="12.75" hidden="1" customHeight="1" x14ac:dyDescent="0.2">
      <c r="A66" s="39" t="s">
        <v>64</v>
      </c>
      <c r="B66" s="40"/>
      <c r="C66" s="40"/>
      <c r="D66" s="41"/>
      <c r="E66" s="39" t="s">
        <v>57</v>
      </c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1"/>
      <c r="X66" s="68" t="s">
        <v>60</v>
      </c>
      <c r="Y66" s="69"/>
      <c r="Z66" s="69"/>
      <c r="AA66" s="69"/>
      <c r="AB66" s="70"/>
      <c r="AC66" s="68" t="s">
        <v>61</v>
      </c>
      <c r="AD66" s="69"/>
      <c r="AE66" s="69"/>
      <c r="AF66" s="69"/>
      <c r="AG66" s="70"/>
      <c r="AH66" s="39" t="s">
        <v>94</v>
      </c>
      <c r="AI66" s="40"/>
      <c r="AJ66" s="40"/>
      <c r="AK66" s="40"/>
      <c r="AL66" s="41"/>
      <c r="AM66" s="47" t="s">
        <v>170</v>
      </c>
      <c r="AN66" s="48"/>
      <c r="AO66" s="48"/>
      <c r="AP66" s="48"/>
      <c r="AQ66" s="49"/>
      <c r="AR66" s="39" t="s">
        <v>62</v>
      </c>
      <c r="AS66" s="40"/>
      <c r="AT66" s="40"/>
      <c r="AU66" s="40"/>
      <c r="AV66" s="41"/>
      <c r="AW66" s="39" t="s">
        <v>63</v>
      </c>
      <c r="AX66" s="40"/>
      <c r="AY66" s="40"/>
      <c r="AZ66" s="40"/>
      <c r="BA66" s="41"/>
      <c r="BB66" s="39" t="s">
        <v>95</v>
      </c>
      <c r="BC66" s="40"/>
      <c r="BD66" s="40"/>
      <c r="BE66" s="40"/>
      <c r="BF66" s="41"/>
      <c r="BG66" s="47" t="s">
        <v>170</v>
      </c>
      <c r="BH66" s="48"/>
      <c r="BI66" s="48"/>
      <c r="BJ66" s="48"/>
      <c r="BK66" s="49"/>
      <c r="CA66" t="s">
        <v>29</v>
      </c>
    </row>
    <row r="67" spans="1:79" s="99" customFormat="1" ht="12.75" customHeight="1" x14ac:dyDescent="0.2">
      <c r="A67" s="89">
        <v>2730</v>
      </c>
      <c r="B67" s="90"/>
      <c r="C67" s="90"/>
      <c r="D67" s="91"/>
      <c r="E67" s="92" t="s">
        <v>174</v>
      </c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4"/>
      <c r="X67" s="96">
        <v>1182433</v>
      </c>
      <c r="Y67" s="97"/>
      <c r="Z67" s="97"/>
      <c r="AA67" s="97"/>
      <c r="AB67" s="98"/>
      <c r="AC67" s="96">
        <v>0</v>
      </c>
      <c r="AD67" s="97"/>
      <c r="AE67" s="97"/>
      <c r="AF67" s="97"/>
      <c r="AG67" s="98"/>
      <c r="AH67" s="96">
        <v>0</v>
      </c>
      <c r="AI67" s="97"/>
      <c r="AJ67" s="97"/>
      <c r="AK67" s="97"/>
      <c r="AL67" s="98"/>
      <c r="AM67" s="96">
        <f>IF(ISNUMBER(X67),X67,0)+IF(ISNUMBER(AC67),AC67,0)</f>
        <v>1182433</v>
      </c>
      <c r="AN67" s="97"/>
      <c r="AO67" s="97"/>
      <c r="AP67" s="97"/>
      <c r="AQ67" s="98"/>
      <c r="AR67" s="96">
        <v>1251014</v>
      </c>
      <c r="AS67" s="97"/>
      <c r="AT67" s="97"/>
      <c r="AU67" s="97"/>
      <c r="AV67" s="98"/>
      <c r="AW67" s="96">
        <v>0</v>
      </c>
      <c r="AX67" s="97"/>
      <c r="AY67" s="97"/>
      <c r="AZ67" s="97"/>
      <c r="BA67" s="98"/>
      <c r="BB67" s="96">
        <v>0</v>
      </c>
      <c r="BC67" s="97"/>
      <c r="BD67" s="97"/>
      <c r="BE67" s="97"/>
      <c r="BF67" s="98"/>
      <c r="BG67" s="95">
        <f>IF(ISNUMBER(AR67),AR67,0)+IF(ISNUMBER(AW67),AW67,0)</f>
        <v>1251014</v>
      </c>
      <c r="BH67" s="95"/>
      <c r="BI67" s="95"/>
      <c r="BJ67" s="95"/>
      <c r="BK67" s="95"/>
      <c r="CA67" s="99" t="s">
        <v>30</v>
      </c>
    </row>
    <row r="68" spans="1:79" s="6" customFormat="1" ht="12.75" customHeight="1" x14ac:dyDescent="0.2">
      <c r="A68" s="86"/>
      <c r="B68" s="87"/>
      <c r="C68" s="87"/>
      <c r="D68" s="88"/>
      <c r="E68" s="100" t="s">
        <v>147</v>
      </c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2"/>
      <c r="X68" s="104">
        <v>1182433</v>
      </c>
      <c r="Y68" s="105"/>
      <c r="Z68" s="105"/>
      <c r="AA68" s="105"/>
      <c r="AB68" s="106"/>
      <c r="AC68" s="104">
        <v>0</v>
      </c>
      <c r="AD68" s="105"/>
      <c r="AE68" s="105"/>
      <c r="AF68" s="105"/>
      <c r="AG68" s="106"/>
      <c r="AH68" s="104">
        <v>0</v>
      </c>
      <c r="AI68" s="105"/>
      <c r="AJ68" s="105"/>
      <c r="AK68" s="105"/>
      <c r="AL68" s="106"/>
      <c r="AM68" s="104">
        <f>IF(ISNUMBER(X68),X68,0)+IF(ISNUMBER(AC68),AC68,0)</f>
        <v>1182433</v>
      </c>
      <c r="AN68" s="105"/>
      <c r="AO68" s="105"/>
      <c r="AP68" s="105"/>
      <c r="AQ68" s="106"/>
      <c r="AR68" s="104">
        <v>1251014</v>
      </c>
      <c r="AS68" s="105"/>
      <c r="AT68" s="105"/>
      <c r="AU68" s="105"/>
      <c r="AV68" s="106"/>
      <c r="AW68" s="104">
        <v>0</v>
      </c>
      <c r="AX68" s="105"/>
      <c r="AY68" s="105"/>
      <c r="AZ68" s="105"/>
      <c r="BA68" s="106"/>
      <c r="BB68" s="104">
        <v>0</v>
      </c>
      <c r="BC68" s="105"/>
      <c r="BD68" s="105"/>
      <c r="BE68" s="105"/>
      <c r="BF68" s="106"/>
      <c r="BG68" s="103">
        <f>IF(ISNUMBER(AR68),AR68,0)+IF(ISNUMBER(AW68),AW68,0)</f>
        <v>1251014</v>
      </c>
      <c r="BH68" s="103"/>
      <c r="BI68" s="103"/>
      <c r="BJ68" s="103"/>
      <c r="BK68" s="103"/>
    </row>
    <row r="70" spans="1:79" ht="14.25" customHeight="1" x14ac:dyDescent="0.2">
      <c r="A70" s="29" t="s">
        <v>237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</row>
    <row r="71" spans="1:79" ht="15" customHeight="1" x14ac:dyDescent="0.2">
      <c r="A71" s="44" t="s">
        <v>208</v>
      </c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/>
      <c r="BK71" s="44"/>
    </row>
    <row r="72" spans="1:79" ht="23.1" customHeight="1" x14ac:dyDescent="0.2">
      <c r="A72" s="61" t="s">
        <v>119</v>
      </c>
      <c r="B72" s="62"/>
      <c r="C72" s="62"/>
      <c r="D72" s="62"/>
      <c r="E72" s="63"/>
      <c r="F72" s="51" t="s">
        <v>19</v>
      </c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3"/>
      <c r="X72" s="27" t="s">
        <v>230</v>
      </c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36" t="s">
        <v>235</v>
      </c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  <c r="BJ72" s="37"/>
      <c r="BK72" s="38"/>
    </row>
    <row r="73" spans="1:79" ht="53.25" customHeight="1" x14ac:dyDescent="0.2">
      <c r="A73" s="64"/>
      <c r="B73" s="65"/>
      <c r="C73" s="65"/>
      <c r="D73" s="65"/>
      <c r="E73" s="66"/>
      <c r="F73" s="54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6"/>
      <c r="X73" s="36" t="s">
        <v>4</v>
      </c>
      <c r="Y73" s="37"/>
      <c r="Z73" s="37"/>
      <c r="AA73" s="37"/>
      <c r="AB73" s="38"/>
      <c r="AC73" s="36" t="s">
        <v>3</v>
      </c>
      <c r="AD73" s="37"/>
      <c r="AE73" s="37"/>
      <c r="AF73" s="37"/>
      <c r="AG73" s="38"/>
      <c r="AH73" s="57" t="s">
        <v>116</v>
      </c>
      <c r="AI73" s="58"/>
      <c r="AJ73" s="58"/>
      <c r="AK73" s="58"/>
      <c r="AL73" s="59"/>
      <c r="AM73" s="36" t="s">
        <v>5</v>
      </c>
      <c r="AN73" s="37"/>
      <c r="AO73" s="37"/>
      <c r="AP73" s="37"/>
      <c r="AQ73" s="38"/>
      <c r="AR73" s="36" t="s">
        <v>4</v>
      </c>
      <c r="AS73" s="37"/>
      <c r="AT73" s="37"/>
      <c r="AU73" s="37"/>
      <c r="AV73" s="38"/>
      <c r="AW73" s="36" t="s">
        <v>3</v>
      </c>
      <c r="AX73" s="37"/>
      <c r="AY73" s="37"/>
      <c r="AZ73" s="37"/>
      <c r="BA73" s="38"/>
      <c r="BB73" s="74" t="s">
        <v>116</v>
      </c>
      <c r="BC73" s="74"/>
      <c r="BD73" s="74"/>
      <c r="BE73" s="74"/>
      <c r="BF73" s="74"/>
      <c r="BG73" s="36" t="s">
        <v>96</v>
      </c>
      <c r="BH73" s="37"/>
      <c r="BI73" s="37"/>
      <c r="BJ73" s="37"/>
      <c r="BK73" s="38"/>
    </row>
    <row r="74" spans="1:79" ht="15" customHeight="1" x14ac:dyDescent="0.2">
      <c r="A74" s="36">
        <v>1</v>
      </c>
      <c r="B74" s="37"/>
      <c r="C74" s="37"/>
      <c r="D74" s="37"/>
      <c r="E74" s="38"/>
      <c r="F74" s="36">
        <v>2</v>
      </c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8"/>
      <c r="X74" s="36">
        <v>3</v>
      </c>
      <c r="Y74" s="37"/>
      <c r="Z74" s="37"/>
      <c r="AA74" s="37"/>
      <c r="AB74" s="38"/>
      <c r="AC74" s="36">
        <v>4</v>
      </c>
      <c r="AD74" s="37"/>
      <c r="AE74" s="37"/>
      <c r="AF74" s="37"/>
      <c r="AG74" s="38"/>
      <c r="AH74" s="36">
        <v>5</v>
      </c>
      <c r="AI74" s="37"/>
      <c r="AJ74" s="37"/>
      <c r="AK74" s="37"/>
      <c r="AL74" s="38"/>
      <c r="AM74" s="36">
        <v>6</v>
      </c>
      <c r="AN74" s="37"/>
      <c r="AO74" s="37"/>
      <c r="AP74" s="37"/>
      <c r="AQ74" s="38"/>
      <c r="AR74" s="36">
        <v>7</v>
      </c>
      <c r="AS74" s="37"/>
      <c r="AT74" s="37"/>
      <c r="AU74" s="37"/>
      <c r="AV74" s="38"/>
      <c r="AW74" s="36">
        <v>8</v>
      </c>
      <c r="AX74" s="37"/>
      <c r="AY74" s="37"/>
      <c r="AZ74" s="37"/>
      <c r="BA74" s="38"/>
      <c r="BB74" s="36">
        <v>9</v>
      </c>
      <c r="BC74" s="37"/>
      <c r="BD74" s="37"/>
      <c r="BE74" s="37"/>
      <c r="BF74" s="38"/>
      <c r="BG74" s="36">
        <v>10</v>
      </c>
      <c r="BH74" s="37"/>
      <c r="BI74" s="37"/>
      <c r="BJ74" s="37"/>
      <c r="BK74" s="38"/>
    </row>
    <row r="75" spans="1:79" s="1" customFormat="1" ht="15" hidden="1" customHeight="1" x14ac:dyDescent="0.2">
      <c r="A75" s="39" t="s">
        <v>64</v>
      </c>
      <c r="B75" s="40"/>
      <c r="C75" s="40"/>
      <c r="D75" s="40"/>
      <c r="E75" s="41"/>
      <c r="F75" s="39" t="s">
        <v>57</v>
      </c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1"/>
      <c r="X75" s="39" t="s">
        <v>60</v>
      </c>
      <c r="Y75" s="40"/>
      <c r="Z75" s="40"/>
      <c r="AA75" s="40"/>
      <c r="AB75" s="41"/>
      <c r="AC75" s="39" t="s">
        <v>61</v>
      </c>
      <c r="AD75" s="40"/>
      <c r="AE75" s="40"/>
      <c r="AF75" s="40"/>
      <c r="AG75" s="41"/>
      <c r="AH75" s="39" t="s">
        <v>94</v>
      </c>
      <c r="AI75" s="40"/>
      <c r="AJ75" s="40"/>
      <c r="AK75" s="40"/>
      <c r="AL75" s="41"/>
      <c r="AM75" s="47" t="s">
        <v>170</v>
      </c>
      <c r="AN75" s="48"/>
      <c r="AO75" s="48"/>
      <c r="AP75" s="48"/>
      <c r="AQ75" s="49"/>
      <c r="AR75" s="39" t="s">
        <v>62</v>
      </c>
      <c r="AS75" s="40"/>
      <c r="AT75" s="40"/>
      <c r="AU75" s="40"/>
      <c r="AV75" s="41"/>
      <c r="AW75" s="39" t="s">
        <v>63</v>
      </c>
      <c r="AX75" s="40"/>
      <c r="AY75" s="40"/>
      <c r="AZ75" s="40"/>
      <c r="BA75" s="41"/>
      <c r="BB75" s="39" t="s">
        <v>95</v>
      </c>
      <c r="BC75" s="40"/>
      <c r="BD75" s="40"/>
      <c r="BE75" s="40"/>
      <c r="BF75" s="41"/>
      <c r="BG75" s="47" t="s">
        <v>170</v>
      </c>
      <c r="BH75" s="48"/>
      <c r="BI75" s="48"/>
      <c r="BJ75" s="48"/>
      <c r="BK75" s="49"/>
      <c r="CA75" t="s">
        <v>31</v>
      </c>
    </row>
    <row r="76" spans="1:79" s="6" customFormat="1" ht="12.75" customHeight="1" x14ac:dyDescent="0.2">
      <c r="A76" s="86"/>
      <c r="B76" s="87"/>
      <c r="C76" s="87"/>
      <c r="D76" s="87"/>
      <c r="E76" s="88"/>
      <c r="F76" s="86" t="s">
        <v>147</v>
      </c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8"/>
      <c r="X76" s="107"/>
      <c r="Y76" s="108"/>
      <c r="Z76" s="108"/>
      <c r="AA76" s="108"/>
      <c r="AB76" s="109"/>
      <c r="AC76" s="107"/>
      <c r="AD76" s="108"/>
      <c r="AE76" s="108"/>
      <c r="AF76" s="108"/>
      <c r="AG76" s="109"/>
      <c r="AH76" s="103"/>
      <c r="AI76" s="103"/>
      <c r="AJ76" s="103"/>
      <c r="AK76" s="103"/>
      <c r="AL76" s="103"/>
      <c r="AM76" s="103">
        <f>IF(ISNUMBER(X76),X76,0)+IF(ISNUMBER(AC76),AC76,0)</f>
        <v>0</v>
      </c>
      <c r="AN76" s="103"/>
      <c r="AO76" s="103"/>
      <c r="AP76" s="103"/>
      <c r="AQ76" s="103"/>
      <c r="AR76" s="103"/>
      <c r="AS76" s="103"/>
      <c r="AT76" s="103"/>
      <c r="AU76" s="103"/>
      <c r="AV76" s="103"/>
      <c r="AW76" s="103"/>
      <c r="AX76" s="103"/>
      <c r="AY76" s="103"/>
      <c r="AZ76" s="103"/>
      <c r="BA76" s="103"/>
      <c r="BB76" s="103"/>
      <c r="BC76" s="103"/>
      <c r="BD76" s="103"/>
      <c r="BE76" s="103"/>
      <c r="BF76" s="103"/>
      <c r="BG76" s="103">
        <f>IF(ISNUMBER(AR76),AR76,0)+IF(ISNUMBER(AW76),AW76,0)</f>
        <v>0</v>
      </c>
      <c r="BH76" s="103"/>
      <c r="BI76" s="103"/>
      <c r="BJ76" s="103"/>
      <c r="BK76" s="103"/>
      <c r="CA76" s="6" t="s">
        <v>32</v>
      </c>
    </row>
    <row r="79" spans="1:79" ht="14.25" customHeight="1" x14ac:dyDescent="0.2">
      <c r="A79" s="29" t="s">
        <v>120</v>
      </c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</row>
    <row r="80" spans="1:79" ht="14.25" customHeight="1" x14ac:dyDescent="0.2">
      <c r="A80" s="29" t="s">
        <v>223</v>
      </c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</row>
    <row r="81" spans="1:79" ht="15" customHeight="1" x14ac:dyDescent="0.2">
      <c r="A81" s="44" t="s">
        <v>208</v>
      </c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  <c r="BC81" s="44"/>
      <c r="BD81" s="44"/>
      <c r="BE81" s="44"/>
      <c r="BF81" s="44"/>
      <c r="BG81" s="44"/>
      <c r="BH81" s="44"/>
      <c r="BI81" s="44"/>
      <c r="BJ81" s="44"/>
      <c r="BK81" s="44"/>
      <c r="BL81" s="44"/>
      <c r="BM81" s="44"/>
      <c r="BN81" s="44"/>
      <c r="BO81" s="44"/>
      <c r="BP81" s="44"/>
      <c r="BQ81" s="44"/>
      <c r="BR81" s="44"/>
      <c r="BS81" s="44"/>
      <c r="BT81" s="44"/>
      <c r="BU81" s="44"/>
      <c r="BV81" s="44"/>
      <c r="BW81" s="44"/>
      <c r="BX81" s="44"/>
      <c r="BY81" s="44"/>
    </row>
    <row r="82" spans="1:79" ht="23.1" customHeight="1" x14ac:dyDescent="0.2">
      <c r="A82" s="51" t="s">
        <v>6</v>
      </c>
      <c r="B82" s="52"/>
      <c r="C82" s="52"/>
      <c r="D82" s="51" t="s">
        <v>121</v>
      </c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3"/>
      <c r="U82" s="36" t="s">
        <v>209</v>
      </c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8"/>
      <c r="AN82" s="36" t="s">
        <v>212</v>
      </c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8"/>
      <c r="BG82" s="27" t="s">
        <v>220</v>
      </c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</row>
    <row r="83" spans="1:79" ht="52.5" customHeight="1" x14ac:dyDescent="0.2">
      <c r="A83" s="54"/>
      <c r="B83" s="55"/>
      <c r="C83" s="55"/>
      <c r="D83" s="54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6"/>
      <c r="U83" s="36" t="s">
        <v>4</v>
      </c>
      <c r="V83" s="37"/>
      <c r="W83" s="37"/>
      <c r="X83" s="37"/>
      <c r="Y83" s="38"/>
      <c r="Z83" s="36" t="s">
        <v>3</v>
      </c>
      <c r="AA83" s="37"/>
      <c r="AB83" s="37"/>
      <c r="AC83" s="37"/>
      <c r="AD83" s="38"/>
      <c r="AE83" s="57" t="s">
        <v>116</v>
      </c>
      <c r="AF83" s="58"/>
      <c r="AG83" s="58"/>
      <c r="AH83" s="59"/>
      <c r="AI83" s="36" t="s">
        <v>5</v>
      </c>
      <c r="AJ83" s="37"/>
      <c r="AK83" s="37"/>
      <c r="AL83" s="37"/>
      <c r="AM83" s="38"/>
      <c r="AN83" s="36" t="s">
        <v>4</v>
      </c>
      <c r="AO83" s="37"/>
      <c r="AP83" s="37"/>
      <c r="AQ83" s="37"/>
      <c r="AR83" s="38"/>
      <c r="AS83" s="36" t="s">
        <v>3</v>
      </c>
      <c r="AT83" s="37"/>
      <c r="AU83" s="37"/>
      <c r="AV83" s="37"/>
      <c r="AW83" s="38"/>
      <c r="AX83" s="57" t="s">
        <v>116</v>
      </c>
      <c r="AY83" s="58"/>
      <c r="AZ83" s="58"/>
      <c r="BA83" s="59"/>
      <c r="BB83" s="36" t="s">
        <v>96</v>
      </c>
      <c r="BC83" s="37"/>
      <c r="BD83" s="37"/>
      <c r="BE83" s="37"/>
      <c r="BF83" s="38"/>
      <c r="BG83" s="36" t="s">
        <v>4</v>
      </c>
      <c r="BH83" s="37"/>
      <c r="BI83" s="37"/>
      <c r="BJ83" s="37"/>
      <c r="BK83" s="38"/>
      <c r="BL83" s="27" t="s">
        <v>3</v>
      </c>
      <c r="BM83" s="27"/>
      <c r="BN83" s="27"/>
      <c r="BO83" s="27"/>
      <c r="BP83" s="27"/>
      <c r="BQ83" s="74" t="s">
        <v>116</v>
      </c>
      <c r="BR83" s="74"/>
      <c r="BS83" s="74"/>
      <c r="BT83" s="74"/>
      <c r="BU83" s="36" t="s">
        <v>97</v>
      </c>
      <c r="BV83" s="37"/>
      <c r="BW83" s="37"/>
      <c r="BX83" s="37"/>
      <c r="BY83" s="38"/>
    </row>
    <row r="84" spans="1:79" ht="15" customHeight="1" x14ac:dyDescent="0.2">
      <c r="A84" s="36">
        <v>1</v>
      </c>
      <c r="B84" s="37"/>
      <c r="C84" s="37"/>
      <c r="D84" s="36">
        <v>2</v>
      </c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8"/>
      <c r="U84" s="36">
        <v>3</v>
      </c>
      <c r="V84" s="37"/>
      <c r="W84" s="37"/>
      <c r="X84" s="37"/>
      <c r="Y84" s="38"/>
      <c r="Z84" s="36">
        <v>4</v>
      </c>
      <c r="AA84" s="37"/>
      <c r="AB84" s="37"/>
      <c r="AC84" s="37"/>
      <c r="AD84" s="38"/>
      <c r="AE84" s="36">
        <v>5</v>
      </c>
      <c r="AF84" s="37"/>
      <c r="AG84" s="37"/>
      <c r="AH84" s="38"/>
      <c r="AI84" s="36">
        <v>6</v>
      </c>
      <c r="AJ84" s="37"/>
      <c r="AK84" s="37"/>
      <c r="AL84" s="37"/>
      <c r="AM84" s="38"/>
      <c r="AN84" s="36">
        <v>7</v>
      </c>
      <c r="AO84" s="37"/>
      <c r="AP84" s="37"/>
      <c r="AQ84" s="37"/>
      <c r="AR84" s="38"/>
      <c r="AS84" s="36">
        <v>8</v>
      </c>
      <c r="AT84" s="37"/>
      <c r="AU84" s="37"/>
      <c r="AV84" s="37"/>
      <c r="AW84" s="38"/>
      <c r="AX84" s="27">
        <v>9</v>
      </c>
      <c r="AY84" s="27"/>
      <c r="AZ84" s="27"/>
      <c r="BA84" s="27"/>
      <c r="BB84" s="36">
        <v>10</v>
      </c>
      <c r="BC84" s="37"/>
      <c r="BD84" s="37"/>
      <c r="BE84" s="37"/>
      <c r="BF84" s="38"/>
      <c r="BG84" s="36">
        <v>11</v>
      </c>
      <c r="BH84" s="37"/>
      <c r="BI84" s="37"/>
      <c r="BJ84" s="37"/>
      <c r="BK84" s="38"/>
      <c r="BL84" s="27">
        <v>12</v>
      </c>
      <c r="BM84" s="27"/>
      <c r="BN84" s="27"/>
      <c r="BO84" s="27"/>
      <c r="BP84" s="27"/>
      <c r="BQ84" s="36">
        <v>13</v>
      </c>
      <c r="BR84" s="37"/>
      <c r="BS84" s="37"/>
      <c r="BT84" s="38"/>
      <c r="BU84" s="36">
        <v>14</v>
      </c>
      <c r="BV84" s="37"/>
      <c r="BW84" s="37"/>
      <c r="BX84" s="37"/>
      <c r="BY84" s="38"/>
    </row>
    <row r="85" spans="1:79" s="1" customFormat="1" ht="14.25" hidden="1" customHeight="1" x14ac:dyDescent="0.2">
      <c r="A85" s="39" t="s">
        <v>69</v>
      </c>
      <c r="B85" s="40"/>
      <c r="C85" s="40"/>
      <c r="D85" s="39" t="s">
        <v>57</v>
      </c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1"/>
      <c r="U85" s="26" t="s">
        <v>65</v>
      </c>
      <c r="V85" s="26"/>
      <c r="W85" s="26"/>
      <c r="X85" s="26"/>
      <c r="Y85" s="26"/>
      <c r="Z85" s="26" t="s">
        <v>66</v>
      </c>
      <c r="AA85" s="26"/>
      <c r="AB85" s="26"/>
      <c r="AC85" s="26"/>
      <c r="AD85" s="26"/>
      <c r="AE85" s="26" t="s">
        <v>91</v>
      </c>
      <c r="AF85" s="26"/>
      <c r="AG85" s="26"/>
      <c r="AH85" s="26"/>
      <c r="AI85" s="50" t="s">
        <v>169</v>
      </c>
      <c r="AJ85" s="50"/>
      <c r="AK85" s="50"/>
      <c r="AL85" s="50"/>
      <c r="AM85" s="50"/>
      <c r="AN85" s="26" t="s">
        <v>67</v>
      </c>
      <c r="AO85" s="26"/>
      <c r="AP85" s="26"/>
      <c r="AQ85" s="26"/>
      <c r="AR85" s="26"/>
      <c r="AS85" s="26" t="s">
        <v>68</v>
      </c>
      <c r="AT85" s="26"/>
      <c r="AU85" s="26"/>
      <c r="AV85" s="26"/>
      <c r="AW85" s="26"/>
      <c r="AX85" s="26" t="s">
        <v>92</v>
      </c>
      <c r="AY85" s="26"/>
      <c r="AZ85" s="26"/>
      <c r="BA85" s="26"/>
      <c r="BB85" s="50" t="s">
        <v>169</v>
      </c>
      <c r="BC85" s="50"/>
      <c r="BD85" s="50"/>
      <c r="BE85" s="50"/>
      <c r="BF85" s="50"/>
      <c r="BG85" s="26" t="s">
        <v>58</v>
      </c>
      <c r="BH85" s="26"/>
      <c r="BI85" s="26"/>
      <c r="BJ85" s="26"/>
      <c r="BK85" s="26"/>
      <c r="BL85" s="26" t="s">
        <v>59</v>
      </c>
      <c r="BM85" s="26"/>
      <c r="BN85" s="26"/>
      <c r="BO85" s="26"/>
      <c r="BP85" s="26"/>
      <c r="BQ85" s="26" t="s">
        <v>93</v>
      </c>
      <c r="BR85" s="26"/>
      <c r="BS85" s="26"/>
      <c r="BT85" s="26"/>
      <c r="BU85" s="50" t="s">
        <v>169</v>
      </c>
      <c r="BV85" s="50"/>
      <c r="BW85" s="50"/>
      <c r="BX85" s="50"/>
      <c r="BY85" s="50"/>
      <c r="CA85" t="s">
        <v>33</v>
      </c>
    </row>
    <row r="86" spans="1:79" s="99" customFormat="1" ht="12.75" customHeight="1" x14ac:dyDescent="0.2">
      <c r="A86" s="89">
        <v>1</v>
      </c>
      <c r="B86" s="90"/>
      <c r="C86" s="90"/>
      <c r="D86" s="92" t="s">
        <v>175</v>
      </c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4"/>
      <c r="U86" s="96">
        <v>192112</v>
      </c>
      <c r="V86" s="97"/>
      <c r="W86" s="97"/>
      <c r="X86" s="97"/>
      <c r="Y86" s="98"/>
      <c r="Z86" s="96">
        <v>0</v>
      </c>
      <c r="AA86" s="97"/>
      <c r="AB86" s="97"/>
      <c r="AC86" s="97"/>
      <c r="AD86" s="98"/>
      <c r="AE86" s="96">
        <v>0</v>
      </c>
      <c r="AF86" s="97"/>
      <c r="AG86" s="97"/>
      <c r="AH86" s="98"/>
      <c r="AI86" s="96">
        <f>IF(ISNUMBER(U86),U86,0)+IF(ISNUMBER(Z86),Z86,0)</f>
        <v>192112</v>
      </c>
      <c r="AJ86" s="97"/>
      <c r="AK86" s="97"/>
      <c r="AL86" s="97"/>
      <c r="AM86" s="98"/>
      <c r="AN86" s="96">
        <v>590672</v>
      </c>
      <c r="AO86" s="97"/>
      <c r="AP86" s="97"/>
      <c r="AQ86" s="97"/>
      <c r="AR86" s="98"/>
      <c r="AS86" s="96">
        <v>0</v>
      </c>
      <c r="AT86" s="97"/>
      <c r="AU86" s="97"/>
      <c r="AV86" s="97"/>
      <c r="AW86" s="98"/>
      <c r="AX86" s="96">
        <v>0</v>
      </c>
      <c r="AY86" s="97"/>
      <c r="AZ86" s="97"/>
      <c r="BA86" s="98"/>
      <c r="BB86" s="96">
        <f>IF(ISNUMBER(AN86),AN86,0)+IF(ISNUMBER(AS86),AS86,0)</f>
        <v>590672</v>
      </c>
      <c r="BC86" s="97"/>
      <c r="BD86" s="97"/>
      <c r="BE86" s="97"/>
      <c r="BF86" s="98"/>
      <c r="BG86" s="96">
        <v>1105078</v>
      </c>
      <c r="BH86" s="97"/>
      <c r="BI86" s="97"/>
      <c r="BJ86" s="97"/>
      <c r="BK86" s="98"/>
      <c r="BL86" s="96">
        <v>0</v>
      </c>
      <c r="BM86" s="97"/>
      <c r="BN86" s="97"/>
      <c r="BO86" s="97"/>
      <c r="BP86" s="98"/>
      <c r="BQ86" s="96">
        <v>0</v>
      </c>
      <c r="BR86" s="97"/>
      <c r="BS86" s="97"/>
      <c r="BT86" s="98"/>
      <c r="BU86" s="96">
        <f>IF(ISNUMBER(BG86),BG86,0)+IF(ISNUMBER(BL86),BL86,0)</f>
        <v>1105078</v>
      </c>
      <c r="BV86" s="97"/>
      <c r="BW86" s="97"/>
      <c r="BX86" s="97"/>
      <c r="BY86" s="98"/>
      <c r="CA86" s="99" t="s">
        <v>34</v>
      </c>
    </row>
    <row r="87" spans="1:79" s="6" customFormat="1" ht="12.75" customHeight="1" x14ac:dyDescent="0.2">
      <c r="A87" s="86"/>
      <c r="B87" s="87"/>
      <c r="C87" s="87"/>
      <c r="D87" s="100" t="s">
        <v>147</v>
      </c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2"/>
      <c r="U87" s="104">
        <v>192112</v>
      </c>
      <c r="V87" s="105"/>
      <c r="W87" s="105"/>
      <c r="X87" s="105"/>
      <c r="Y87" s="106"/>
      <c r="Z87" s="104">
        <v>0</v>
      </c>
      <c r="AA87" s="105"/>
      <c r="AB87" s="105"/>
      <c r="AC87" s="105"/>
      <c r="AD87" s="106"/>
      <c r="AE87" s="104">
        <v>0</v>
      </c>
      <c r="AF87" s="105"/>
      <c r="AG87" s="105"/>
      <c r="AH87" s="106"/>
      <c r="AI87" s="104">
        <f>IF(ISNUMBER(U87),U87,0)+IF(ISNUMBER(Z87),Z87,0)</f>
        <v>192112</v>
      </c>
      <c r="AJ87" s="105"/>
      <c r="AK87" s="105"/>
      <c r="AL87" s="105"/>
      <c r="AM87" s="106"/>
      <c r="AN87" s="104">
        <v>590672</v>
      </c>
      <c r="AO87" s="105"/>
      <c r="AP87" s="105"/>
      <c r="AQ87" s="105"/>
      <c r="AR87" s="106"/>
      <c r="AS87" s="104">
        <v>0</v>
      </c>
      <c r="AT87" s="105"/>
      <c r="AU87" s="105"/>
      <c r="AV87" s="105"/>
      <c r="AW87" s="106"/>
      <c r="AX87" s="104">
        <v>0</v>
      </c>
      <c r="AY87" s="105"/>
      <c r="AZ87" s="105"/>
      <c r="BA87" s="106"/>
      <c r="BB87" s="104">
        <f>IF(ISNUMBER(AN87),AN87,0)+IF(ISNUMBER(AS87),AS87,0)</f>
        <v>590672</v>
      </c>
      <c r="BC87" s="105"/>
      <c r="BD87" s="105"/>
      <c r="BE87" s="105"/>
      <c r="BF87" s="106"/>
      <c r="BG87" s="104">
        <v>1105078</v>
      </c>
      <c r="BH87" s="105"/>
      <c r="BI87" s="105"/>
      <c r="BJ87" s="105"/>
      <c r="BK87" s="106"/>
      <c r="BL87" s="104">
        <v>0</v>
      </c>
      <c r="BM87" s="105"/>
      <c r="BN87" s="105"/>
      <c r="BO87" s="105"/>
      <c r="BP87" s="106"/>
      <c r="BQ87" s="104">
        <v>0</v>
      </c>
      <c r="BR87" s="105"/>
      <c r="BS87" s="105"/>
      <c r="BT87" s="106"/>
      <c r="BU87" s="104">
        <f>IF(ISNUMBER(BG87),BG87,0)+IF(ISNUMBER(BL87),BL87,0)</f>
        <v>1105078</v>
      </c>
      <c r="BV87" s="105"/>
      <c r="BW87" s="105"/>
      <c r="BX87" s="105"/>
      <c r="BY87" s="106"/>
    </row>
    <row r="89" spans="1:79" ht="14.25" customHeight="1" x14ac:dyDescent="0.2">
      <c r="A89" s="29" t="s">
        <v>238</v>
      </c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  <c r="BK89" s="29"/>
      <c r="BL89" s="29"/>
    </row>
    <row r="90" spans="1:79" ht="15" customHeight="1" x14ac:dyDescent="0.2">
      <c r="A90" s="75" t="s">
        <v>208</v>
      </c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5"/>
      <c r="AD90" s="75"/>
      <c r="AE90" s="75"/>
      <c r="AF90" s="75"/>
      <c r="AG90" s="75"/>
      <c r="AH90" s="75"/>
      <c r="AI90" s="75"/>
      <c r="AJ90" s="75"/>
      <c r="AK90" s="75"/>
      <c r="AL90" s="75"/>
      <c r="AM90" s="75"/>
      <c r="AN90" s="75"/>
      <c r="AO90" s="75"/>
      <c r="AP90" s="75"/>
      <c r="AQ90" s="75"/>
      <c r="AR90" s="75"/>
      <c r="AS90" s="75"/>
      <c r="AT90" s="75"/>
      <c r="AU90" s="75"/>
      <c r="AV90" s="75"/>
      <c r="AW90" s="75"/>
      <c r="AX90" s="75"/>
      <c r="AY90" s="75"/>
      <c r="AZ90" s="75"/>
      <c r="BA90" s="75"/>
      <c r="BB90" s="75"/>
      <c r="BC90" s="75"/>
      <c r="BD90" s="75"/>
      <c r="BE90" s="75"/>
      <c r="BF90" s="75"/>
      <c r="BG90" s="75"/>
      <c r="BH90" s="75"/>
    </row>
    <row r="91" spans="1:79" ht="23.1" customHeight="1" x14ac:dyDescent="0.2">
      <c r="A91" s="51" t="s">
        <v>6</v>
      </c>
      <c r="B91" s="52"/>
      <c r="C91" s="52"/>
      <c r="D91" s="51" t="s">
        <v>121</v>
      </c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3"/>
      <c r="U91" s="27" t="s">
        <v>230</v>
      </c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 t="s">
        <v>235</v>
      </c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</row>
    <row r="92" spans="1:79" ht="54" customHeight="1" x14ac:dyDescent="0.2">
      <c r="A92" s="54"/>
      <c r="B92" s="55"/>
      <c r="C92" s="55"/>
      <c r="D92" s="54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6"/>
      <c r="U92" s="36" t="s">
        <v>4</v>
      </c>
      <c r="V92" s="37"/>
      <c r="W92" s="37"/>
      <c r="X92" s="37"/>
      <c r="Y92" s="38"/>
      <c r="Z92" s="36" t="s">
        <v>3</v>
      </c>
      <c r="AA92" s="37"/>
      <c r="AB92" s="37"/>
      <c r="AC92" s="37"/>
      <c r="AD92" s="38"/>
      <c r="AE92" s="57" t="s">
        <v>116</v>
      </c>
      <c r="AF92" s="58"/>
      <c r="AG92" s="58"/>
      <c r="AH92" s="58"/>
      <c r="AI92" s="59"/>
      <c r="AJ92" s="36" t="s">
        <v>5</v>
      </c>
      <c r="AK92" s="37"/>
      <c r="AL92" s="37"/>
      <c r="AM92" s="37"/>
      <c r="AN92" s="38"/>
      <c r="AO92" s="36" t="s">
        <v>4</v>
      </c>
      <c r="AP92" s="37"/>
      <c r="AQ92" s="37"/>
      <c r="AR92" s="37"/>
      <c r="AS92" s="38"/>
      <c r="AT92" s="36" t="s">
        <v>3</v>
      </c>
      <c r="AU92" s="37"/>
      <c r="AV92" s="37"/>
      <c r="AW92" s="37"/>
      <c r="AX92" s="38"/>
      <c r="AY92" s="57" t="s">
        <v>116</v>
      </c>
      <c r="AZ92" s="58"/>
      <c r="BA92" s="58"/>
      <c r="BB92" s="58"/>
      <c r="BC92" s="59"/>
      <c r="BD92" s="27" t="s">
        <v>96</v>
      </c>
      <c r="BE92" s="27"/>
      <c r="BF92" s="27"/>
      <c r="BG92" s="27"/>
      <c r="BH92" s="27"/>
    </row>
    <row r="93" spans="1:79" ht="15" customHeight="1" x14ac:dyDescent="0.2">
      <c r="A93" s="36" t="s">
        <v>168</v>
      </c>
      <c r="B93" s="37"/>
      <c r="C93" s="37"/>
      <c r="D93" s="36">
        <v>2</v>
      </c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8"/>
      <c r="U93" s="36">
        <v>3</v>
      </c>
      <c r="V93" s="37"/>
      <c r="W93" s="37"/>
      <c r="X93" s="37"/>
      <c r="Y93" s="38"/>
      <c r="Z93" s="36">
        <v>4</v>
      </c>
      <c r="AA93" s="37"/>
      <c r="AB93" s="37"/>
      <c r="AC93" s="37"/>
      <c r="AD93" s="38"/>
      <c r="AE93" s="36">
        <v>5</v>
      </c>
      <c r="AF93" s="37"/>
      <c r="AG93" s="37"/>
      <c r="AH93" s="37"/>
      <c r="AI93" s="38"/>
      <c r="AJ93" s="36">
        <v>6</v>
      </c>
      <c r="AK93" s="37"/>
      <c r="AL93" s="37"/>
      <c r="AM93" s="37"/>
      <c r="AN93" s="38"/>
      <c r="AO93" s="36">
        <v>7</v>
      </c>
      <c r="AP93" s="37"/>
      <c r="AQ93" s="37"/>
      <c r="AR93" s="37"/>
      <c r="AS93" s="38"/>
      <c r="AT93" s="36">
        <v>8</v>
      </c>
      <c r="AU93" s="37"/>
      <c r="AV93" s="37"/>
      <c r="AW93" s="37"/>
      <c r="AX93" s="38"/>
      <c r="AY93" s="36">
        <v>9</v>
      </c>
      <c r="AZ93" s="37"/>
      <c r="BA93" s="37"/>
      <c r="BB93" s="37"/>
      <c r="BC93" s="38"/>
      <c r="BD93" s="36">
        <v>10</v>
      </c>
      <c r="BE93" s="37"/>
      <c r="BF93" s="37"/>
      <c r="BG93" s="37"/>
      <c r="BH93" s="38"/>
    </row>
    <row r="94" spans="1:79" s="1" customFormat="1" ht="12.75" hidden="1" customHeight="1" x14ac:dyDescent="0.2">
      <c r="A94" s="39" t="s">
        <v>69</v>
      </c>
      <c r="B94" s="40"/>
      <c r="C94" s="40"/>
      <c r="D94" s="39" t="s">
        <v>57</v>
      </c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1"/>
      <c r="U94" s="39" t="s">
        <v>60</v>
      </c>
      <c r="V94" s="40"/>
      <c r="W94" s="40"/>
      <c r="X94" s="40"/>
      <c r="Y94" s="41"/>
      <c r="Z94" s="39" t="s">
        <v>61</v>
      </c>
      <c r="AA94" s="40"/>
      <c r="AB94" s="40"/>
      <c r="AC94" s="40"/>
      <c r="AD94" s="41"/>
      <c r="AE94" s="39" t="s">
        <v>94</v>
      </c>
      <c r="AF94" s="40"/>
      <c r="AG94" s="40"/>
      <c r="AH94" s="40"/>
      <c r="AI94" s="41"/>
      <c r="AJ94" s="47" t="s">
        <v>170</v>
      </c>
      <c r="AK94" s="48"/>
      <c r="AL94" s="48"/>
      <c r="AM94" s="48"/>
      <c r="AN94" s="49"/>
      <c r="AO94" s="39" t="s">
        <v>62</v>
      </c>
      <c r="AP94" s="40"/>
      <c r="AQ94" s="40"/>
      <c r="AR94" s="40"/>
      <c r="AS94" s="41"/>
      <c r="AT94" s="39" t="s">
        <v>63</v>
      </c>
      <c r="AU94" s="40"/>
      <c r="AV94" s="40"/>
      <c r="AW94" s="40"/>
      <c r="AX94" s="41"/>
      <c r="AY94" s="39" t="s">
        <v>95</v>
      </c>
      <c r="AZ94" s="40"/>
      <c r="BA94" s="40"/>
      <c r="BB94" s="40"/>
      <c r="BC94" s="41"/>
      <c r="BD94" s="50" t="s">
        <v>170</v>
      </c>
      <c r="BE94" s="50"/>
      <c r="BF94" s="50"/>
      <c r="BG94" s="50"/>
      <c r="BH94" s="50"/>
      <c r="CA94" s="1" t="s">
        <v>35</v>
      </c>
    </row>
    <row r="95" spans="1:79" s="99" customFormat="1" ht="12.75" customHeight="1" x14ac:dyDescent="0.2">
      <c r="A95" s="89">
        <v>1</v>
      </c>
      <c r="B95" s="90"/>
      <c r="C95" s="90"/>
      <c r="D95" s="92" t="s">
        <v>175</v>
      </c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4"/>
      <c r="U95" s="96">
        <v>1182433</v>
      </c>
      <c r="V95" s="97"/>
      <c r="W95" s="97"/>
      <c r="X95" s="97"/>
      <c r="Y95" s="98"/>
      <c r="Z95" s="96">
        <v>0</v>
      </c>
      <c r="AA95" s="97"/>
      <c r="AB95" s="97"/>
      <c r="AC95" s="97"/>
      <c r="AD95" s="98"/>
      <c r="AE95" s="95">
        <v>0</v>
      </c>
      <c r="AF95" s="95"/>
      <c r="AG95" s="95"/>
      <c r="AH95" s="95"/>
      <c r="AI95" s="95"/>
      <c r="AJ95" s="110">
        <f>IF(ISNUMBER(U95),U95,0)+IF(ISNUMBER(Z95),Z95,0)</f>
        <v>1182433</v>
      </c>
      <c r="AK95" s="110"/>
      <c r="AL95" s="110"/>
      <c r="AM95" s="110"/>
      <c r="AN95" s="110"/>
      <c r="AO95" s="95">
        <v>1251014</v>
      </c>
      <c r="AP95" s="95"/>
      <c r="AQ95" s="95"/>
      <c r="AR95" s="95"/>
      <c r="AS95" s="95"/>
      <c r="AT95" s="110">
        <v>0</v>
      </c>
      <c r="AU95" s="110"/>
      <c r="AV95" s="110"/>
      <c r="AW95" s="110"/>
      <c r="AX95" s="110"/>
      <c r="AY95" s="95">
        <v>0</v>
      </c>
      <c r="AZ95" s="95"/>
      <c r="BA95" s="95"/>
      <c r="BB95" s="95"/>
      <c r="BC95" s="95"/>
      <c r="BD95" s="110">
        <f>IF(ISNUMBER(AO95),AO95,0)+IF(ISNUMBER(AT95),AT95,0)</f>
        <v>1251014</v>
      </c>
      <c r="BE95" s="110"/>
      <c r="BF95" s="110"/>
      <c r="BG95" s="110"/>
      <c r="BH95" s="110"/>
      <c r="CA95" s="99" t="s">
        <v>36</v>
      </c>
    </row>
    <row r="96" spans="1:79" s="6" customFormat="1" ht="12.75" customHeight="1" x14ac:dyDescent="0.2">
      <c r="A96" s="86"/>
      <c r="B96" s="87"/>
      <c r="C96" s="87"/>
      <c r="D96" s="100" t="s">
        <v>147</v>
      </c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2"/>
      <c r="U96" s="104">
        <v>1182433</v>
      </c>
      <c r="V96" s="105"/>
      <c r="W96" s="105"/>
      <c r="X96" s="105"/>
      <c r="Y96" s="106"/>
      <c r="Z96" s="104">
        <v>0</v>
      </c>
      <c r="AA96" s="105"/>
      <c r="AB96" s="105"/>
      <c r="AC96" s="105"/>
      <c r="AD96" s="106"/>
      <c r="AE96" s="103">
        <v>0</v>
      </c>
      <c r="AF96" s="103"/>
      <c r="AG96" s="103"/>
      <c r="AH96" s="103"/>
      <c r="AI96" s="103"/>
      <c r="AJ96" s="85">
        <f>IF(ISNUMBER(U96),U96,0)+IF(ISNUMBER(Z96),Z96,0)</f>
        <v>1182433</v>
      </c>
      <c r="AK96" s="85"/>
      <c r="AL96" s="85"/>
      <c r="AM96" s="85"/>
      <c r="AN96" s="85"/>
      <c r="AO96" s="103">
        <v>1251014</v>
      </c>
      <c r="AP96" s="103"/>
      <c r="AQ96" s="103"/>
      <c r="AR96" s="103"/>
      <c r="AS96" s="103"/>
      <c r="AT96" s="85">
        <v>0</v>
      </c>
      <c r="AU96" s="85"/>
      <c r="AV96" s="85"/>
      <c r="AW96" s="85"/>
      <c r="AX96" s="85"/>
      <c r="AY96" s="103">
        <v>0</v>
      </c>
      <c r="AZ96" s="103"/>
      <c r="BA96" s="103"/>
      <c r="BB96" s="103"/>
      <c r="BC96" s="103"/>
      <c r="BD96" s="85">
        <f>IF(ISNUMBER(AO96),AO96,0)+IF(ISNUMBER(AT96),AT96,0)</f>
        <v>1251014</v>
      </c>
      <c r="BE96" s="85"/>
      <c r="BF96" s="85"/>
      <c r="BG96" s="85"/>
      <c r="BH96" s="85"/>
    </row>
    <row r="97" spans="1:79" s="5" customFormat="1" ht="12.75" customHeight="1" x14ac:dyDescent="0.2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</row>
    <row r="99" spans="1:79" ht="14.25" customHeight="1" x14ac:dyDescent="0.2">
      <c r="A99" s="29" t="s">
        <v>152</v>
      </c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</row>
    <row r="100" spans="1:79" ht="14.25" customHeight="1" x14ac:dyDescent="0.2">
      <c r="A100" s="29" t="s">
        <v>224</v>
      </c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</row>
    <row r="101" spans="1:79" ht="23.1" customHeight="1" x14ac:dyDescent="0.2">
      <c r="A101" s="51" t="s">
        <v>6</v>
      </c>
      <c r="B101" s="52"/>
      <c r="C101" s="52"/>
      <c r="D101" s="27" t="s">
        <v>9</v>
      </c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 t="s">
        <v>8</v>
      </c>
      <c r="R101" s="27"/>
      <c r="S101" s="27"/>
      <c r="T101" s="27"/>
      <c r="U101" s="27"/>
      <c r="V101" s="27" t="s">
        <v>7</v>
      </c>
      <c r="W101" s="27"/>
      <c r="X101" s="27"/>
      <c r="Y101" s="27"/>
      <c r="Z101" s="27"/>
      <c r="AA101" s="27"/>
      <c r="AB101" s="27"/>
      <c r="AC101" s="27"/>
      <c r="AD101" s="27"/>
      <c r="AE101" s="27"/>
      <c r="AF101" s="36" t="s">
        <v>209</v>
      </c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8"/>
      <c r="AU101" s="36" t="s">
        <v>212</v>
      </c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8"/>
      <c r="BJ101" s="36" t="s">
        <v>220</v>
      </c>
      <c r="BK101" s="37"/>
      <c r="BL101" s="37"/>
      <c r="BM101" s="37"/>
      <c r="BN101" s="37"/>
      <c r="BO101" s="37"/>
      <c r="BP101" s="37"/>
      <c r="BQ101" s="37"/>
      <c r="BR101" s="37"/>
      <c r="BS101" s="37"/>
      <c r="BT101" s="37"/>
      <c r="BU101" s="37"/>
      <c r="BV101" s="37"/>
      <c r="BW101" s="37"/>
      <c r="BX101" s="38"/>
    </row>
    <row r="102" spans="1:79" ht="32.25" customHeight="1" x14ac:dyDescent="0.2">
      <c r="A102" s="54"/>
      <c r="B102" s="55"/>
      <c r="C102" s="55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 t="s">
        <v>4</v>
      </c>
      <c r="AG102" s="27"/>
      <c r="AH102" s="27"/>
      <c r="AI102" s="27"/>
      <c r="AJ102" s="27"/>
      <c r="AK102" s="27" t="s">
        <v>3</v>
      </c>
      <c r="AL102" s="27"/>
      <c r="AM102" s="27"/>
      <c r="AN102" s="27"/>
      <c r="AO102" s="27"/>
      <c r="AP102" s="27" t="s">
        <v>123</v>
      </c>
      <c r="AQ102" s="27"/>
      <c r="AR102" s="27"/>
      <c r="AS102" s="27"/>
      <c r="AT102" s="27"/>
      <c r="AU102" s="27" t="s">
        <v>4</v>
      </c>
      <c r="AV102" s="27"/>
      <c r="AW102" s="27"/>
      <c r="AX102" s="27"/>
      <c r="AY102" s="27"/>
      <c r="AZ102" s="27" t="s">
        <v>3</v>
      </c>
      <c r="BA102" s="27"/>
      <c r="BB102" s="27"/>
      <c r="BC102" s="27"/>
      <c r="BD102" s="27"/>
      <c r="BE102" s="27" t="s">
        <v>90</v>
      </c>
      <c r="BF102" s="27"/>
      <c r="BG102" s="27"/>
      <c r="BH102" s="27"/>
      <c r="BI102" s="27"/>
      <c r="BJ102" s="27" t="s">
        <v>4</v>
      </c>
      <c r="BK102" s="27"/>
      <c r="BL102" s="27"/>
      <c r="BM102" s="27"/>
      <c r="BN102" s="27"/>
      <c r="BO102" s="27" t="s">
        <v>3</v>
      </c>
      <c r="BP102" s="27"/>
      <c r="BQ102" s="27"/>
      <c r="BR102" s="27"/>
      <c r="BS102" s="27"/>
      <c r="BT102" s="27" t="s">
        <v>97</v>
      </c>
      <c r="BU102" s="27"/>
      <c r="BV102" s="27"/>
      <c r="BW102" s="27"/>
      <c r="BX102" s="27"/>
    </row>
    <row r="103" spans="1:79" ht="15" customHeight="1" x14ac:dyDescent="0.2">
      <c r="A103" s="36">
        <v>1</v>
      </c>
      <c r="B103" s="37"/>
      <c r="C103" s="37"/>
      <c r="D103" s="27">
        <v>2</v>
      </c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>
        <v>3</v>
      </c>
      <c r="R103" s="27"/>
      <c r="S103" s="27"/>
      <c r="T103" s="27"/>
      <c r="U103" s="27"/>
      <c r="V103" s="27">
        <v>4</v>
      </c>
      <c r="W103" s="27"/>
      <c r="X103" s="27"/>
      <c r="Y103" s="27"/>
      <c r="Z103" s="27"/>
      <c r="AA103" s="27"/>
      <c r="AB103" s="27"/>
      <c r="AC103" s="27"/>
      <c r="AD103" s="27"/>
      <c r="AE103" s="27"/>
      <c r="AF103" s="27">
        <v>5</v>
      </c>
      <c r="AG103" s="27"/>
      <c r="AH103" s="27"/>
      <c r="AI103" s="27"/>
      <c r="AJ103" s="27"/>
      <c r="AK103" s="27">
        <v>6</v>
      </c>
      <c r="AL103" s="27"/>
      <c r="AM103" s="27"/>
      <c r="AN103" s="27"/>
      <c r="AO103" s="27"/>
      <c r="AP103" s="27">
        <v>7</v>
      </c>
      <c r="AQ103" s="27"/>
      <c r="AR103" s="27"/>
      <c r="AS103" s="27"/>
      <c r="AT103" s="27"/>
      <c r="AU103" s="27">
        <v>8</v>
      </c>
      <c r="AV103" s="27"/>
      <c r="AW103" s="27"/>
      <c r="AX103" s="27"/>
      <c r="AY103" s="27"/>
      <c r="AZ103" s="27">
        <v>9</v>
      </c>
      <c r="BA103" s="27"/>
      <c r="BB103" s="27"/>
      <c r="BC103" s="27"/>
      <c r="BD103" s="27"/>
      <c r="BE103" s="27">
        <v>10</v>
      </c>
      <c r="BF103" s="27"/>
      <c r="BG103" s="27"/>
      <c r="BH103" s="27"/>
      <c r="BI103" s="27"/>
      <c r="BJ103" s="27">
        <v>11</v>
      </c>
      <c r="BK103" s="27"/>
      <c r="BL103" s="27"/>
      <c r="BM103" s="27"/>
      <c r="BN103" s="27"/>
      <c r="BO103" s="27">
        <v>12</v>
      </c>
      <c r="BP103" s="27"/>
      <c r="BQ103" s="27"/>
      <c r="BR103" s="27"/>
      <c r="BS103" s="27"/>
      <c r="BT103" s="27">
        <v>13</v>
      </c>
      <c r="BU103" s="27"/>
      <c r="BV103" s="27"/>
      <c r="BW103" s="27"/>
      <c r="BX103" s="27"/>
    </row>
    <row r="104" spans="1:79" ht="10.5" hidden="1" customHeight="1" x14ac:dyDescent="0.2">
      <c r="A104" s="39" t="s">
        <v>154</v>
      </c>
      <c r="B104" s="40"/>
      <c r="C104" s="40"/>
      <c r="D104" s="27" t="s">
        <v>57</v>
      </c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 t="s">
        <v>70</v>
      </c>
      <c r="R104" s="27"/>
      <c r="S104" s="27"/>
      <c r="T104" s="27"/>
      <c r="U104" s="27"/>
      <c r="V104" s="27" t="s">
        <v>71</v>
      </c>
      <c r="W104" s="27"/>
      <c r="X104" s="27"/>
      <c r="Y104" s="27"/>
      <c r="Z104" s="27"/>
      <c r="AA104" s="27"/>
      <c r="AB104" s="27"/>
      <c r="AC104" s="27"/>
      <c r="AD104" s="27"/>
      <c r="AE104" s="27"/>
      <c r="AF104" s="26" t="s">
        <v>111</v>
      </c>
      <c r="AG104" s="26"/>
      <c r="AH104" s="26"/>
      <c r="AI104" s="26"/>
      <c r="AJ104" s="26"/>
      <c r="AK104" s="30" t="s">
        <v>112</v>
      </c>
      <c r="AL104" s="30"/>
      <c r="AM104" s="30"/>
      <c r="AN104" s="30"/>
      <c r="AO104" s="30"/>
      <c r="AP104" s="50" t="s">
        <v>177</v>
      </c>
      <c r="AQ104" s="50"/>
      <c r="AR104" s="50"/>
      <c r="AS104" s="50"/>
      <c r="AT104" s="50"/>
      <c r="AU104" s="26" t="s">
        <v>113</v>
      </c>
      <c r="AV104" s="26"/>
      <c r="AW104" s="26"/>
      <c r="AX104" s="26"/>
      <c r="AY104" s="26"/>
      <c r="AZ104" s="30" t="s">
        <v>114</v>
      </c>
      <c r="BA104" s="30"/>
      <c r="BB104" s="30"/>
      <c r="BC104" s="30"/>
      <c r="BD104" s="30"/>
      <c r="BE104" s="50" t="s">
        <v>177</v>
      </c>
      <c r="BF104" s="50"/>
      <c r="BG104" s="50"/>
      <c r="BH104" s="50"/>
      <c r="BI104" s="50"/>
      <c r="BJ104" s="26" t="s">
        <v>105</v>
      </c>
      <c r="BK104" s="26"/>
      <c r="BL104" s="26"/>
      <c r="BM104" s="26"/>
      <c r="BN104" s="26"/>
      <c r="BO104" s="30" t="s">
        <v>106</v>
      </c>
      <c r="BP104" s="30"/>
      <c r="BQ104" s="30"/>
      <c r="BR104" s="30"/>
      <c r="BS104" s="30"/>
      <c r="BT104" s="50" t="s">
        <v>177</v>
      </c>
      <c r="BU104" s="50"/>
      <c r="BV104" s="50"/>
      <c r="BW104" s="50"/>
      <c r="BX104" s="50"/>
      <c r="CA104" t="s">
        <v>37</v>
      </c>
    </row>
    <row r="105" spans="1:79" s="6" customFormat="1" ht="15" customHeight="1" x14ac:dyDescent="0.2">
      <c r="A105" s="86">
        <v>0</v>
      </c>
      <c r="B105" s="87"/>
      <c r="C105" s="87"/>
      <c r="D105" s="111" t="s">
        <v>176</v>
      </c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  <c r="AD105" s="111"/>
      <c r="AE105" s="111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  <c r="AW105" s="112"/>
      <c r="AX105" s="112"/>
      <c r="AY105" s="112"/>
      <c r="AZ105" s="112"/>
      <c r="BA105" s="112"/>
      <c r="BB105" s="112"/>
      <c r="BC105" s="112"/>
      <c r="BD105" s="112"/>
      <c r="BE105" s="112"/>
      <c r="BF105" s="112"/>
      <c r="BG105" s="112"/>
      <c r="BH105" s="112"/>
      <c r="BI105" s="112"/>
      <c r="BJ105" s="112"/>
      <c r="BK105" s="112"/>
      <c r="BL105" s="112"/>
      <c r="BM105" s="112"/>
      <c r="BN105" s="112"/>
      <c r="BO105" s="112"/>
      <c r="BP105" s="112"/>
      <c r="BQ105" s="112"/>
      <c r="BR105" s="112"/>
      <c r="BS105" s="112"/>
      <c r="BT105" s="112"/>
      <c r="BU105" s="112"/>
      <c r="BV105" s="112"/>
      <c r="BW105" s="112"/>
      <c r="BX105" s="112"/>
      <c r="CA105" s="6" t="s">
        <v>38</v>
      </c>
    </row>
    <row r="106" spans="1:79" s="6" customFormat="1" ht="42.75" customHeight="1" x14ac:dyDescent="0.2">
      <c r="A106" s="86">
        <v>0</v>
      </c>
      <c r="B106" s="87"/>
      <c r="C106" s="87"/>
      <c r="D106" s="113" t="s">
        <v>178</v>
      </c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2"/>
      <c r="Q106" s="111" t="s">
        <v>179</v>
      </c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  <c r="AD106" s="111"/>
      <c r="AE106" s="111"/>
      <c r="AF106" s="112">
        <v>384</v>
      </c>
      <c r="AG106" s="112"/>
      <c r="AH106" s="112"/>
      <c r="AI106" s="112"/>
      <c r="AJ106" s="112"/>
      <c r="AK106" s="112">
        <v>0</v>
      </c>
      <c r="AL106" s="112"/>
      <c r="AM106" s="112"/>
      <c r="AN106" s="112"/>
      <c r="AO106" s="112"/>
      <c r="AP106" s="112">
        <v>384</v>
      </c>
      <c r="AQ106" s="112"/>
      <c r="AR106" s="112"/>
      <c r="AS106" s="112"/>
      <c r="AT106" s="112"/>
      <c r="AU106" s="112">
        <v>392</v>
      </c>
      <c r="AV106" s="112"/>
      <c r="AW106" s="112"/>
      <c r="AX106" s="112"/>
      <c r="AY106" s="112"/>
      <c r="AZ106" s="112">
        <v>0</v>
      </c>
      <c r="BA106" s="112"/>
      <c r="BB106" s="112"/>
      <c r="BC106" s="112"/>
      <c r="BD106" s="112"/>
      <c r="BE106" s="112">
        <v>392</v>
      </c>
      <c r="BF106" s="112"/>
      <c r="BG106" s="112"/>
      <c r="BH106" s="112"/>
      <c r="BI106" s="112"/>
      <c r="BJ106" s="112">
        <v>887</v>
      </c>
      <c r="BK106" s="112"/>
      <c r="BL106" s="112"/>
      <c r="BM106" s="112"/>
      <c r="BN106" s="112"/>
      <c r="BO106" s="112">
        <v>0</v>
      </c>
      <c r="BP106" s="112"/>
      <c r="BQ106" s="112"/>
      <c r="BR106" s="112"/>
      <c r="BS106" s="112"/>
      <c r="BT106" s="112">
        <v>887</v>
      </c>
      <c r="BU106" s="112"/>
      <c r="BV106" s="112"/>
      <c r="BW106" s="112"/>
      <c r="BX106" s="112"/>
    </row>
    <row r="107" spans="1:79" s="99" customFormat="1" ht="15" customHeight="1" x14ac:dyDescent="0.2">
      <c r="A107" s="89">
        <v>1</v>
      </c>
      <c r="B107" s="90"/>
      <c r="C107" s="90"/>
      <c r="D107" s="114" t="s">
        <v>180</v>
      </c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4"/>
      <c r="Q107" s="27" t="s">
        <v>179</v>
      </c>
      <c r="R107" s="27"/>
      <c r="S107" s="27"/>
      <c r="T107" s="27"/>
      <c r="U107" s="27"/>
      <c r="V107" s="27" t="s">
        <v>181</v>
      </c>
      <c r="W107" s="27"/>
      <c r="X107" s="27"/>
      <c r="Y107" s="27"/>
      <c r="Z107" s="27"/>
      <c r="AA107" s="27"/>
      <c r="AB107" s="27"/>
      <c r="AC107" s="27"/>
      <c r="AD107" s="27"/>
      <c r="AE107" s="27"/>
      <c r="AF107" s="115">
        <v>284</v>
      </c>
      <c r="AG107" s="115"/>
      <c r="AH107" s="115"/>
      <c r="AI107" s="115"/>
      <c r="AJ107" s="115"/>
      <c r="AK107" s="115">
        <v>0</v>
      </c>
      <c r="AL107" s="115"/>
      <c r="AM107" s="115"/>
      <c r="AN107" s="115"/>
      <c r="AO107" s="115"/>
      <c r="AP107" s="115">
        <v>284</v>
      </c>
      <c r="AQ107" s="115"/>
      <c r="AR107" s="115"/>
      <c r="AS107" s="115"/>
      <c r="AT107" s="115"/>
      <c r="AU107" s="115">
        <v>287</v>
      </c>
      <c r="AV107" s="115"/>
      <c r="AW107" s="115"/>
      <c r="AX107" s="115"/>
      <c r="AY107" s="115"/>
      <c r="AZ107" s="115">
        <v>0</v>
      </c>
      <c r="BA107" s="115"/>
      <c r="BB107" s="115"/>
      <c r="BC107" s="115"/>
      <c r="BD107" s="115"/>
      <c r="BE107" s="115">
        <v>287</v>
      </c>
      <c r="BF107" s="115"/>
      <c r="BG107" s="115"/>
      <c r="BH107" s="115"/>
      <c r="BI107" s="115"/>
      <c r="BJ107" s="115">
        <v>729</v>
      </c>
      <c r="BK107" s="115"/>
      <c r="BL107" s="115"/>
      <c r="BM107" s="115"/>
      <c r="BN107" s="115"/>
      <c r="BO107" s="115">
        <v>0</v>
      </c>
      <c r="BP107" s="115"/>
      <c r="BQ107" s="115"/>
      <c r="BR107" s="115"/>
      <c r="BS107" s="115"/>
      <c r="BT107" s="115">
        <v>729</v>
      </c>
      <c r="BU107" s="115"/>
      <c r="BV107" s="115"/>
      <c r="BW107" s="115"/>
      <c r="BX107" s="115"/>
    </row>
    <row r="108" spans="1:79" s="6" customFormat="1" ht="45" customHeight="1" x14ac:dyDescent="0.2">
      <c r="A108" s="86">
        <v>0</v>
      </c>
      <c r="B108" s="87"/>
      <c r="C108" s="87"/>
      <c r="D108" s="113" t="s">
        <v>178</v>
      </c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2"/>
      <c r="Q108" s="111" t="s">
        <v>179</v>
      </c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  <c r="AC108" s="111"/>
      <c r="AD108" s="111"/>
      <c r="AE108" s="111"/>
      <c r="AF108" s="112">
        <v>384</v>
      </c>
      <c r="AG108" s="112"/>
      <c r="AH108" s="112"/>
      <c r="AI108" s="112"/>
      <c r="AJ108" s="112"/>
      <c r="AK108" s="112">
        <v>0</v>
      </c>
      <c r="AL108" s="112"/>
      <c r="AM108" s="112"/>
      <c r="AN108" s="112"/>
      <c r="AO108" s="112"/>
      <c r="AP108" s="112">
        <v>384</v>
      </c>
      <c r="AQ108" s="112"/>
      <c r="AR108" s="112"/>
      <c r="AS108" s="112"/>
      <c r="AT108" s="112"/>
      <c r="AU108" s="112">
        <v>392</v>
      </c>
      <c r="AV108" s="112"/>
      <c r="AW108" s="112"/>
      <c r="AX108" s="112"/>
      <c r="AY108" s="112"/>
      <c r="AZ108" s="112">
        <v>0</v>
      </c>
      <c r="BA108" s="112"/>
      <c r="BB108" s="112"/>
      <c r="BC108" s="112"/>
      <c r="BD108" s="112"/>
      <c r="BE108" s="112">
        <v>392</v>
      </c>
      <c r="BF108" s="112"/>
      <c r="BG108" s="112"/>
      <c r="BH108" s="112"/>
      <c r="BI108" s="112"/>
      <c r="BJ108" s="112">
        <v>887</v>
      </c>
      <c r="BK108" s="112"/>
      <c r="BL108" s="112"/>
      <c r="BM108" s="112"/>
      <c r="BN108" s="112"/>
      <c r="BO108" s="112">
        <v>0</v>
      </c>
      <c r="BP108" s="112"/>
      <c r="BQ108" s="112"/>
      <c r="BR108" s="112"/>
      <c r="BS108" s="112"/>
      <c r="BT108" s="112">
        <v>887</v>
      </c>
      <c r="BU108" s="112"/>
      <c r="BV108" s="112"/>
      <c r="BW108" s="112"/>
      <c r="BX108" s="112"/>
    </row>
    <row r="109" spans="1:79" s="99" customFormat="1" ht="15" customHeight="1" x14ac:dyDescent="0.2">
      <c r="A109" s="89">
        <v>2</v>
      </c>
      <c r="B109" s="90"/>
      <c r="C109" s="90"/>
      <c r="D109" s="114" t="s">
        <v>182</v>
      </c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4"/>
      <c r="Q109" s="27" t="s">
        <v>179</v>
      </c>
      <c r="R109" s="27"/>
      <c r="S109" s="27"/>
      <c r="T109" s="27"/>
      <c r="U109" s="27"/>
      <c r="V109" s="27" t="s">
        <v>181</v>
      </c>
      <c r="W109" s="27"/>
      <c r="X109" s="27"/>
      <c r="Y109" s="27"/>
      <c r="Z109" s="27"/>
      <c r="AA109" s="27"/>
      <c r="AB109" s="27"/>
      <c r="AC109" s="27"/>
      <c r="AD109" s="27"/>
      <c r="AE109" s="27"/>
      <c r="AF109" s="115">
        <v>100</v>
      </c>
      <c r="AG109" s="115"/>
      <c r="AH109" s="115"/>
      <c r="AI109" s="115"/>
      <c r="AJ109" s="115"/>
      <c r="AK109" s="115">
        <v>0</v>
      </c>
      <c r="AL109" s="115"/>
      <c r="AM109" s="115"/>
      <c r="AN109" s="115"/>
      <c r="AO109" s="115"/>
      <c r="AP109" s="115">
        <v>100</v>
      </c>
      <c r="AQ109" s="115"/>
      <c r="AR109" s="115"/>
      <c r="AS109" s="115"/>
      <c r="AT109" s="115"/>
      <c r="AU109" s="115">
        <v>105</v>
      </c>
      <c r="AV109" s="115"/>
      <c r="AW109" s="115"/>
      <c r="AX109" s="115"/>
      <c r="AY109" s="115"/>
      <c r="AZ109" s="115">
        <v>0</v>
      </c>
      <c r="BA109" s="115"/>
      <c r="BB109" s="115"/>
      <c r="BC109" s="115"/>
      <c r="BD109" s="115"/>
      <c r="BE109" s="115">
        <v>105</v>
      </c>
      <c r="BF109" s="115"/>
      <c r="BG109" s="115"/>
      <c r="BH109" s="115"/>
      <c r="BI109" s="115"/>
      <c r="BJ109" s="115">
        <v>158</v>
      </c>
      <c r="BK109" s="115"/>
      <c r="BL109" s="115"/>
      <c r="BM109" s="115"/>
      <c r="BN109" s="115"/>
      <c r="BO109" s="115">
        <v>0</v>
      </c>
      <c r="BP109" s="115"/>
      <c r="BQ109" s="115"/>
      <c r="BR109" s="115"/>
      <c r="BS109" s="115"/>
      <c r="BT109" s="115">
        <v>158</v>
      </c>
      <c r="BU109" s="115"/>
      <c r="BV109" s="115"/>
      <c r="BW109" s="115"/>
      <c r="BX109" s="115"/>
    </row>
    <row r="110" spans="1:79" s="6" customFormat="1" ht="15" customHeight="1" x14ac:dyDescent="0.2">
      <c r="A110" s="86">
        <v>0</v>
      </c>
      <c r="B110" s="87"/>
      <c r="C110" s="87"/>
      <c r="D110" s="113" t="s">
        <v>183</v>
      </c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2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2"/>
      <c r="AG110" s="112"/>
      <c r="AH110" s="112"/>
      <c r="AI110" s="112"/>
      <c r="AJ110" s="112"/>
      <c r="AK110" s="112"/>
      <c r="AL110" s="112"/>
      <c r="AM110" s="112"/>
      <c r="AN110" s="112"/>
      <c r="AO110" s="112"/>
      <c r="AP110" s="112"/>
      <c r="AQ110" s="112"/>
      <c r="AR110" s="112"/>
      <c r="AS110" s="112"/>
      <c r="AT110" s="112"/>
      <c r="AU110" s="112"/>
      <c r="AV110" s="112"/>
      <c r="AW110" s="112"/>
      <c r="AX110" s="112"/>
      <c r="AY110" s="112"/>
      <c r="AZ110" s="112"/>
      <c r="BA110" s="112"/>
      <c r="BB110" s="112"/>
      <c r="BC110" s="112"/>
      <c r="BD110" s="112"/>
      <c r="BE110" s="112"/>
      <c r="BF110" s="112"/>
      <c r="BG110" s="112"/>
      <c r="BH110" s="112"/>
      <c r="BI110" s="112"/>
      <c r="BJ110" s="112"/>
      <c r="BK110" s="112"/>
      <c r="BL110" s="112"/>
      <c r="BM110" s="112"/>
      <c r="BN110" s="112"/>
      <c r="BO110" s="112"/>
      <c r="BP110" s="112"/>
      <c r="BQ110" s="112"/>
      <c r="BR110" s="112"/>
      <c r="BS110" s="112"/>
      <c r="BT110" s="112"/>
      <c r="BU110" s="112"/>
      <c r="BV110" s="112"/>
      <c r="BW110" s="112"/>
      <c r="BX110" s="112"/>
    </row>
    <row r="111" spans="1:79" s="6" customFormat="1" ht="28.5" customHeight="1" x14ac:dyDescent="0.2">
      <c r="A111" s="86">
        <v>0</v>
      </c>
      <c r="B111" s="87"/>
      <c r="C111" s="87"/>
      <c r="D111" s="113" t="s">
        <v>184</v>
      </c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2"/>
      <c r="Q111" s="111" t="s">
        <v>179</v>
      </c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  <c r="AD111" s="111"/>
      <c r="AE111" s="111"/>
      <c r="AF111" s="112">
        <v>384</v>
      </c>
      <c r="AG111" s="112"/>
      <c r="AH111" s="112"/>
      <c r="AI111" s="112"/>
      <c r="AJ111" s="112"/>
      <c r="AK111" s="112">
        <v>0</v>
      </c>
      <c r="AL111" s="112"/>
      <c r="AM111" s="112"/>
      <c r="AN111" s="112"/>
      <c r="AO111" s="112"/>
      <c r="AP111" s="112">
        <v>384</v>
      </c>
      <c r="AQ111" s="112"/>
      <c r="AR111" s="112"/>
      <c r="AS111" s="112"/>
      <c r="AT111" s="112"/>
      <c r="AU111" s="112">
        <v>392</v>
      </c>
      <c r="AV111" s="112"/>
      <c r="AW111" s="112"/>
      <c r="AX111" s="112"/>
      <c r="AY111" s="112"/>
      <c r="AZ111" s="112">
        <v>0</v>
      </c>
      <c r="BA111" s="112"/>
      <c r="BB111" s="112"/>
      <c r="BC111" s="112"/>
      <c r="BD111" s="112"/>
      <c r="BE111" s="112">
        <v>392</v>
      </c>
      <c r="BF111" s="112"/>
      <c r="BG111" s="112"/>
      <c r="BH111" s="112"/>
      <c r="BI111" s="112"/>
      <c r="BJ111" s="112">
        <v>887</v>
      </c>
      <c r="BK111" s="112"/>
      <c r="BL111" s="112"/>
      <c r="BM111" s="112"/>
      <c r="BN111" s="112"/>
      <c r="BO111" s="112">
        <v>0</v>
      </c>
      <c r="BP111" s="112"/>
      <c r="BQ111" s="112"/>
      <c r="BR111" s="112"/>
      <c r="BS111" s="112"/>
      <c r="BT111" s="112">
        <v>887</v>
      </c>
      <c r="BU111" s="112"/>
      <c r="BV111" s="112"/>
      <c r="BW111" s="112"/>
      <c r="BX111" s="112"/>
    </row>
    <row r="112" spans="1:79" s="99" customFormat="1" ht="28.5" customHeight="1" x14ac:dyDescent="0.2">
      <c r="A112" s="89">
        <v>1</v>
      </c>
      <c r="B112" s="90"/>
      <c r="C112" s="90"/>
      <c r="D112" s="114" t="s">
        <v>184</v>
      </c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4"/>
      <c r="Q112" s="27" t="s">
        <v>179</v>
      </c>
      <c r="R112" s="27"/>
      <c r="S112" s="27"/>
      <c r="T112" s="27"/>
      <c r="U112" s="27"/>
      <c r="V112" s="27" t="s">
        <v>181</v>
      </c>
      <c r="W112" s="27"/>
      <c r="X112" s="27"/>
      <c r="Y112" s="27"/>
      <c r="Z112" s="27"/>
      <c r="AA112" s="27"/>
      <c r="AB112" s="27"/>
      <c r="AC112" s="27"/>
      <c r="AD112" s="27"/>
      <c r="AE112" s="27"/>
      <c r="AF112" s="115">
        <v>0</v>
      </c>
      <c r="AG112" s="115"/>
      <c r="AH112" s="115"/>
      <c r="AI112" s="115"/>
      <c r="AJ112" s="115"/>
      <c r="AK112" s="115">
        <v>0</v>
      </c>
      <c r="AL112" s="115"/>
      <c r="AM112" s="115"/>
      <c r="AN112" s="115"/>
      <c r="AO112" s="115"/>
      <c r="AP112" s="115">
        <v>0</v>
      </c>
      <c r="AQ112" s="115"/>
      <c r="AR112" s="115"/>
      <c r="AS112" s="115"/>
      <c r="AT112" s="115"/>
      <c r="AU112" s="115">
        <v>0</v>
      </c>
      <c r="AV112" s="115"/>
      <c r="AW112" s="115"/>
      <c r="AX112" s="115"/>
      <c r="AY112" s="115"/>
      <c r="AZ112" s="115">
        <v>0</v>
      </c>
      <c r="BA112" s="115"/>
      <c r="BB112" s="115"/>
      <c r="BC112" s="115"/>
      <c r="BD112" s="115"/>
      <c r="BE112" s="115">
        <v>0</v>
      </c>
      <c r="BF112" s="115"/>
      <c r="BG112" s="115"/>
      <c r="BH112" s="115"/>
      <c r="BI112" s="115"/>
      <c r="BJ112" s="115">
        <v>0</v>
      </c>
      <c r="BK112" s="115"/>
      <c r="BL112" s="115"/>
      <c r="BM112" s="115"/>
      <c r="BN112" s="115"/>
      <c r="BO112" s="115">
        <v>0</v>
      </c>
      <c r="BP112" s="115"/>
      <c r="BQ112" s="115"/>
      <c r="BR112" s="115"/>
      <c r="BS112" s="115"/>
      <c r="BT112" s="115">
        <v>0</v>
      </c>
      <c r="BU112" s="115"/>
      <c r="BV112" s="115"/>
      <c r="BW112" s="115"/>
      <c r="BX112" s="115"/>
    </row>
    <row r="113" spans="1:76" s="6" customFormat="1" ht="30" customHeight="1" x14ac:dyDescent="0.2">
      <c r="A113" s="86">
        <v>0</v>
      </c>
      <c r="B113" s="87"/>
      <c r="C113" s="87"/>
      <c r="D113" s="113" t="s">
        <v>184</v>
      </c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2"/>
      <c r="Q113" s="111" t="s">
        <v>179</v>
      </c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2">
        <v>384</v>
      </c>
      <c r="AG113" s="112"/>
      <c r="AH113" s="112"/>
      <c r="AI113" s="112"/>
      <c r="AJ113" s="112"/>
      <c r="AK113" s="112">
        <v>0</v>
      </c>
      <c r="AL113" s="112"/>
      <c r="AM113" s="112"/>
      <c r="AN113" s="112"/>
      <c r="AO113" s="112"/>
      <c r="AP113" s="112">
        <v>384</v>
      </c>
      <c r="AQ113" s="112"/>
      <c r="AR113" s="112"/>
      <c r="AS113" s="112"/>
      <c r="AT113" s="112"/>
      <c r="AU113" s="112">
        <v>392</v>
      </c>
      <c r="AV113" s="112"/>
      <c r="AW113" s="112"/>
      <c r="AX113" s="112"/>
      <c r="AY113" s="112"/>
      <c r="AZ113" s="112">
        <v>0</v>
      </c>
      <c r="BA113" s="112"/>
      <c r="BB113" s="112"/>
      <c r="BC113" s="112"/>
      <c r="BD113" s="112"/>
      <c r="BE113" s="112">
        <v>392</v>
      </c>
      <c r="BF113" s="112"/>
      <c r="BG113" s="112"/>
      <c r="BH113" s="112"/>
      <c r="BI113" s="112"/>
      <c r="BJ113" s="112">
        <v>887</v>
      </c>
      <c r="BK113" s="112"/>
      <c r="BL113" s="112"/>
      <c r="BM113" s="112"/>
      <c r="BN113" s="112"/>
      <c r="BO113" s="112">
        <v>0</v>
      </c>
      <c r="BP113" s="112"/>
      <c r="BQ113" s="112"/>
      <c r="BR113" s="112"/>
      <c r="BS113" s="112"/>
      <c r="BT113" s="112">
        <v>887</v>
      </c>
      <c r="BU113" s="112"/>
      <c r="BV113" s="112"/>
      <c r="BW113" s="112"/>
      <c r="BX113" s="112"/>
    </row>
    <row r="114" spans="1:76" s="99" customFormat="1" ht="15" customHeight="1" x14ac:dyDescent="0.2">
      <c r="A114" s="89">
        <v>2</v>
      </c>
      <c r="B114" s="90"/>
      <c r="C114" s="90"/>
      <c r="D114" s="114" t="s">
        <v>180</v>
      </c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4"/>
      <c r="Q114" s="27" t="s">
        <v>179</v>
      </c>
      <c r="R114" s="27"/>
      <c r="S114" s="27"/>
      <c r="T114" s="27"/>
      <c r="U114" s="27"/>
      <c r="V114" s="27" t="s">
        <v>181</v>
      </c>
      <c r="W114" s="27"/>
      <c r="X114" s="27"/>
      <c r="Y114" s="27"/>
      <c r="Z114" s="27"/>
      <c r="AA114" s="27"/>
      <c r="AB114" s="27"/>
      <c r="AC114" s="27"/>
      <c r="AD114" s="27"/>
      <c r="AE114" s="27"/>
      <c r="AF114" s="115">
        <v>284</v>
      </c>
      <c r="AG114" s="115"/>
      <c r="AH114" s="115"/>
      <c r="AI114" s="115"/>
      <c r="AJ114" s="115"/>
      <c r="AK114" s="115">
        <v>0</v>
      </c>
      <c r="AL114" s="115"/>
      <c r="AM114" s="115"/>
      <c r="AN114" s="115"/>
      <c r="AO114" s="115"/>
      <c r="AP114" s="115">
        <v>284</v>
      </c>
      <c r="AQ114" s="115"/>
      <c r="AR114" s="115"/>
      <c r="AS114" s="115"/>
      <c r="AT114" s="115"/>
      <c r="AU114" s="115">
        <v>287</v>
      </c>
      <c r="AV114" s="115"/>
      <c r="AW114" s="115"/>
      <c r="AX114" s="115"/>
      <c r="AY114" s="115"/>
      <c r="AZ114" s="115">
        <v>0</v>
      </c>
      <c r="BA114" s="115"/>
      <c r="BB114" s="115"/>
      <c r="BC114" s="115"/>
      <c r="BD114" s="115"/>
      <c r="BE114" s="115">
        <v>287</v>
      </c>
      <c r="BF114" s="115"/>
      <c r="BG114" s="115"/>
      <c r="BH114" s="115"/>
      <c r="BI114" s="115"/>
      <c r="BJ114" s="115">
        <v>729</v>
      </c>
      <c r="BK114" s="115"/>
      <c r="BL114" s="115"/>
      <c r="BM114" s="115"/>
      <c r="BN114" s="115"/>
      <c r="BO114" s="115">
        <v>0</v>
      </c>
      <c r="BP114" s="115"/>
      <c r="BQ114" s="115"/>
      <c r="BR114" s="115"/>
      <c r="BS114" s="115"/>
      <c r="BT114" s="115">
        <v>729</v>
      </c>
      <c r="BU114" s="115"/>
      <c r="BV114" s="115"/>
      <c r="BW114" s="115"/>
      <c r="BX114" s="115"/>
    </row>
    <row r="115" spans="1:76" s="6" customFormat="1" ht="30" customHeight="1" x14ac:dyDescent="0.2">
      <c r="A115" s="86">
        <v>0</v>
      </c>
      <c r="B115" s="87"/>
      <c r="C115" s="87"/>
      <c r="D115" s="113" t="s">
        <v>184</v>
      </c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2"/>
      <c r="Q115" s="111" t="s">
        <v>179</v>
      </c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2">
        <v>384</v>
      </c>
      <c r="AG115" s="112"/>
      <c r="AH115" s="112"/>
      <c r="AI115" s="112"/>
      <c r="AJ115" s="112"/>
      <c r="AK115" s="112">
        <v>0</v>
      </c>
      <c r="AL115" s="112"/>
      <c r="AM115" s="112"/>
      <c r="AN115" s="112"/>
      <c r="AO115" s="112"/>
      <c r="AP115" s="112">
        <v>384</v>
      </c>
      <c r="AQ115" s="112"/>
      <c r="AR115" s="112"/>
      <c r="AS115" s="112"/>
      <c r="AT115" s="112"/>
      <c r="AU115" s="112">
        <v>392</v>
      </c>
      <c r="AV115" s="112"/>
      <c r="AW115" s="112"/>
      <c r="AX115" s="112"/>
      <c r="AY115" s="112"/>
      <c r="AZ115" s="112">
        <v>0</v>
      </c>
      <c r="BA115" s="112"/>
      <c r="BB115" s="112"/>
      <c r="BC115" s="112"/>
      <c r="BD115" s="112"/>
      <c r="BE115" s="112">
        <v>392</v>
      </c>
      <c r="BF115" s="112"/>
      <c r="BG115" s="112"/>
      <c r="BH115" s="112"/>
      <c r="BI115" s="112"/>
      <c r="BJ115" s="112">
        <v>887</v>
      </c>
      <c r="BK115" s="112"/>
      <c r="BL115" s="112"/>
      <c r="BM115" s="112"/>
      <c r="BN115" s="112"/>
      <c r="BO115" s="112">
        <v>0</v>
      </c>
      <c r="BP115" s="112"/>
      <c r="BQ115" s="112"/>
      <c r="BR115" s="112"/>
      <c r="BS115" s="112"/>
      <c r="BT115" s="112">
        <v>887</v>
      </c>
      <c r="BU115" s="112"/>
      <c r="BV115" s="112"/>
      <c r="BW115" s="112"/>
      <c r="BX115" s="112"/>
    </row>
    <row r="116" spans="1:76" s="99" customFormat="1" ht="15" customHeight="1" x14ac:dyDescent="0.2">
      <c r="A116" s="89">
        <v>3</v>
      </c>
      <c r="B116" s="90"/>
      <c r="C116" s="90"/>
      <c r="D116" s="114" t="s">
        <v>182</v>
      </c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4"/>
      <c r="Q116" s="27" t="s">
        <v>179</v>
      </c>
      <c r="R116" s="27"/>
      <c r="S116" s="27"/>
      <c r="T116" s="27"/>
      <c r="U116" s="27"/>
      <c r="V116" s="27" t="s">
        <v>181</v>
      </c>
      <c r="W116" s="27"/>
      <c r="X116" s="27"/>
      <c r="Y116" s="27"/>
      <c r="Z116" s="27"/>
      <c r="AA116" s="27"/>
      <c r="AB116" s="27"/>
      <c r="AC116" s="27"/>
      <c r="AD116" s="27"/>
      <c r="AE116" s="27"/>
      <c r="AF116" s="115">
        <v>100</v>
      </c>
      <c r="AG116" s="115"/>
      <c r="AH116" s="115"/>
      <c r="AI116" s="115"/>
      <c r="AJ116" s="115"/>
      <c r="AK116" s="115">
        <v>0</v>
      </c>
      <c r="AL116" s="115"/>
      <c r="AM116" s="115"/>
      <c r="AN116" s="115"/>
      <c r="AO116" s="115"/>
      <c r="AP116" s="115">
        <v>100</v>
      </c>
      <c r="AQ116" s="115"/>
      <c r="AR116" s="115"/>
      <c r="AS116" s="115"/>
      <c r="AT116" s="115"/>
      <c r="AU116" s="115">
        <v>105</v>
      </c>
      <c r="AV116" s="115"/>
      <c r="AW116" s="115"/>
      <c r="AX116" s="115"/>
      <c r="AY116" s="115"/>
      <c r="AZ116" s="115">
        <v>0</v>
      </c>
      <c r="BA116" s="115"/>
      <c r="BB116" s="115"/>
      <c r="BC116" s="115"/>
      <c r="BD116" s="115"/>
      <c r="BE116" s="115">
        <v>105</v>
      </c>
      <c r="BF116" s="115"/>
      <c r="BG116" s="115"/>
      <c r="BH116" s="115"/>
      <c r="BI116" s="115"/>
      <c r="BJ116" s="115">
        <v>158</v>
      </c>
      <c r="BK116" s="115"/>
      <c r="BL116" s="115"/>
      <c r="BM116" s="115"/>
      <c r="BN116" s="115"/>
      <c r="BO116" s="115">
        <v>0</v>
      </c>
      <c r="BP116" s="115"/>
      <c r="BQ116" s="115"/>
      <c r="BR116" s="115"/>
      <c r="BS116" s="115"/>
      <c r="BT116" s="115">
        <v>158</v>
      </c>
      <c r="BU116" s="115"/>
      <c r="BV116" s="115"/>
      <c r="BW116" s="115"/>
      <c r="BX116" s="115"/>
    </row>
    <row r="117" spans="1:76" s="6" customFormat="1" ht="15" customHeight="1" x14ac:dyDescent="0.2">
      <c r="A117" s="86">
        <v>0</v>
      </c>
      <c r="B117" s="87"/>
      <c r="C117" s="87"/>
      <c r="D117" s="113" t="s">
        <v>185</v>
      </c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2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2"/>
      <c r="AG117" s="112"/>
      <c r="AH117" s="112"/>
      <c r="AI117" s="112"/>
      <c r="AJ117" s="112"/>
      <c r="AK117" s="112"/>
      <c r="AL117" s="112"/>
      <c r="AM117" s="112"/>
      <c r="AN117" s="112"/>
      <c r="AO117" s="112"/>
      <c r="AP117" s="112"/>
      <c r="AQ117" s="112"/>
      <c r="AR117" s="112"/>
      <c r="AS117" s="112"/>
      <c r="AT117" s="112"/>
      <c r="AU117" s="112"/>
      <c r="AV117" s="112"/>
      <c r="AW117" s="112"/>
      <c r="AX117" s="112"/>
      <c r="AY117" s="112"/>
      <c r="AZ117" s="112"/>
      <c r="BA117" s="112"/>
      <c r="BB117" s="112"/>
      <c r="BC117" s="112"/>
      <c r="BD117" s="112"/>
      <c r="BE117" s="112"/>
      <c r="BF117" s="112"/>
      <c r="BG117" s="112"/>
      <c r="BH117" s="112"/>
      <c r="BI117" s="112"/>
      <c r="BJ117" s="112"/>
      <c r="BK117" s="112"/>
      <c r="BL117" s="112"/>
      <c r="BM117" s="112"/>
      <c r="BN117" s="112"/>
      <c r="BO117" s="112"/>
      <c r="BP117" s="112"/>
      <c r="BQ117" s="112"/>
      <c r="BR117" s="112"/>
      <c r="BS117" s="112"/>
      <c r="BT117" s="112"/>
      <c r="BU117" s="112"/>
      <c r="BV117" s="112"/>
      <c r="BW117" s="112"/>
      <c r="BX117" s="112"/>
    </row>
    <row r="118" spans="1:76" s="6" customFormat="1" ht="28.5" customHeight="1" x14ac:dyDescent="0.2">
      <c r="A118" s="86">
        <v>0</v>
      </c>
      <c r="B118" s="87"/>
      <c r="C118" s="87"/>
      <c r="D118" s="113" t="s">
        <v>186</v>
      </c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2"/>
      <c r="Q118" s="111" t="s">
        <v>187</v>
      </c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  <c r="AE118" s="111"/>
      <c r="AF118" s="112">
        <v>3834</v>
      </c>
      <c r="AG118" s="112"/>
      <c r="AH118" s="112"/>
      <c r="AI118" s="112"/>
      <c r="AJ118" s="112"/>
      <c r="AK118" s="112">
        <v>0</v>
      </c>
      <c r="AL118" s="112"/>
      <c r="AM118" s="112"/>
      <c r="AN118" s="112"/>
      <c r="AO118" s="112"/>
      <c r="AP118" s="112">
        <v>3834</v>
      </c>
      <c r="AQ118" s="112"/>
      <c r="AR118" s="112"/>
      <c r="AS118" s="112"/>
      <c r="AT118" s="112"/>
      <c r="AU118" s="112">
        <v>4409</v>
      </c>
      <c r="AV118" s="112"/>
      <c r="AW118" s="112"/>
      <c r="AX118" s="112"/>
      <c r="AY118" s="112"/>
      <c r="AZ118" s="112">
        <v>0</v>
      </c>
      <c r="BA118" s="112"/>
      <c r="BB118" s="112"/>
      <c r="BC118" s="112"/>
      <c r="BD118" s="112"/>
      <c r="BE118" s="112">
        <v>4409</v>
      </c>
      <c r="BF118" s="112"/>
      <c r="BG118" s="112"/>
      <c r="BH118" s="112"/>
      <c r="BI118" s="112"/>
      <c r="BJ118" s="112">
        <v>4630</v>
      </c>
      <c r="BK118" s="112"/>
      <c r="BL118" s="112"/>
      <c r="BM118" s="112"/>
      <c r="BN118" s="112"/>
      <c r="BO118" s="112">
        <v>0</v>
      </c>
      <c r="BP118" s="112"/>
      <c r="BQ118" s="112"/>
      <c r="BR118" s="112"/>
      <c r="BS118" s="112"/>
      <c r="BT118" s="112">
        <v>4630</v>
      </c>
      <c r="BU118" s="112"/>
      <c r="BV118" s="112"/>
      <c r="BW118" s="112"/>
      <c r="BX118" s="112"/>
    </row>
    <row r="119" spans="1:76" s="99" customFormat="1" ht="28.5" customHeight="1" x14ac:dyDescent="0.2">
      <c r="A119" s="89">
        <v>1</v>
      </c>
      <c r="B119" s="90"/>
      <c r="C119" s="90"/>
      <c r="D119" s="114" t="s">
        <v>186</v>
      </c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4"/>
      <c r="Q119" s="27" t="s">
        <v>187</v>
      </c>
      <c r="R119" s="27"/>
      <c r="S119" s="27"/>
      <c r="T119" s="27"/>
      <c r="U119" s="27"/>
      <c r="V119" s="114" t="s">
        <v>188</v>
      </c>
      <c r="W119" s="93"/>
      <c r="X119" s="93"/>
      <c r="Y119" s="93"/>
      <c r="Z119" s="93"/>
      <c r="AA119" s="93"/>
      <c r="AB119" s="93"/>
      <c r="AC119" s="93"/>
      <c r="AD119" s="93"/>
      <c r="AE119" s="94"/>
      <c r="AF119" s="115">
        <v>0</v>
      </c>
      <c r="AG119" s="115"/>
      <c r="AH119" s="115"/>
      <c r="AI119" s="115"/>
      <c r="AJ119" s="115"/>
      <c r="AK119" s="115">
        <v>0</v>
      </c>
      <c r="AL119" s="115"/>
      <c r="AM119" s="115"/>
      <c r="AN119" s="115"/>
      <c r="AO119" s="115"/>
      <c r="AP119" s="115">
        <v>0</v>
      </c>
      <c r="AQ119" s="115"/>
      <c r="AR119" s="115"/>
      <c r="AS119" s="115"/>
      <c r="AT119" s="115"/>
      <c r="AU119" s="115">
        <v>0</v>
      </c>
      <c r="AV119" s="115"/>
      <c r="AW119" s="115"/>
      <c r="AX119" s="115"/>
      <c r="AY119" s="115"/>
      <c r="AZ119" s="115">
        <v>0</v>
      </c>
      <c r="BA119" s="115"/>
      <c r="BB119" s="115"/>
      <c r="BC119" s="115"/>
      <c r="BD119" s="115"/>
      <c r="BE119" s="115">
        <v>0</v>
      </c>
      <c r="BF119" s="115"/>
      <c r="BG119" s="115"/>
      <c r="BH119" s="115"/>
      <c r="BI119" s="115"/>
      <c r="BJ119" s="115">
        <v>0</v>
      </c>
      <c r="BK119" s="115"/>
      <c r="BL119" s="115"/>
      <c r="BM119" s="115"/>
      <c r="BN119" s="115"/>
      <c r="BO119" s="115">
        <v>0</v>
      </c>
      <c r="BP119" s="115"/>
      <c r="BQ119" s="115"/>
      <c r="BR119" s="115"/>
      <c r="BS119" s="115"/>
      <c r="BT119" s="115">
        <v>0</v>
      </c>
      <c r="BU119" s="115"/>
      <c r="BV119" s="115"/>
      <c r="BW119" s="115"/>
      <c r="BX119" s="115"/>
    </row>
    <row r="120" spans="1:76" s="6" customFormat="1" ht="30" customHeight="1" x14ac:dyDescent="0.2">
      <c r="A120" s="86">
        <v>0</v>
      </c>
      <c r="B120" s="87"/>
      <c r="C120" s="87"/>
      <c r="D120" s="113" t="s">
        <v>186</v>
      </c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2"/>
      <c r="Q120" s="111" t="s">
        <v>187</v>
      </c>
      <c r="R120" s="111"/>
      <c r="S120" s="111"/>
      <c r="T120" s="111"/>
      <c r="U120" s="111"/>
      <c r="V120" s="113"/>
      <c r="W120" s="101"/>
      <c r="X120" s="101"/>
      <c r="Y120" s="101"/>
      <c r="Z120" s="101"/>
      <c r="AA120" s="101"/>
      <c r="AB120" s="101"/>
      <c r="AC120" s="101"/>
      <c r="AD120" s="101"/>
      <c r="AE120" s="102"/>
      <c r="AF120" s="112">
        <v>3834</v>
      </c>
      <c r="AG120" s="112"/>
      <c r="AH120" s="112"/>
      <c r="AI120" s="112"/>
      <c r="AJ120" s="112"/>
      <c r="AK120" s="112">
        <v>0</v>
      </c>
      <c r="AL120" s="112"/>
      <c r="AM120" s="112"/>
      <c r="AN120" s="112"/>
      <c r="AO120" s="112"/>
      <c r="AP120" s="112">
        <v>3834</v>
      </c>
      <c r="AQ120" s="112"/>
      <c r="AR120" s="112"/>
      <c r="AS120" s="112"/>
      <c r="AT120" s="112"/>
      <c r="AU120" s="112">
        <v>4409</v>
      </c>
      <c r="AV120" s="112"/>
      <c r="AW120" s="112"/>
      <c r="AX120" s="112"/>
      <c r="AY120" s="112"/>
      <c r="AZ120" s="112">
        <v>0</v>
      </c>
      <c r="BA120" s="112"/>
      <c r="BB120" s="112"/>
      <c r="BC120" s="112"/>
      <c r="BD120" s="112"/>
      <c r="BE120" s="112">
        <v>4409</v>
      </c>
      <c r="BF120" s="112"/>
      <c r="BG120" s="112"/>
      <c r="BH120" s="112"/>
      <c r="BI120" s="112"/>
      <c r="BJ120" s="112">
        <v>4630</v>
      </c>
      <c r="BK120" s="112"/>
      <c r="BL120" s="112"/>
      <c r="BM120" s="112"/>
      <c r="BN120" s="112"/>
      <c r="BO120" s="112">
        <v>0</v>
      </c>
      <c r="BP120" s="112"/>
      <c r="BQ120" s="112"/>
      <c r="BR120" s="112"/>
      <c r="BS120" s="112"/>
      <c r="BT120" s="112">
        <v>4630</v>
      </c>
      <c r="BU120" s="112"/>
      <c r="BV120" s="112"/>
      <c r="BW120" s="112"/>
      <c r="BX120" s="112"/>
    </row>
    <row r="121" spans="1:76" s="99" customFormat="1" ht="15" customHeight="1" x14ac:dyDescent="0.2">
      <c r="A121" s="89">
        <v>2</v>
      </c>
      <c r="B121" s="90"/>
      <c r="C121" s="90"/>
      <c r="D121" s="114" t="s">
        <v>180</v>
      </c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4"/>
      <c r="Q121" s="27" t="s">
        <v>187</v>
      </c>
      <c r="R121" s="27"/>
      <c r="S121" s="27"/>
      <c r="T121" s="27"/>
      <c r="U121" s="27"/>
      <c r="V121" s="114" t="s">
        <v>188</v>
      </c>
      <c r="W121" s="93"/>
      <c r="X121" s="93"/>
      <c r="Y121" s="93"/>
      <c r="Z121" s="93"/>
      <c r="AA121" s="93"/>
      <c r="AB121" s="93"/>
      <c r="AC121" s="93"/>
      <c r="AD121" s="93"/>
      <c r="AE121" s="94"/>
      <c r="AF121" s="115">
        <v>1019</v>
      </c>
      <c r="AG121" s="115"/>
      <c r="AH121" s="115"/>
      <c r="AI121" s="115"/>
      <c r="AJ121" s="115"/>
      <c r="AK121" s="115">
        <v>0</v>
      </c>
      <c r="AL121" s="115"/>
      <c r="AM121" s="115"/>
      <c r="AN121" s="115"/>
      <c r="AO121" s="115"/>
      <c r="AP121" s="115">
        <v>1019</v>
      </c>
      <c r="AQ121" s="115"/>
      <c r="AR121" s="115"/>
      <c r="AS121" s="115"/>
      <c r="AT121" s="115"/>
      <c r="AU121" s="115">
        <v>1031</v>
      </c>
      <c r="AV121" s="115"/>
      <c r="AW121" s="115"/>
      <c r="AX121" s="115"/>
      <c r="AY121" s="115"/>
      <c r="AZ121" s="115">
        <v>0</v>
      </c>
      <c r="BA121" s="115"/>
      <c r="BB121" s="115"/>
      <c r="BC121" s="115"/>
      <c r="BD121" s="115"/>
      <c r="BE121" s="115">
        <v>1031</v>
      </c>
      <c r="BF121" s="115"/>
      <c r="BG121" s="115"/>
      <c r="BH121" s="115"/>
      <c r="BI121" s="115"/>
      <c r="BJ121" s="115">
        <v>1083</v>
      </c>
      <c r="BK121" s="115"/>
      <c r="BL121" s="115"/>
      <c r="BM121" s="115"/>
      <c r="BN121" s="115"/>
      <c r="BO121" s="115">
        <v>0</v>
      </c>
      <c r="BP121" s="115"/>
      <c r="BQ121" s="115"/>
      <c r="BR121" s="115"/>
      <c r="BS121" s="115"/>
      <c r="BT121" s="115">
        <v>1083</v>
      </c>
      <c r="BU121" s="115"/>
      <c r="BV121" s="115"/>
      <c r="BW121" s="115"/>
      <c r="BX121" s="115"/>
    </row>
    <row r="122" spans="1:76" s="6" customFormat="1" ht="30" customHeight="1" x14ac:dyDescent="0.2">
      <c r="A122" s="86">
        <v>0</v>
      </c>
      <c r="B122" s="87"/>
      <c r="C122" s="87"/>
      <c r="D122" s="113" t="s">
        <v>186</v>
      </c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2"/>
      <c r="Q122" s="111" t="s">
        <v>187</v>
      </c>
      <c r="R122" s="111"/>
      <c r="S122" s="111"/>
      <c r="T122" s="111"/>
      <c r="U122" s="111"/>
      <c r="V122" s="113"/>
      <c r="W122" s="101"/>
      <c r="X122" s="101"/>
      <c r="Y122" s="101"/>
      <c r="Z122" s="101"/>
      <c r="AA122" s="101"/>
      <c r="AB122" s="101"/>
      <c r="AC122" s="101"/>
      <c r="AD122" s="101"/>
      <c r="AE122" s="102"/>
      <c r="AF122" s="112">
        <v>3834</v>
      </c>
      <c r="AG122" s="112"/>
      <c r="AH122" s="112"/>
      <c r="AI122" s="112"/>
      <c r="AJ122" s="112"/>
      <c r="AK122" s="112">
        <v>0</v>
      </c>
      <c r="AL122" s="112"/>
      <c r="AM122" s="112"/>
      <c r="AN122" s="112"/>
      <c r="AO122" s="112"/>
      <c r="AP122" s="112">
        <v>3834</v>
      </c>
      <c r="AQ122" s="112"/>
      <c r="AR122" s="112"/>
      <c r="AS122" s="112"/>
      <c r="AT122" s="112"/>
      <c r="AU122" s="112">
        <v>4409</v>
      </c>
      <c r="AV122" s="112"/>
      <c r="AW122" s="112"/>
      <c r="AX122" s="112"/>
      <c r="AY122" s="112"/>
      <c r="AZ122" s="112">
        <v>0</v>
      </c>
      <c r="BA122" s="112"/>
      <c r="BB122" s="112"/>
      <c r="BC122" s="112"/>
      <c r="BD122" s="112"/>
      <c r="BE122" s="112">
        <v>4409</v>
      </c>
      <c r="BF122" s="112"/>
      <c r="BG122" s="112"/>
      <c r="BH122" s="112"/>
      <c r="BI122" s="112"/>
      <c r="BJ122" s="112">
        <v>4630</v>
      </c>
      <c r="BK122" s="112"/>
      <c r="BL122" s="112"/>
      <c r="BM122" s="112"/>
      <c r="BN122" s="112"/>
      <c r="BO122" s="112">
        <v>0</v>
      </c>
      <c r="BP122" s="112"/>
      <c r="BQ122" s="112"/>
      <c r="BR122" s="112"/>
      <c r="BS122" s="112"/>
      <c r="BT122" s="112">
        <v>4630</v>
      </c>
      <c r="BU122" s="112"/>
      <c r="BV122" s="112"/>
      <c r="BW122" s="112"/>
      <c r="BX122" s="112"/>
    </row>
    <row r="123" spans="1:76" s="99" customFormat="1" ht="15" customHeight="1" x14ac:dyDescent="0.2">
      <c r="A123" s="89">
        <v>3</v>
      </c>
      <c r="B123" s="90"/>
      <c r="C123" s="90"/>
      <c r="D123" s="114" t="s">
        <v>182</v>
      </c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4"/>
      <c r="Q123" s="27" t="s">
        <v>187</v>
      </c>
      <c r="R123" s="27"/>
      <c r="S123" s="27"/>
      <c r="T123" s="27"/>
      <c r="U123" s="27"/>
      <c r="V123" s="114" t="s">
        <v>188</v>
      </c>
      <c r="W123" s="93"/>
      <c r="X123" s="93"/>
      <c r="Y123" s="93"/>
      <c r="Z123" s="93"/>
      <c r="AA123" s="93"/>
      <c r="AB123" s="93"/>
      <c r="AC123" s="93"/>
      <c r="AD123" s="93"/>
      <c r="AE123" s="94"/>
      <c r="AF123" s="115">
        <v>2815</v>
      </c>
      <c r="AG123" s="115"/>
      <c r="AH123" s="115"/>
      <c r="AI123" s="115"/>
      <c r="AJ123" s="115"/>
      <c r="AK123" s="115">
        <v>0</v>
      </c>
      <c r="AL123" s="115"/>
      <c r="AM123" s="115"/>
      <c r="AN123" s="115"/>
      <c r="AO123" s="115"/>
      <c r="AP123" s="115">
        <v>2815</v>
      </c>
      <c r="AQ123" s="115"/>
      <c r="AR123" s="115"/>
      <c r="AS123" s="115"/>
      <c r="AT123" s="115"/>
      <c r="AU123" s="115">
        <v>3378</v>
      </c>
      <c r="AV123" s="115"/>
      <c r="AW123" s="115"/>
      <c r="AX123" s="115"/>
      <c r="AY123" s="115"/>
      <c r="AZ123" s="115">
        <v>0</v>
      </c>
      <c r="BA123" s="115"/>
      <c r="BB123" s="115"/>
      <c r="BC123" s="115"/>
      <c r="BD123" s="115"/>
      <c r="BE123" s="115">
        <v>3378</v>
      </c>
      <c r="BF123" s="115"/>
      <c r="BG123" s="115"/>
      <c r="BH123" s="115"/>
      <c r="BI123" s="115"/>
      <c r="BJ123" s="115">
        <v>3547</v>
      </c>
      <c r="BK123" s="115"/>
      <c r="BL123" s="115"/>
      <c r="BM123" s="115"/>
      <c r="BN123" s="115"/>
      <c r="BO123" s="115">
        <v>0</v>
      </c>
      <c r="BP123" s="115"/>
      <c r="BQ123" s="115"/>
      <c r="BR123" s="115"/>
      <c r="BS123" s="115"/>
      <c r="BT123" s="115">
        <v>3547</v>
      </c>
      <c r="BU123" s="115"/>
      <c r="BV123" s="115"/>
      <c r="BW123" s="115"/>
      <c r="BX123" s="115"/>
    </row>
    <row r="124" spans="1:76" s="6" customFormat="1" ht="15" customHeight="1" x14ac:dyDescent="0.2">
      <c r="A124" s="86">
        <v>0</v>
      </c>
      <c r="B124" s="87"/>
      <c r="C124" s="87"/>
      <c r="D124" s="113" t="s">
        <v>189</v>
      </c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2"/>
      <c r="Q124" s="111"/>
      <c r="R124" s="111"/>
      <c r="S124" s="111"/>
      <c r="T124" s="111"/>
      <c r="U124" s="111"/>
      <c r="V124" s="113"/>
      <c r="W124" s="101"/>
      <c r="X124" s="101"/>
      <c r="Y124" s="101"/>
      <c r="Z124" s="101"/>
      <c r="AA124" s="101"/>
      <c r="AB124" s="101"/>
      <c r="AC124" s="101"/>
      <c r="AD124" s="101"/>
      <c r="AE124" s="102"/>
      <c r="AF124" s="112"/>
      <c r="AG124" s="112"/>
      <c r="AH124" s="112"/>
      <c r="AI124" s="112"/>
      <c r="AJ124" s="112"/>
      <c r="AK124" s="112"/>
      <c r="AL124" s="112"/>
      <c r="AM124" s="112"/>
      <c r="AN124" s="112"/>
      <c r="AO124" s="112"/>
      <c r="AP124" s="112"/>
      <c r="AQ124" s="112"/>
      <c r="AR124" s="112"/>
      <c r="AS124" s="112"/>
      <c r="AT124" s="112"/>
      <c r="AU124" s="112"/>
      <c r="AV124" s="112"/>
      <c r="AW124" s="112"/>
      <c r="AX124" s="112"/>
      <c r="AY124" s="112"/>
      <c r="AZ124" s="112"/>
      <c r="BA124" s="112"/>
      <c r="BB124" s="112"/>
      <c r="BC124" s="112"/>
      <c r="BD124" s="112"/>
      <c r="BE124" s="112"/>
      <c r="BF124" s="112"/>
      <c r="BG124" s="112"/>
      <c r="BH124" s="112"/>
      <c r="BI124" s="112"/>
      <c r="BJ124" s="112"/>
      <c r="BK124" s="112"/>
      <c r="BL124" s="112"/>
      <c r="BM124" s="112"/>
      <c r="BN124" s="112"/>
      <c r="BO124" s="112"/>
      <c r="BP124" s="112"/>
      <c r="BQ124" s="112"/>
      <c r="BR124" s="112"/>
      <c r="BS124" s="112"/>
      <c r="BT124" s="112"/>
      <c r="BU124" s="112"/>
      <c r="BV124" s="112"/>
      <c r="BW124" s="112"/>
      <c r="BX124" s="112"/>
    </row>
    <row r="125" spans="1:76" s="6" customFormat="1" ht="28.5" customHeight="1" x14ac:dyDescent="0.2">
      <c r="A125" s="86">
        <v>0</v>
      </c>
      <c r="B125" s="87"/>
      <c r="C125" s="87"/>
      <c r="D125" s="113" t="s">
        <v>190</v>
      </c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2"/>
      <c r="Q125" s="111" t="s">
        <v>191</v>
      </c>
      <c r="R125" s="111"/>
      <c r="S125" s="111"/>
      <c r="T125" s="111"/>
      <c r="U125" s="111"/>
      <c r="V125" s="113"/>
      <c r="W125" s="101"/>
      <c r="X125" s="101"/>
      <c r="Y125" s="101"/>
      <c r="Z125" s="101"/>
      <c r="AA125" s="101"/>
      <c r="AB125" s="101"/>
      <c r="AC125" s="101"/>
      <c r="AD125" s="101"/>
      <c r="AE125" s="102"/>
      <c r="AF125" s="112">
        <v>200</v>
      </c>
      <c r="AG125" s="112"/>
      <c r="AH125" s="112"/>
      <c r="AI125" s="112"/>
      <c r="AJ125" s="112"/>
      <c r="AK125" s="112">
        <v>0</v>
      </c>
      <c r="AL125" s="112"/>
      <c r="AM125" s="112"/>
      <c r="AN125" s="112"/>
      <c r="AO125" s="112"/>
      <c r="AP125" s="112">
        <v>200</v>
      </c>
      <c r="AQ125" s="112"/>
      <c r="AR125" s="112"/>
      <c r="AS125" s="112"/>
      <c r="AT125" s="112"/>
      <c r="AU125" s="112">
        <v>200</v>
      </c>
      <c r="AV125" s="112"/>
      <c r="AW125" s="112"/>
      <c r="AX125" s="112"/>
      <c r="AY125" s="112"/>
      <c r="AZ125" s="112">
        <v>0</v>
      </c>
      <c r="BA125" s="112"/>
      <c r="BB125" s="112"/>
      <c r="BC125" s="112"/>
      <c r="BD125" s="112"/>
      <c r="BE125" s="112">
        <v>200</v>
      </c>
      <c r="BF125" s="112"/>
      <c r="BG125" s="112"/>
      <c r="BH125" s="112"/>
      <c r="BI125" s="112"/>
      <c r="BJ125" s="112">
        <v>0</v>
      </c>
      <c r="BK125" s="112"/>
      <c r="BL125" s="112"/>
      <c r="BM125" s="112"/>
      <c r="BN125" s="112"/>
      <c r="BO125" s="112">
        <v>0</v>
      </c>
      <c r="BP125" s="112"/>
      <c r="BQ125" s="112"/>
      <c r="BR125" s="112"/>
      <c r="BS125" s="112"/>
      <c r="BT125" s="112">
        <v>0</v>
      </c>
      <c r="BU125" s="112"/>
      <c r="BV125" s="112"/>
      <c r="BW125" s="112"/>
      <c r="BX125" s="112"/>
    </row>
    <row r="126" spans="1:76" s="99" customFormat="1" ht="28.5" customHeight="1" x14ac:dyDescent="0.2">
      <c r="A126" s="89">
        <v>1</v>
      </c>
      <c r="B126" s="90"/>
      <c r="C126" s="90"/>
      <c r="D126" s="114" t="s">
        <v>190</v>
      </c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4"/>
      <c r="Q126" s="27" t="s">
        <v>191</v>
      </c>
      <c r="R126" s="27"/>
      <c r="S126" s="27"/>
      <c r="T126" s="27"/>
      <c r="U126" s="27"/>
      <c r="V126" s="114" t="s">
        <v>181</v>
      </c>
      <c r="W126" s="93"/>
      <c r="X126" s="93"/>
      <c r="Y126" s="93"/>
      <c r="Z126" s="93"/>
      <c r="AA126" s="93"/>
      <c r="AB126" s="93"/>
      <c r="AC126" s="93"/>
      <c r="AD126" s="93"/>
      <c r="AE126" s="94"/>
      <c r="AF126" s="115">
        <v>0</v>
      </c>
      <c r="AG126" s="115"/>
      <c r="AH126" s="115"/>
      <c r="AI126" s="115"/>
      <c r="AJ126" s="115"/>
      <c r="AK126" s="115">
        <v>0</v>
      </c>
      <c r="AL126" s="115"/>
      <c r="AM126" s="115"/>
      <c r="AN126" s="115"/>
      <c r="AO126" s="115"/>
      <c r="AP126" s="115">
        <v>0</v>
      </c>
      <c r="AQ126" s="115"/>
      <c r="AR126" s="115"/>
      <c r="AS126" s="115"/>
      <c r="AT126" s="115"/>
      <c r="AU126" s="115">
        <v>0</v>
      </c>
      <c r="AV126" s="115"/>
      <c r="AW126" s="115"/>
      <c r="AX126" s="115"/>
      <c r="AY126" s="115"/>
      <c r="AZ126" s="115">
        <v>0</v>
      </c>
      <c r="BA126" s="115"/>
      <c r="BB126" s="115"/>
      <c r="BC126" s="115"/>
      <c r="BD126" s="115"/>
      <c r="BE126" s="115">
        <v>0</v>
      </c>
      <c r="BF126" s="115"/>
      <c r="BG126" s="115"/>
      <c r="BH126" s="115"/>
      <c r="BI126" s="115"/>
      <c r="BJ126" s="115">
        <v>0</v>
      </c>
      <c r="BK126" s="115"/>
      <c r="BL126" s="115"/>
      <c r="BM126" s="115"/>
      <c r="BN126" s="115"/>
      <c r="BO126" s="115">
        <v>0</v>
      </c>
      <c r="BP126" s="115"/>
      <c r="BQ126" s="115"/>
      <c r="BR126" s="115"/>
      <c r="BS126" s="115"/>
      <c r="BT126" s="115">
        <v>0</v>
      </c>
      <c r="BU126" s="115"/>
      <c r="BV126" s="115"/>
      <c r="BW126" s="115"/>
      <c r="BX126" s="115"/>
    </row>
    <row r="127" spans="1:76" s="6" customFormat="1" ht="30" customHeight="1" x14ac:dyDescent="0.2">
      <c r="A127" s="86">
        <v>0</v>
      </c>
      <c r="B127" s="87"/>
      <c r="C127" s="87"/>
      <c r="D127" s="113" t="s">
        <v>190</v>
      </c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2"/>
      <c r="Q127" s="111" t="s">
        <v>191</v>
      </c>
      <c r="R127" s="111"/>
      <c r="S127" s="111"/>
      <c r="T127" s="111"/>
      <c r="U127" s="111"/>
      <c r="V127" s="113"/>
      <c r="W127" s="101"/>
      <c r="X127" s="101"/>
      <c r="Y127" s="101"/>
      <c r="Z127" s="101"/>
      <c r="AA127" s="101"/>
      <c r="AB127" s="101"/>
      <c r="AC127" s="101"/>
      <c r="AD127" s="101"/>
      <c r="AE127" s="102"/>
      <c r="AF127" s="112">
        <v>200</v>
      </c>
      <c r="AG127" s="112"/>
      <c r="AH127" s="112"/>
      <c r="AI127" s="112"/>
      <c r="AJ127" s="112"/>
      <c r="AK127" s="112">
        <v>0</v>
      </c>
      <c r="AL127" s="112"/>
      <c r="AM127" s="112"/>
      <c r="AN127" s="112"/>
      <c r="AO127" s="112"/>
      <c r="AP127" s="112">
        <v>200</v>
      </c>
      <c r="AQ127" s="112"/>
      <c r="AR127" s="112"/>
      <c r="AS127" s="112"/>
      <c r="AT127" s="112"/>
      <c r="AU127" s="112">
        <v>200</v>
      </c>
      <c r="AV127" s="112"/>
      <c r="AW127" s="112"/>
      <c r="AX127" s="112"/>
      <c r="AY127" s="112"/>
      <c r="AZ127" s="112">
        <v>0</v>
      </c>
      <c r="BA127" s="112"/>
      <c r="BB127" s="112"/>
      <c r="BC127" s="112"/>
      <c r="BD127" s="112"/>
      <c r="BE127" s="112">
        <v>200</v>
      </c>
      <c r="BF127" s="112"/>
      <c r="BG127" s="112"/>
      <c r="BH127" s="112"/>
      <c r="BI127" s="112"/>
      <c r="BJ127" s="112">
        <v>0</v>
      </c>
      <c r="BK127" s="112"/>
      <c r="BL127" s="112"/>
      <c r="BM127" s="112"/>
      <c r="BN127" s="112"/>
      <c r="BO127" s="112">
        <v>0</v>
      </c>
      <c r="BP127" s="112"/>
      <c r="BQ127" s="112"/>
      <c r="BR127" s="112"/>
      <c r="BS127" s="112"/>
      <c r="BT127" s="112">
        <v>0</v>
      </c>
      <c r="BU127" s="112"/>
      <c r="BV127" s="112"/>
      <c r="BW127" s="112"/>
      <c r="BX127" s="112"/>
    </row>
    <row r="128" spans="1:76" s="99" customFormat="1" ht="15" customHeight="1" x14ac:dyDescent="0.2">
      <c r="A128" s="89">
        <v>2</v>
      </c>
      <c r="B128" s="90"/>
      <c r="C128" s="90"/>
      <c r="D128" s="114" t="s">
        <v>180</v>
      </c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4"/>
      <c r="Q128" s="27" t="s">
        <v>191</v>
      </c>
      <c r="R128" s="27"/>
      <c r="S128" s="27"/>
      <c r="T128" s="27"/>
      <c r="U128" s="27"/>
      <c r="V128" s="114" t="s">
        <v>181</v>
      </c>
      <c r="W128" s="93"/>
      <c r="X128" s="93"/>
      <c r="Y128" s="93"/>
      <c r="Z128" s="93"/>
      <c r="AA128" s="93"/>
      <c r="AB128" s="93"/>
      <c r="AC128" s="93"/>
      <c r="AD128" s="93"/>
      <c r="AE128" s="94"/>
      <c r="AF128" s="115">
        <v>100</v>
      </c>
      <c r="AG128" s="115"/>
      <c r="AH128" s="115"/>
      <c r="AI128" s="115"/>
      <c r="AJ128" s="115"/>
      <c r="AK128" s="115">
        <v>0</v>
      </c>
      <c r="AL128" s="115"/>
      <c r="AM128" s="115"/>
      <c r="AN128" s="115"/>
      <c r="AO128" s="115"/>
      <c r="AP128" s="115">
        <v>100</v>
      </c>
      <c r="AQ128" s="115"/>
      <c r="AR128" s="115"/>
      <c r="AS128" s="115"/>
      <c r="AT128" s="115"/>
      <c r="AU128" s="115">
        <v>100</v>
      </c>
      <c r="AV128" s="115"/>
      <c r="AW128" s="115"/>
      <c r="AX128" s="115"/>
      <c r="AY128" s="115"/>
      <c r="AZ128" s="115">
        <v>0</v>
      </c>
      <c r="BA128" s="115"/>
      <c r="BB128" s="115"/>
      <c r="BC128" s="115"/>
      <c r="BD128" s="115"/>
      <c r="BE128" s="115">
        <v>100</v>
      </c>
      <c r="BF128" s="115"/>
      <c r="BG128" s="115"/>
      <c r="BH128" s="115"/>
      <c r="BI128" s="115"/>
      <c r="BJ128" s="115">
        <v>0</v>
      </c>
      <c r="BK128" s="115"/>
      <c r="BL128" s="115"/>
      <c r="BM128" s="115"/>
      <c r="BN128" s="115"/>
      <c r="BO128" s="115">
        <v>0</v>
      </c>
      <c r="BP128" s="115"/>
      <c r="BQ128" s="115"/>
      <c r="BR128" s="115"/>
      <c r="BS128" s="115"/>
      <c r="BT128" s="115">
        <v>0</v>
      </c>
      <c r="BU128" s="115"/>
      <c r="BV128" s="115"/>
      <c r="BW128" s="115"/>
      <c r="BX128" s="115"/>
    </row>
    <row r="129" spans="1:79" s="6" customFormat="1" ht="30" customHeight="1" x14ac:dyDescent="0.2">
      <c r="A129" s="86">
        <v>0</v>
      </c>
      <c r="B129" s="87"/>
      <c r="C129" s="87"/>
      <c r="D129" s="113" t="s">
        <v>190</v>
      </c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2"/>
      <c r="Q129" s="111" t="s">
        <v>191</v>
      </c>
      <c r="R129" s="111"/>
      <c r="S129" s="111"/>
      <c r="T129" s="111"/>
      <c r="U129" s="111"/>
      <c r="V129" s="113"/>
      <c r="W129" s="101"/>
      <c r="X129" s="101"/>
      <c r="Y129" s="101"/>
      <c r="Z129" s="101"/>
      <c r="AA129" s="101"/>
      <c r="AB129" s="101"/>
      <c r="AC129" s="101"/>
      <c r="AD129" s="101"/>
      <c r="AE129" s="102"/>
      <c r="AF129" s="112">
        <v>200</v>
      </c>
      <c r="AG129" s="112"/>
      <c r="AH129" s="112"/>
      <c r="AI129" s="112"/>
      <c r="AJ129" s="112"/>
      <c r="AK129" s="112">
        <v>0</v>
      </c>
      <c r="AL129" s="112"/>
      <c r="AM129" s="112"/>
      <c r="AN129" s="112"/>
      <c r="AO129" s="112"/>
      <c r="AP129" s="112">
        <v>200</v>
      </c>
      <c r="AQ129" s="112"/>
      <c r="AR129" s="112"/>
      <c r="AS129" s="112"/>
      <c r="AT129" s="112"/>
      <c r="AU129" s="112">
        <v>200</v>
      </c>
      <c r="AV129" s="112"/>
      <c r="AW129" s="112"/>
      <c r="AX129" s="112"/>
      <c r="AY129" s="112"/>
      <c r="AZ129" s="112">
        <v>0</v>
      </c>
      <c r="BA129" s="112"/>
      <c r="BB129" s="112"/>
      <c r="BC129" s="112"/>
      <c r="BD129" s="112"/>
      <c r="BE129" s="112">
        <v>200</v>
      </c>
      <c r="BF129" s="112"/>
      <c r="BG129" s="112"/>
      <c r="BH129" s="112"/>
      <c r="BI129" s="112"/>
      <c r="BJ129" s="112">
        <v>0</v>
      </c>
      <c r="BK129" s="112"/>
      <c r="BL129" s="112"/>
      <c r="BM129" s="112"/>
      <c r="BN129" s="112"/>
      <c r="BO129" s="112">
        <v>0</v>
      </c>
      <c r="BP129" s="112"/>
      <c r="BQ129" s="112"/>
      <c r="BR129" s="112"/>
      <c r="BS129" s="112"/>
      <c r="BT129" s="112">
        <v>0</v>
      </c>
      <c r="BU129" s="112"/>
      <c r="BV129" s="112"/>
      <c r="BW129" s="112"/>
      <c r="BX129" s="112"/>
    </row>
    <row r="130" spans="1:79" s="99" customFormat="1" ht="15" customHeight="1" x14ac:dyDescent="0.2">
      <c r="A130" s="89">
        <v>3</v>
      </c>
      <c r="B130" s="90"/>
      <c r="C130" s="90"/>
      <c r="D130" s="114" t="s">
        <v>182</v>
      </c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4"/>
      <c r="Q130" s="27" t="s">
        <v>191</v>
      </c>
      <c r="R130" s="27"/>
      <c r="S130" s="27"/>
      <c r="T130" s="27"/>
      <c r="U130" s="27"/>
      <c r="V130" s="114" t="s">
        <v>181</v>
      </c>
      <c r="W130" s="93"/>
      <c r="X130" s="93"/>
      <c r="Y130" s="93"/>
      <c r="Z130" s="93"/>
      <c r="AA130" s="93"/>
      <c r="AB130" s="93"/>
      <c r="AC130" s="93"/>
      <c r="AD130" s="93"/>
      <c r="AE130" s="94"/>
      <c r="AF130" s="115">
        <v>100</v>
      </c>
      <c r="AG130" s="115"/>
      <c r="AH130" s="115"/>
      <c r="AI130" s="115"/>
      <c r="AJ130" s="115"/>
      <c r="AK130" s="115">
        <v>0</v>
      </c>
      <c r="AL130" s="115"/>
      <c r="AM130" s="115"/>
      <c r="AN130" s="115"/>
      <c r="AO130" s="115"/>
      <c r="AP130" s="115">
        <v>100</v>
      </c>
      <c r="AQ130" s="115"/>
      <c r="AR130" s="115"/>
      <c r="AS130" s="115"/>
      <c r="AT130" s="115"/>
      <c r="AU130" s="115">
        <v>100</v>
      </c>
      <c r="AV130" s="115"/>
      <c r="AW130" s="115"/>
      <c r="AX130" s="115"/>
      <c r="AY130" s="115"/>
      <c r="AZ130" s="115">
        <v>0</v>
      </c>
      <c r="BA130" s="115"/>
      <c r="BB130" s="115"/>
      <c r="BC130" s="115"/>
      <c r="BD130" s="115"/>
      <c r="BE130" s="115">
        <v>100</v>
      </c>
      <c r="BF130" s="115"/>
      <c r="BG130" s="115"/>
      <c r="BH130" s="115"/>
      <c r="BI130" s="115"/>
      <c r="BJ130" s="115">
        <v>0</v>
      </c>
      <c r="BK130" s="115"/>
      <c r="BL130" s="115"/>
      <c r="BM130" s="115"/>
      <c r="BN130" s="115"/>
      <c r="BO130" s="115">
        <v>0</v>
      </c>
      <c r="BP130" s="115"/>
      <c r="BQ130" s="115"/>
      <c r="BR130" s="115"/>
      <c r="BS130" s="115"/>
      <c r="BT130" s="115">
        <v>0</v>
      </c>
      <c r="BU130" s="115"/>
      <c r="BV130" s="115"/>
      <c r="BW130" s="115"/>
      <c r="BX130" s="115"/>
    </row>
    <row r="132" spans="1:79" ht="14.25" customHeight="1" x14ac:dyDescent="0.2">
      <c r="A132" s="29" t="s">
        <v>239</v>
      </c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29"/>
      <c r="BK132" s="29"/>
      <c r="BL132" s="29"/>
    </row>
    <row r="133" spans="1:79" ht="23.1" customHeight="1" x14ac:dyDescent="0.2">
      <c r="A133" s="51" t="s">
        <v>6</v>
      </c>
      <c r="B133" s="52"/>
      <c r="C133" s="52"/>
      <c r="D133" s="27" t="s">
        <v>9</v>
      </c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 t="s">
        <v>8</v>
      </c>
      <c r="R133" s="27"/>
      <c r="S133" s="27"/>
      <c r="T133" s="27"/>
      <c r="U133" s="27"/>
      <c r="V133" s="27" t="s">
        <v>7</v>
      </c>
      <c r="W133" s="27"/>
      <c r="X133" s="27"/>
      <c r="Y133" s="27"/>
      <c r="Z133" s="27"/>
      <c r="AA133" s="27"/>
      <c r="AB133" s="27"/>
      <c r="AC133" s="27"/>
      <c r="AD133" s="27"/>
      <c r="AE133" s="27"/>
      <c r="AF133" s="36" t="s">
        <v>230</v>
      </c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8"/>
      <c r="AU133" s="36" t="s">
        <v>235</v>
      </c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7"/>
      <c r="BH133" s="37"/>
      <c r="BI133" s="38"/>
    </row>
    <row r="134" spans="1:79" ht="28.5" customHeight="1" x14ac:dyDescent="0.2">
      <c r="A134" s="54"/>
      <c r="B134" s="55"/>
      <c r="C134" s="55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 t="s">
        <v>4</v>
      </c>
      <c r="AG134" s="27"/>
      <c r="AH134" s="27"/>
      <c r="AI134" s="27"/>
      <c r="AJ134" s="27"/>
      <c r="AK134" s="27" t="s">
        <v>3</v>
      </c>
      <c r="AL134" s="27"/>
      <c r="AM134" s="27"/>
      <c r="AN134" s="27"/>
      <c r="AO134" s="27"/>
      <c r="AP134" s="27" t="s">
        <v>123</v>
      </c>
      <c r="AQ134" s="27"/>
      <c r="AR134" s="27"/>
      <c r="AS134" s="27"/>
      <c r="AT134" s="27"/>
      <c r="AU134" s="27" t="s">
        <v>4</v>
      </c>
      <c r="AV134" s="27"/>
      <c r="AW134" s="27"/>
      <c r="AX134" s="27"/>
      <c r="AY134" s="27"/>
      <c r="AZ134" s="27" t="s">
        <v>3</v>
      </c>
      <c r="BA134" s="27"/>
      <c r="BB134" s="27"/>
      <c r="BC134" s="27"/>
      <c r="BD134" s="27"/>
      <c r="BE134" s="27" t="s">
        <v>90</v>
      </c>
      <c r="BF134" s="27"/>
      <c r="BG134" s="27"/>
      <c r="BH134" s="27"/>
      <c r="BI134" s="27"/>
    </row>
    <row r="135" spans="1:79" ht="15" customHeight="1" x14ac:dyDescent="0.2">
      <c r="A135" s="36">
        <v>1</v>
      </c>
      <c r="B135" s="37"/>
      <c r="C135" s="37"/>
      <c r="D135" s="27">
        <v>2</v>
      </c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>
        <v>3</v>
      </c>
      <c r="R135" s="27"/>
      <c r="S135" s="27"/>
      <c r="T135" s="27"/>
      <c r="U135" s="27"/>
      <c r="V135" s="27">
        <v>4</v>
      </c>
      <c r="W135" s="27"/>
      <c r="X135" s="27"/>
      <c r="Y135" s="27"/>
      <c r="Z135" s="27"/>
      <c r="AA135" s="27"/>
      <c r="AB135" s="27"/>
      <c r="AC135" s="27"/>
      <c r="AD135" s="27"/>
      <c r="AE135" s="27"/>
      <c r="AF135" s="27">
        <v>5</v>
      </c>
      <c r="AG135" s="27"/>
      <c r="AH135" s="27"/>
      <c r="AI135" s="27"/>
      <c r="AJ135" s="27"/>
      <c r="AK135" s="27">
        <v>6</v>
      </c>
      <c r="AL135" s="27"/>
      <c r="AM135" s="27"/>
      <c r="AN135" s="27"/>
      <c r="AO135" s="27"/>
      <c r="AP135" s="27">
        <v>7</v>
      </c>
      <c r="AQ135" s="27"/>
      <c r="AR135" s="27"/>
      <c r="AS135" s="27"/>
      <c r="AT135" s="27"/>
      <c r="AU135" s="27">
        <v>8</v>
      </c>
      <c r="AV135" s="27"/>
      <c r="AW135" s="27"/>
      <c r="AX135" s="27"/>
      <c r="AY135" s="27"/>
      <c r="AZ135" s="27">
        <v>9</v>
      </c>
      <c r="BA135" s="27"/>
      <c r="BB135" s="27"/>
      <c r="BC135" s="27"/>
      <c r="BD135" s="27"/>
      <c r="BE135" s="27">
        <v>10</v>
      </c>
      <c r="BF135" s="27"/>
      <c r="BG135" s="27"/>
      <c r="BH135" s="27"/>
      <c r="BI135" s="27"/>
    </row>
    <row r="136" spans="1:79" ht="15.75" hidden="1" customHeight="1" x14ac:dyDescent="0.2">
      <c r="A136" s="39" t="s">
        <v>154</v>
      </c>
      <c r="B136" s="40"/>
      <c r="C136" s="40"/>
      <c r="D136" s="27" t="s">
        <v>57</v>
      </c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 t="s">
        <v>70</v>
      </c>
      <c r="R136" s="27"/>
      <c r="S136" s="27"/>
      <c r="T136" s="27"/>
      <c r="U136" s="27"/>
      <c r="V136" s="27" t="s">
        <v>71</v>
      </c>
      <c r="W136" s="27"/>
      <c r="X136" s="27"/>
      <c r="Y136" s="27"/>
      <c r="Z136" s="27"/>
      <c r="AA136" s="27"/>
      <c r="AB136" s="27"/>
      <c r="AC136" s="27"/>
      <c r="AD136" s="27"/>
      <c r="AE136" s="27"/>
      <c r="AF136" s="26" t="s">
        <v>107</v>
      </c>
      <c r="AG136" s="26"/>
      <c r="AH136" s="26"/>
      <c r="AI136" s="26"/>
      <c r="AJ136" s="26"/>
      <c r="AK136" s="30" t="s">
        <v>108</v>
      </c>
      <c r="AL136" s="30"/>
      <c r="AM136" s="30"/>
      <c r="AN136" s="30"/>
      <c r="AO136" s="30"/>
      <c r="AP136" s="50" t="s">
        <v>177</v>
      </c>
      <c r="AQ136" s="50"/>
      <c r="AR136" s="50"/>
      <c r="AS136" s="50"/>
      <c r="AT136" s="50"/>
      <c r="AU136" s="26" t="s">
        <v>109</v>
      </c>
      <c r="AV136" s="26"/>
      <c r="AW136" s="26"/>
      <c r="AX136" s="26"/>
      <c r="AY136" s="26"/>
      <c r="AZ136" s="30" t="s">
        <v>110</v>
      </c>
      <c r="BA136" s="30"/>
      <c r="BB136" s="30"/>
      <c r="BC136" s="30"/>
      <c r="BD136" s="30"/>
      <c r="BE136" s="50" t="s">
        <v>177</v>
      </c>
      <c r="BF136" s="50"/>
      <c r="BG136" s="50"/>
      <c r="BH136" s="50"/>
      <c r="BI136" s="50"/>
      <c r="CA136" t="s">
        <v>39</v>
      </c>
    </row>
    <row r="137" spans="1:79" s="6" customFormat="1" ht="14.25" x14ac:dyDescent="0.2">
      <c r="A137" s="86">
        <v>0</v>
      </c>
      <c r="B137" s="87"/>
      <c r="C137" s="87"/>
      <c r="D137" s="111" t="s">
        <v>176</v>
      </c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11"/>
      <c r="AD137" s="111"/>
      <c r="AE137" s="111"/>
      <c r="AF137" s="112"/>
      <c r="AG137" s="112"/>
      <c r="AH137" s="112"/>
      <c r="AI137" s="112"/>
      <c r="AJ137" s="112"/>
      <c r="AK137" s="112"/>
      <c r="AL137" s="112"/>
      <c r="AM137" s="112"/>
      <c r="AN137" s="112"/>
      <c r="AO137" s="112"/>
      <c r="AP137" s="112"/>
      <c r="AQ137" s="112"/>
      <c r="AR137" s="112"/>
      <c r="AS137" s="112"/>
      <c r="AT137" s="112"/>
      <c r="AU137" s="112"/>
      <c r="AV137" s="112"/>
      <c r="AW137" s="112"/>
      <c r="AX137" s="112"/>
      <c r="AY137" s="112"/>
      <c r="AZ137" s="112"/>
      <c r="BA137" s="112"/>
      <c r="BB137" s="112"/>
      <c r="BC137" s="112"/>
      <c r="BD137" s="112"/>
      <c r="BE137" s="112"/>
      <c r="BF137" s="112"/>
      <c r="BG137" s="112"/>
      <c r="BH137" s="112"/>
      <c r="BI137" s="112"/>
      <c r="CA137" s="6" t="s">
        <v>40</v>
      </c>
    </row>
    <row r="138" spans="1:79" s="6" customFormat="1" ht="42.75" customHeight="1" x14ac:dyDescent="0.2">
      <c r="A138" s="86">
        <v>0</v>
      </c>
      <c r="B138" s="87"/>
      <c r="C138" s="87"/>
      <c r="D138" s="113" t="s">
        <v>178</v>
      </c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2"/>
      <c r="Q138" s="111" t="s">
        <v>179</v>
      </c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111"/>
      <c r="AD138" s="111"/>
      <c r="AE138" s="111"/>
      <c r="AF138" s="112">
        <v>887</v>
      </c>
      <c r="AG138" s="112"/>
      <c r="AH138" s="112"/>
      <c r="AI138" s="112"/>
      <c r="AJ138" s="112"/>
      <c r="AK138" s="112">
        <v>0</v>
      </c>
      <c r="AL138" s="112"/>
      <c r="AM138" s="112"/>
      <c r="AN138" s="112"/>
      <c r="AO138" s="112"/>
      <c r="AP138" s="112">
        <v>887</v>
      </c>
      <c r="AQ138" s="112"/>
      <c r="AR138" s="112"/>
      <c r="AS138" s="112"/>
      <c r="AT138" s="112"/>
      <c r="AU138" s="112">
        <v>887</v>
      </c>
      <c r="AV138" s="112"/>
      <c r="AW138" s="112"/>
      <c r="AX138" s="112"/>
      <c r="AY138" s="112"/>
      <c r="AZ138" s="112">
        <v>0</v>
      </c>
      <c r="BA138" s="112"/>
      <c r="BB138" s="112"/>
      <c r="BC138" s="112"/>
      <c r="BD138" s="112"/>
      <c r="BE138" s="112">
        <v>887</v>
      </c>
      <c r="BF138" s="112"/>
      <c r="BG138" s="112"/>
      <c r="BH138" s="112"/>
      <c r="BI138" s="112"/>
    </row>
    <row r="139" spans="1:79" s="99" customFormat="1" ht="15" x14ac:dyDescent="0.2">
      <c r="A139" s="89">
        <v>1</v>
      </c>
      <c r="B139" s="90"/>
      <c r="C139" s="90"/>
      <c r="D139" s="114" t="s">
        <v>180</v>
      </c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4"/>
      <c r="Q139" s="27" t="s">
        <v>179</v>
      </c>
      <c r="R139" s="27"/>
      <c r="S139" s="27"/>
      <c r="T139" s="27"/>
      <c r="U139" s="27"/>
      <c r="V139" s="27" t="s">
        <v>181</v>
      </c>
      <c r="W139" s="27"/>
      <c r="X139" s="27"/>
      <c r="Y139" s="27"/>
      <c r="Z139" s="27"/>
      <c r="AA139" s="27"/>
      <c r="AB139" s="27"/>
      <c r="AC139" s="27"/>
      <c r="AD139" s="27"/>
      <c r="AE139" s="27"/>
      <c r="AF139" s="115">
        <v>729</v>
      </c>
      <c r="AG139" s="115"/>
      <c r="AH139" s="115"/>
      <c r="AI139" s="115"/>
      <c r="AJ139" s="115"/>
      <c r="AK139" s="115">
        <v>0</v>
      </c>
      <c r="AL139" s="115"/>
      <c r="AM139" s="115"/>
      <c r="AN139" s="115"/>
      <c r="AO139" s="115"/>
      <c r="AP139" s="115">
        <v>729</v>
      </c>
      <c r="AQ139" s="115"/>
      <c r="AR139" s="115"/>
      <c r="AS139" s="115"/>
      <c r="AT139" s="115"/>
      <c r="AU139" s="115">
        <v>729</v>
      </c>
      <c r="AV139" s="115"/>
      <c r="AW139" s="115"/>
      <c r="AX139" s="115"/>
      <c r="AY139" s="115"/>
      <c r="AZ139" s="115">
        <v>0</v>
      </c>
      <c r="BA139" s="115"/>
      <c r="BB139" s="115"/>
      <c r="BC139" s="115"/>
      <c r="BD139" s="115"/>
      <c r="BE139" s="115">
        <v>729</v>
      </c>
      <c r="BF139" s="115"/>
      <c r="BG139" s="115"/>
      <c r="BH139" s="115"/>
      <c r="BI139" s="115"/>
    </row>
    <row r="140" spans="1:79" s="6" customFormat="1" ht="45" customHeight="1" x14ac:dyDescent="0.2">
      <c r="A140" s="86">
        <v>0</v>
      </c>
      <c r="B140" s="87"/>
      <c r="C140" s="87"/>
      <c r="D140" s="113" t="s">
        <v>178</v>
      </c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2"/>
      <c r="Q140" s="111" t="s">
        <v>179</v>
      </c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  <c r="AD140" s="111"/>
      <c r="AE140" s="111"/>
      <c r="AF140" s="112">
        <v>887</v>
      </c>
      <c r="AG140" s="112"/>
      <c r="AH140" s="112"/>
      <c r="AI140" s="112"/>
      <c r="AJ140" s="112"/>
      <c r="AK140" s="112">
        <v>0</v>
      </c>
      <c r="AL140" s="112"/>
      <c r="AM140" s="112"/>
      <c r="AN140" s="112"/>
      <c r="AO140" s="112"/>
      <c r="AP140" s="112">
        <v>887</v>
      </c>
      <c r="AQ140" s="112"/>
      <c r="AR140" s="112"/>
      <c r="AS140" s="112"/>
      <c r="AT140" s="112"/>
      <c r="AU140" s="112">
        <v>887</v>
      </c>
      <c r="AV140" s="112"/>
      <c r="AW140" s="112"/>
      <c r="AX140" s="112"/>
      <c r="AY140" s="112"/>
      <c r="AZ140" s="112">
        <v>0</v>
      </c>
      <c r="BA140" s="112"/>
      <c r="BB140" s="112"/>
      <c r="BC140" s="112"/>
      <c r="BD140" s="112"/>
      <c r="BE140" s="112">
        <v>887</v>
      </c>
      <c r="BF140" s="112"/>
      <c r="BG140" s="112"/>
      <c r="BH140" s="112"/>
      <c r="BI140" s="112"/>
    </row>
    <row r="141" spans="1:79" s="99" customFormat="1" ht="15" x14ac:dyDescent="0.2">
      <c r="A141" s="89">
        <v>2</v>
      </c>
      <c r="B141" s="90"/>
      <c r="C141" s="90"/>
      <c r="D141" s="114" t="s">
        <v>182</v>
      </c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4"/>
      <c r="Q141" s="27" t="s">
        <v>179</v>
      </c>
      <c r="R141" s="27"/>
      <c r="S141" s="27"/>
      <c r="T141" s="27"/>
      <c r="U141" s="27"/>
      <c r="V141" s="27" t="s">
        <v>181</v>
      </c>
      <c r="W141" s="27"/>
      <c r="X141" s="27"/>
      <c r="Y141" s="27"/>
      <c r="Z141" s="27"/>
      <c r="AA141" s="27"/>
      <c r="AB141" s="27"/>
      <c r="AC141" s="27"/>
      <c r="AD141" s="27"/>
      <c r="AE141" s="27"/>
      <c r="AF141" s="115">
        <v>158</v>
      </c>
      <c r="AG141" s="115"/>
      <c r="AH141" s="115"/>
      <c r="AI141" s="115"/>
      <c r="AJ141" s="115"/>
      <c r="AK141" s="115">
        <v>0</v>
      </c>
      <c r="AL141" s="115"/>
      <c r="AM141" s="115"/>
      <c r="AN141" s="115"/>
      <c r="AO141" s="115"/>
      <c r="AP141" s="115">
        <v>158</v>
      </c>
      <c r="AQ141" s="115"/>
      <c r="AR141" s="115"/>
      <c r="AS141" s="115"/>
      <c r="AT141" s="115"/>
      <c r="AU141" s="115">
        <v>158</v>
      </c>
      <c r="AV141" s="115"/>
      <c r="AW141" s="115"/>
      <c r="AX141" s="115"/>
      <c r="AY141" s="115"/>
      <c r="AZ141" s="115">
        <v>0</v>
      </c>
      <c r="BA141" s="115"/>
      <c r="BB141" s="115"/>
      <c r="BC141" s="115"/>
      <c r="BD141" s="115"/>
      <c r="BE141" s="115">
        <v>158</v>
      </c>
      <c r="BF141" s="115"/>
      <c r="BG141" s="115"/>
      <c r="BH141" s="115"/>
      <c r="BI141" s="115"/>
    </row>
    <row r="142" spans="1:79" s="6" customFormat="1" ht="14.25" x14ac:dyDescent="0.2">
      <c r="A142" s="86">
        <v>0</v>
      </c>
      <c r="B142" s="87"/>
      <c r="C142" s="87"/>
      <c r="D142" s="113" t="s">
        <v>183</v>
      </c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2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  <c r="AD142" s="111"/>
      <c r="AE142" s="111"/>
      <c r="AF142" s="112"/>
      <c r="AG142" s="112"/>
      <c r="AH142" s="112"/>
      <c r="AI142" s="112"/>
      <c r="AJ142" s="112"/>
      <c r="AK142" s="112"/>
      <c r="AL142" s="112"/>
      <c r="AM142" s="112"/>
      <c r="AN142" s="112"/>
      <c r="AO142" s="112"/>
      <c r="AP142" s="112"/>
      <c r="AQ142" s="112"/>
      <c r="AR142" s="112"/>
      <c r="AS142" s="112"/>
      <c r="AT142" s="112"/>
      <c r="AU142" s="112"/>
      <c r="AV142" s="112"/>
      <c r="AW142" s="112"/>
      <c r="AX142" s="112"/>
      <c r="AY142" s="112"/>
      <c r="AZ142" s="112"/>
      <c r="BA142" s="112"/>
      <c r="BB142" s="112"/>
      <c r="BC142" s="112"/>
      <c r="BD142" s="112"/>
      <c r="BE142" s="112"/>
      <c r="BF142" s="112"/>
      <c r="BG142" s="112"/>
      <c r="BH142" s="112"/>
      <c r="BI142" s="112"/>
    </row>
    <row r="143" spans="1:79" s="6" customFormat="1" ht="28.5" customHeight="1" x14ac:dyDescent="0.2">
      <c r="A143" s="86">
        <v>0</v>
      </c>
      <c r="B143" s="87"/>
      <c r="C143" s="87"/>
      <c r="D143" s="113" t="s">
        <v>184</v>
      </c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2"/>
      <c r="Q143" s="111" t="s">
        <v>179</v>
      </c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  <c r="AD143" s="111"/>
      <c r="AE143" s="111"/>
      <c r="AF143" s="112">
        <v>887</v>
      </c>
      <c r="AG143" s="112"/>
      <c r="AH143" s="112"/>
      <c r="AI143" s="112"/>
      <c r="AJ143" s="112"/>
      <c r="AK143" s="112">
        <v>0</v>
      </c>
      <c r="AL143" s="112"/>
      <c r="AM143" s="112"/>
      <c r="AN143" s="112"/>
      <c r="AO143" s="112"/>
      <c r="AP143" s="112">
        <v>887</v>
      </c>
      <c r="AQ143" s="112"/>
      <c r="AR143" s="112"/>
      <c r="AS143" s="112"/>
      <c r="AT143" s="112"/>
      <c r="AU143" s="112">
        <v>887</v>
      </c>
      <c r="AV143" s="112"/>
      <c r="AW143" s="112"/>
      <c r="AX143" s="112"/>
      <c r="AY143" s="112"/>
      <c r="AZ143" s="112">
        <v>0</v>
      </c>
      <c r="BA143" s="112"/>
      <c r="BB143" s="112"/>
      <c r="BC143" s="112"/>
      <c r="BD143" s="112"/>
      <c r="BE143" s="112">
        <v>887</v>
      </c>
      <c r="BF143" s="112"/>
      <c r="BG143" s="112"/>
      <c r="BH143" s="112"/>
      <c r="BI143" s="112"/>
    </row>
    <row r="144" spans="1:79" s="99" customFormat="1" ht="28.5" customHeight="1" x14ac:dyDescent="0.2">
      <c r="A144" s="89">
        <v>1</v>
      </c>
      <c r="B144" s="90"/>
      <c r="C144" s="90"/>
      <c r="D144" s="114" t="s">
        <v>184</v>
      </c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4"/>
      <c r="Q144" s="27" t="s">
        <v>179</v>
      </c>
      <c r="R144" s="27"/>
      <c r="S144" s="27"/>
      <c r="T144" s="27"/>
      <c r="U144" s="27"/>
      <c r="V144" s="27" t="s">
        <v>181</v>
      </c>
      <c r="W144" s="27"/>
      <c r="X144" s="27"/>
      <c r="Y144" s="27"/>
      <c r="Z144" s="27"/>
      <c r="AA144" s="27"/>
      <c r="AB144" s="27"/>
      <c r="AC144" s="27"/>
      <c r="AD144" s="27"/>
      <c r="AE144" s="27"/>
      <c r="AF144" s="115">
        <v>0</v>
      </c>
      <c r="AG144" s="115"/>
      <c r="AH144" s="115"/>
      <c r="AI144" s="115"/>
      <c r="AJ144" s="115"/>
      <c r="AK144" s="115">
        <v>0</v>
      </c>
      <c r="AL144" s="115"/>
      <c r="AM144" s="115"/>
      <c r="AN144" s="115"/>
      <c r="AO144" s="115"/>
      <c r="AP144" s="115">
        <v>0</v>
      </c>
      <c r="AQ144" s="115"/>
      <c r="AR144" s="115"/>
      <c r="AS144" s="115"/>
      <c r="AT144" s="115"/>
      <c r="AU144" s="115">
        <v>0</v>
      </c>
      <c r="AV144" s="115"/>
      <c r="AW144" s="115"/>
      <c r="AX144" s="115"/>
      <c r="AY144" s="115"/>
      <c r="AZ144" s="115">
        <v>0</v>
      </c>
      <c r="BA144" s="115"/>
      <c r="BB144" s="115"/>
      <c r="BC144" s="115"/>
      <c r="BD144" s="115"/>
      <c r="BE144" s="115">
        <v>0</v>
      </c>
      <c r="BF144" s="115"/>
      <c r="BG144" s="115"/>
      <c r="BH144" s="115"/>
      <c r="BI144" s="115"/>
    </row>
    <row r="145" spans="1:61" s="6" customFormat="1" ht="30" customHeight="1" x14ac:dyDescent="0.2">
      <c r="A145" s="86">
        <v>0</v>
      </c>
      <c r="B145" s="87"/>
      <c r="C145" s="87"/>
      <c r="D145" s="113" t="s">
        <v>184</v>
      </c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2"/>
      <c r="Q145" s="111" t="s">
        <v>179</v>
      </c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  <c r="AD145" s="111"/>
      <c r="AE145" s="111"/>
      <c r="AF145" s="112">
        <v>887</v>
      </c>
      <c r="AG145" s="112"/>
      <c r="AH145" s="112"/>
      <c r="AI145" s="112"/>
      <c r="AJ145" s="112"/>
      <c r="AK145" s="112">
        <v>0</v>
      </c>
      <c r="AL145" s="112"/>
      <c r="AM145" s="112"/>
      <c r="AN145" s="112"/>
      <c r="AO145" s="112"/>
      <c r="AP145" s="112">
        <v>887</v>
      </c>
      <c r="AQ145" s="112"/>
      <c r="AR145" s="112"/>
      <c r="AS145" s="112"/>
      <c r="AT145" s="112"/>
      <c r="AU145" s="112">
        <v>887</v>
      </c>
      <c r="AV145" s="112"/>
      <c r="AW145" s="112"/>
      <c r="AX145" s="112"/>
      <c r="AY145" s="112"/>
      <c r="AZ145" s="112">
        <v>0</v>
      </c>
      <c r="BA145" s="112"/>
      <c r="BB145" s="112"/>
      <c r="BC145" s="112"/>
      <c r="BD145" s="112"/>
      <c r="BE145" s="112">
        <v>887</v>
      </c>
      <c r="BF145" s="112"/>
      <c r="BG145" s="112"/>
      <c r="BH145" s="112"/>
      <c r="BI145" s="112"/>
    </row>
    <row r="146" spans="1:61" s="99" customFormat="1" ht="15" x14ac:dyDescent="0.2">
      <c r="A146" s="89">
        <v>2</v>
      </c>
      <c r="B146" s="90"/>
      <c r="C146" s="90"/>
      <c r="D146" s="114" t="s">
        <v>180</v>
      </c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4"/>
      <c r="Q146" s="27" t="s">
        <v>179</v>
      </c>
      <c r="R146" s="27"/>
      <c r="S146" s="27"/>
      <c r="T146" s="27"/>
      <c r="U146" s="27"/>
      <c r="V146" s="27" t="s">
        <v>181</v>
      </c>
      <c r="W146" s="27"/>
      <c r="X146" s="27"/>
      <c r="Y146" s="27"/>
      <c r="Z146" s="27"/>
      <c r="AA146" s="27"/>
      <c r="AB146" s="27"/>
      <c r="AC146" s="27"/>
      <c r="AD146" s="27"/>
      <c r="AE146" s="27"/>
      <c r="AF146" s="115">
        <v>729</v>
      </c>
      <c r="AG146" s="115"/>
      <c r="AH146" s="115"/>
      <c r="AI146" s="115"/>
      <c r="AJ146" s="115"/>
      <c r="AK146" s="115">
        <v>0</v>
      </c>
      <c r="AL146" s="115"/>
      <c r="AM146" s="115"/>
      <c r="AN146" s="115"/>
      <c r="AO146" s="115"/>
      <c r="AP146" s="115">
        <v>729</v>
      </c>
      <c r="AQ146" s="115"/>
      <c r="AR146" s="115"/>
      <c r="AS146" s="115"/>
      <c r="AT146" s="115"/>
      <c r="AU146" s="115">
        <v>729</v>
      </c>
      <c r="AV146" s="115"/>
      <c r="AW146" s="115"/>
      <c r="AX146" s="115"/>
      <c r="AY146" s="115"/>
      <c r="AZ146" s="115">
        <v>0</v>
      </c>
      <c r="BA146" s="115"/>
      <c r="BB146" s="115"/>
      <c r="BC146" s="115"/>
      <c r="BD146" s="115"/>
      <c r="BE146" s="115">
        <v>729</v>
      </c>
      <c r="BF146" s="115"/>
      <c r="BG146" s="115"/>
      <c r="BH146" s="115"/>
      <c r="BI146" s="115"/>
    </row>
    <row r="147" spans="1:61" s="6" customFormat="1" ht="30" customHeight="1" x14ac:dyDescent="0.2">
      <c r="A147" s="86">
        <v>0</v>
      </c>
      <c r="B147" s="87"/>
      <c r="C147" s="87"/>
      <c r="D147" s="113" t="s">
        <v>184</v>
      </c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2"/>
      <c r="Q147" s="111" t="s">
        <v>179</v>
      </c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  <c r="AD147" s="111"/>
      <c r="AE147" s="111"/>
      <c r="AF147" s="112">
        <v>887</v>
      </c>
      <c r="AG147" s="112"/>
      <c r="AH147" s="112"/>
      <c r="AI147" s="112"/>
      <c r="AJ147" s="112"/>
      <c r="AK147" s="112">
        <v>0</v>
      </c>
      <c r="AL147" s="112"/>
      <c r="AM147" s="112"/>
      <c r="AN147" s="112"/>
      <c r="AO147" s="112"/>
      <c r="AP147" s="112">
        <v>887</v>
      </c>
      <c r="AQ147" s="112"/>
      <c r="AR147" s="112"/>
      <c r="AS147" s="112"/>
      <c r="AT147" s="112"/>
      <c r="AU147" s="112">
        <v>887</v>
      </c>
      <c r="AV147" s="112"/>
      <c r="AW147" s="112"/>
      <c r="AX147" s="112"/>
      <c r="AY147" s="112"/>
      <c r="AZ147" s="112">
        <v>0</v>
      </c>
      <c r="BA147" s="112"/>
      <c r="BB147" s="112"/>
      <c r="BC147" s="112"/>
      <c r="BD147" s="112"/>
      <c r="BE147" s="112">
        <v>887</v>
      </c>
      <c r="BF147" s="112"/>
      <c r="BG147" s="112"/>
      <c r="BH147" s="112"/>
      <c r="BI147" s="112"/>
    </row>
    <row r="148" spans="1:61" s="99" customFormat="1" ht="15" x14ac:dyDescent="0.2">
      <c r="A148" s="89">
        <v>3</v>
      </c>
      <c r="B148" s="90"/>
      <c r="C148" s="90"/>
      <c r="D148" s="114" t="s">
        <v>182</v>
      </c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4"/>
      <c r="Q148" s="27" t="s">
        <v>179</v>
      </c>
      <c r="R148" s="27"/>
      <c r="S148" s="27"/>
      <c r="T148" s="27"/>
      <c r="U148" s="27"/>
      <c r="V148" s="27" t="s">
        <v>181</v>
      </c>
      <c r="W148" s="27"/>
      <c r="X148" s="27"/>
      <c r="Y148" s="27"/>
      <c r="Z148" s="27"/>
      <c r="AA148" s="27"/>
      <c r="AB148" s="27"/>
      <c r="AC148" s="27"/>
      <c r="AD148" s="27"/>
      <c r="AE148" s="27"/>
      <c r="AF148" s="115">
        <v>158</v>
      </c>
      <c r="AG148" s="115"/>
      <c r="AH148" s="115"/>
      <c r="AI148" s="115"/>
      <c r="AJ148" s="115"/>
      <c r="AK148" s="115">
        <v>0</v>
      </c>
      <c r="AL148" s="115"/>
      <c r="AM148" s="115"/>
      <c r="AN148" s="115"/>
      <c r="AO148" s="115"/>
      <c r="AP148" s="115">
        <v>158</v>
      </c>
      <c r="AQ148" s="115"/>
      <c r="AR148" s="115"/>
      <c r="AS148" s="115"/>
      <c r="AT148" s="115"/>
      <c r="AU148" s="115">
        <v>158</v>
      </c>
      <c r="AV148" s="115"/>
      <c r="AW148" s="115"/>
      <c r="AX148" s="115"/>
      <c r="AY148" s="115"/>
      <c r="AZ148" s="115">
        <v>0</v>
      </c>
      <c r="BA148" s="115"/>
      <c r="BB148" s="115"/>
      <c r="BC148" s="115"/>
      <c r="BD148" s="115"/>
      <c r="BE148" s="115">
        <v>158</v>
      </c>
      <c r="BF148" s="115"/>
      <c r="BG148" s="115"/>
      <c r="BH148" s="115"/>
      <c r="BI148" s="115"/>
    </row>
    <row r="149" spans="1:61" s="6" customFormat="1" ht="14.25" x14ac:dyDescent="0.2">
      <c r="A149" s="86">
        <v>0</v>
      </c>
      <c r="B149" s="87"/>
      <c r="C149" s="87"/>
      <c r="D149" s="113" t="s">
        <v>185</v>
      </c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2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  <c r="AD149" s="111"/>
      <c r="AE149" s="111"/>
      <c r="AF149" s="112"/>
      <c r="AG149" s="112"/>
      <c r="AH149" s="112"/>
      <c r="AI149" s="112"/>
      <c r="AJ149" s="112"/>
      <c r="AK149" s="112"/>
      <c r="AL149" s="112"/>
      <c r="AM149" s="112"/>
      <c r="AN149" s="112"/>
      <c r="AO149" s="112"/>
      <c r="AP149" s="112"/>
      <c r="AQ149" s="112"/>
      <c r="AR149" s="112"/>
      <c r="AS149" s="112"/>
      <c r="AT149" s="112"/>
      <c r="AU149" s="112"/>
      <c r="AV149" s="112"/>
      <c r="AW149" s="112"/>
      <c r="AX149" s="112"/>
      <c r="AY149" s="112"/>
      <c r="AZ149" s="112"/>
      <c r="BA149" s="112"/>
      <c r="BB149" s="112"/>
      <c r="BC149" s="112"/>
      <c r="BD149" s="112"/>
      <c r="BE149" s="112"/>
      <c r="BF149" s="112"/>
      <c r="BG149" s="112"/>
      <c r="BH149" s="112"/>
      <c r="BI149" s="112"/>
    </row>
    <row r="150" spans="1:61" s="6" customFormat="1" ht="28.5" customHeight="1" x14ac:dyDescent="0.2">
      <c r="A150" s="86">
        <v>0</v>
      </c>
      <c r="B150" s="87"/>
      <c r="C150" s="87"/>
      <c r="D150" s="113" t="s">
        <v>186</v>
      </c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2"/>
      <c r="Q150" s="111" t="s">
        <v>187</v>
      </c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12">
        <v>4954</v>
      </c>
      <c r="AG150" s="112"/>
      <c r="AH150" s="112"/>
      <c r="AI150" s="112"/>
      <c r="AJ150" s="112"/>
      <c r="AK150" s="112">
        <v>0</v>
      </c>
      <c r="AL150" s="112"/>
      <c r="AM150" s="112"/>
      <c r="AN150" s="112"/>
      <c r="AO150" s="112"/>
      <c r="AP150" s="112">
        <v>4954</v>
      </c>
      <c r="AQ150" s="112"/>
      <c r="AR150" s="112"/>
      <c r="AS150" s="112"/>
      <c r="AT150" s="112"/>
      <c r="AU150" s="112">
        <v>5241</v>
      </c>
      <c r="AV150" s="112"/>
      <c r="AW150" s="112"/>
      <c r="AX150" s="112"/>
      <c r="AY150" s="112"/>
      <c r="AZ150" s="112">
        <v>0</v>
      </c>
      <c r="BA150" s="112"/>
      <c r="BB150" s="112"/>
      <c r="BC150" s="112"/>
      <c r="BD150" s="112"/>
      <c r="BE150" s="112">
        <v>5241</v>
      </c>
      <c r="BF150" s="112"/>
      <c r="BG150" s="112"/>
      <c r="BH150" s="112"/>
      <c r="BI150" s="112"/>
    </row>
    <row r="151" spans="1:61" s="99" customFormat="1" ht="28.5" customHeight="1" x14ac:dyDescent="0.2">
      <c r="A151" s="89">
        <v>1</v>
      </c>
      <c r="B151" s="90"/>
      <c r="C151" s="90"/>
      <c r="D151" s="114" t="s">
        <v>186</v>
      </c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4"/>
      <c r="Q151" s="27" t="s">
        <v>187</v>
      </c>
      <c r="R151" s="27"/>
      <c r="S151" s="27"/>
      <c r="T151" s="27"/>
      <c r="U151" s="27"/>
      <c r="V151" s="114" t="s">
        <v>188</v>
      </c>
      <c r="W151" s="93"/>
      <c r="X151" s="93"/>
      <c r="Y151" s="93"/>
      <c r="Z151" s="93"/>
      <c r="AA151" s="93"/>
      <c r="AB151" s="93"/>
      <c r="AC151" s="93"/>
      <c r="AD151" s="93"/>
      <c r="AE151" s="94"/>
      <c r="AF151" s="115">
        <v>0</v>
      </c>
      <c r="AG151" s="115"/>
      <c r="AH151" s="115"/>
      <c r="AI151" s="115"/>
      <c r="AJ151" s="115"/>
      <c r="AK151" s="115">
        <v>0</v>
      </c>
      <c r="AL151" s="115"/>
      <c r="AM151" s="115"/>
      <c r="AN151" s="115"/>
      <c r="AO151" s="115"/>
      <c r="AP151" s="115">
        <v>0</v>
      </c>
      <c r="AQ151" s="115"/>
      <c r="AR151" s="115"/>
      <c r="AS151" s="115"/>
      <c r="AT151" s="115"/>
      <c r="AU151" s="115">
        <v>0</v>
      </c>
      <c r="AV151" s="115"/>
      <c r="AW151" s="115"/>
      <c r="AX151" s="115"/>
      <c r="AY151" s="115"/>
      <c r="AZ151" s="115">
        <v>0</v>
      </c>
      <c r="BA151" s="115"/>
      <c r="BB151" s="115"/>
      <c r="BC151" s="115"/>
      <c r="BD151" s="115"/>
      <c r="BE151" s="115">
        <v>0</v>
      </c>
      <c r="BF151" s="115"/>
      <c r="BG151" s="115"/>
      <c r="BH151" s="115"/>
      <c r="BI151" s="115"/>
    </row>
    <row r="152" spans="1:61" s="6" customFormat="1" ht="30" customHeight="1" x14ac:dyDescent="0.2">
      <c r="A152" s="86">
        <v>0</v>
      </c>
      <c r="B152" s="87"/>
      <c r="C152" s="87"/>
      <c r="D152" s="113" t="s">
        <v>186</v>
      </c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2"/>
      <c r="Q152" s="111" t="s">
        <v>187</v>
      </c>
      <c r="R152" s="111"/>
      <c r="S152" s="111"/>
      <c r="T152" s="111"/>
      <c r="U152" s="111"/>
      <c r="V152" s="113"/>
      <c r="W152" s="101"/>
      <c r="X152" s="101"/>
      <c r="Y152" s="101"/>
      <c r="Z152" s="101"/>
      <c r="AA152" s="101"/>
      <c r="AB152" s="101"/>
      <c r="AC152" s="101"/>
      <c r="AD152" s="101"/>
      <c r="AE152" s="102"/>
      <c r="AF152" s="112">
        <v>4954</v>
      </c>
      <c r="AG152" s="112"/>
      <c r="AH152" s="112"/>
      <c r="AI152" s="112"/>
      <c r="AJ152" s="112"/>
      <c r="AK152" s="112">
        <v>0</v>
      </c>
      <c r="AL152" s="112"/>
      <c r="AM152" s="112"/>
      <c r="AN152" s="112"/>
      <c r="AO152" s="112"/>
      <c r="AP152" s="112">
        <v>4954</v>
      </c>
      <c r="AQ152" s="112"/>
      <c r="AR152" s="112"/>
      <c r="AS152" s="112"/>
      <c r="AT152" s="112"/>
      <c r="AU152" s="112">
        <v>5241</v>
      </c>
      <c r="AV152" s="112"/>
      <c r="AW152" s="112"/>
      <c r="AX152" s="112"/>
      <c r="AY152" s="112"/>
      <c r="AZ152" s="112">
        <v>0</v>
      </c>
      <c r="BA152" s="112"/>
      <c r="BB152" s="112"/>
      <c r="BC152" s="112"/>
      <c r="BD152" s="112"/>
      <c r="BE152" s="112">
        <v>5241</v>
      </c>
      <c r="BF152" s="112"/>
      <c r="BG152" s="112"/>
      <c r="BH152" s="112"/>
      <c r="BI152" s="112"/>
    </row>
    <row r="153" spans="1:61" s="99" customFormat="1" ht="14.25" customHeight="1" x14ac:dyDescent="0.2">
      <c r="A153" s="89">
        <v>2</v>
      </c>
      <c r="B153" s="90"/>
      <c r="C153" s="90"/>
      <c r="D153" s="114" t="s">
        <v>180</v>
      </c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4"/>
      <c r="Q153" s="27" t="s">
        <v>187</v>
      </c>
      <c r="R153" s="27"/>
      <c r="S153" s="27"/>
      <c r="T153" s="27"/>
      <c r="U153" s="27"/>
      <c r="V153" s="114" t="s">
        <v>188</v>
      </c>
      <c r="W153" s="93"/>
      <c r="X153" s="93"/>
      <c r="Y153" s="93"/>
      <c r="Z153" s="93"/>
      <c r="AA153" s="93"/>
      <c r="AB153" s="93"/>
      <c r="AC153" s="93"/>
      <c r="AD153" s="93"/>
      <c r="AE153" s="94"/>
      <c r="AF153" s="115">
        <v>1159</v>
      </c>
      <c r="AG153" s="115"/>
      <c r="AH153" s="115"/>
      <c r="AI153" s="115"/>
      <c r="AJ153" s="115"/>
      <c r="AK153" s="115">
        <v>0</v>
      </c>
      <c r="AL153" s="115"/>
      <c r="AM153" s="115"/>
      <c r="AN153" s="115"/>
      <c r="AO153" s="115"/>
      <c r="AP153" s="115">
        <v>1159</v>
      </c>
      <c r="AQ153" s="115"/>
      <c r="AR153" s="115"/>
      <c r="AS153" s="115"/>
      <c r="AT153" s="115"/>
      <c r="AU153" s="115">
        <v>1226</v>
      </c>
      <c r="AV153" s="115"/>
      <c r="AW153" s="115"/>
      <c r="AX153" s="115"/>
      <c r="AY153" s="115"/>
      <c r="AZ153" s="115">
        <v>0</v>
      </c>
      <c r="BA153" s="115"/>
      <c r="BB153" s="115"/>
      <c r="BC153" s="115"/>
      <c r="BD153" s="115"/>
      <c r="BE153" s="115">
        <v>1226</v>
      </c>
      <c r="BF153" s="115"/>
      <c r="BG153" s="115"/>
      <c r="BH153" s="115"/>
      <c r="BI153" s="115"/>
    </row>
    <row r="154" spans="1:61" s="6" customFormat="1" ht="30" customHeight="1" x14ac:dyDescent="0.2">
      <c r="A154" s="86">
        <v>0</v>
      </c>
      <c r="B154" s="87"/>
      <c r="C154" s="87"/>
      <c r="D154" s="113" t="s">
        <v>186</v>
      </c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2"/>
      <c r="Q154" s="111" t="s">
        <v>187</v>
      </c>
      <c r="R154" s="111"/>
      <c r="S154" s="111"/>
      <c r="T154" s="111"/>
      <c r="U154" s="111"/>
      <c r="V154" s="113"/>
      <c r="W154" s="101"/>
      <c r="X154" s="101"/>
      <c r="Y154" s="101"/>
      <c r="Z154" s="101"/>
      <c r="AA154" s="101"/>
      <c r="AB154" s="101"/>
      <c r="AC154" s="101"/>
      <c r="AD154" s="101"/>
      <c r="AE154" s="102"/>
      <c r="AF154" s="112">
        <v>4954</v>
      </c>
      <c r="AG154" s="112"/>
      <c r="AH154" s="112"/>
      <c r="AI154" s="112"/>
      <c r="AJ154" s="112"/>
      <c r="AK154" s="112">
        <v>0</v>
      </c>
      <c r="AL154" s="112"/>
      <c r="AM154" s="112"/>
      <c r="AN154" s="112"/>
      <c r="AO154" s="112"/>
      <c r="AP154" s="112">
        <v>4954</v>
      </c>
      <c r="AQ154" s="112"/>
      <c r="AR154" s="112"/>
      <c r="AS154" s="112"/>
      <c r="AT154" s="112"/>
      <c r="AU154" s="112">
        <v>5241</v>
      </c>
      <c r="AV154" s="112"/>
      <c r="AW154" s="112"/>
      <c r="AX154" s="112"/>
      <c r="AY154" s="112"/>
      <c r="AZ154" s="112">
        <v>0</v>
      </c>
      <c r="BA154" s="112"/>
      <c r="BB154" s="112"/>
      <c r="BC154" s="112"/>
      <c r="BD154" s="112"/>
      <c r="BE154" s="112">
        <v>5241</v>
      </c>
      <c r="BF154" s="112"/>
      <c r="BG154" s="112"/>
      <c r="BH154" s="112"/>
      <c r="BI154" s="112"/>
    </row>
    <row r="155" spans="1:61" s="99" customFormat="1" ht="14.25" customHeight="1" x14ac:dyDescent="0.2">
      <c r="A155" s="89">
        <v>3</v>
      </c>
      <c r="B155" s="90"/>
      <c r="C155" s="90"/>
      <c r="D155" s="114" t="s">
        <v>182</v>
      </c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4"/>
      <c r="Q155" s="27" t="s">
        <v>187</v>
      </c>
      <c r="R155" s="27"/>
      <c r="S155" s="27"/>
      <c r="T155" s="27"/>
      <c r="U155" s="27"/>
      <c r="V155" s="114" t="s">
        <v>188</v>
      </c>
      <c r="W155" s="93"/>
      <c r="X155" s="93"/>
      <c r="Y155" s="93"/>
      <c r="Z155" s="93"/>
      <c r="AA155" s="93"/>
      <c r="AB155" s="93"/>
      <c r="AC155" s="93"/>
      <c r="AD155" s="93"/>
      <c r="AE155" s="94"/>
      <c r="AF155" s="115">
        <v>3795</v>
      </c>
      <c r="AG155" s="115"/>
      <c r="AH155" s="115"/>
      <c r="AI155" s="115"/>
      <c r="AJ155" s="115"/>
      <c r="AK155" s="115">
        <v>0</v>
      </c>
      <c r="AL155" s="115"/>
      <c r="AM155" s="115"/>
      <c r="AN155" s="115"/>
      <c r="AO155" s="115"/>
      <c r="AP155" s="115">
        <v>3795</v>
      </c>
      <c r="AQ155" s="115"/>
      <c r="AR155" s="115"/>
      <c r="AS155" s="115"/>
      <c r="AT155" s="115"/>
      <c r="AU155" s="115">
        <v>4015</v>
      </c>
      <c r="AV155" s="115"/>
      <c r="AW155" s="115"/>
      <c r="AX155" s="115"/>
      <c r="AY155" s="115"/>
      <c r="AZ155" s="115">
        <v>0</v>
      </c>
      <c r="BA155" s="115"/>
      <c r="BB155" s="115"/>
      <c r="BC155" s="115"/>
      <c r="BD155" s="115"/>
      <c r="BE155" s="115">
        <v>4015</v>
      </c>
      <c r="BF155" s="115"/>
      <c r="BG155" s="115"/>
      <c r="BH155" s="115"/>
      <c r="BI155" s="115"/>
    </row>
    <row r="156" spans="1:61" s="6" customFormat="1" ht="14.25" x14ac:dyDescent="0.2">
      <c r="A156" s="86">
        <v>0</v>
      </c>
      <c r="B156" s="87"/>
      <c r="C156" s="87"/>
      <c r="D156" s="113" t="s">
        <v>189</v>
      </c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2"/>
      <c r="Q156" s="111"/>
      <c r="R156" s="111"/>
      <c r="S156" s="111"/>
      <c r="T156" s="111"/>
      <c r="U156" s="111"/>
      <c r="V156" s="113"/>
      <c r="W156" s="101"/>
      <c r="X156" s="101"/>
      <c r="Y156" s="101"/>
      <c r="Z156" s="101"/>
      <c r="AA156" s="101"/>
      <c r="AB156" s="101"/>
      <c r="AC156" s="101"/>
      <c r="AD156" s="101"/>
      <c r="AE156" s="102"/>
      <c r="AF156" s="112"/>
      <c r="AG156" s="112"/>
      <c r="AH156" s="112"/>
      <c r="AI156" s="112"/>
      <c r="AJ156" s="112"/>
      <c r="AK156" s="112"/>
      <c r="AL156" s="112"/>
      <c r="AM156" s="112"/>
      <c r="AN156" s="112"/>
      <c r="AO156" s="112"/>
      <c r="AP156" s="112"/>
      <c r="AQ156" s="112"/>
      <c r="AR156" s="112"/>
      <c r="AS156" s="112"/>
      <c r="AT156" s="112"/>
      <c r="AU156" s="112"/>
      <c r="AV156" s="112"/>
      <c r="AW156" s="112"/>
      <c r="AX156" s="112"/>
      <c r="AY156" s="112"/>
      <c r="AZ156" s="112"/>
      <c r="BA156" s="112"/>
      <c r="BB156" s="112"/>
      <c r="BC156" s="112"/>
      <c r="BD156" s="112"/>
      <c r="BE156" s="112"/>
      <c r="BF156" s="112"/>
      <c r="BG156" s="112"/>
      <c r="BH156" s="112"/>
      <c r="BI156" s="112"/>
    </row>
    <row r="157" spans="1:61" s="6" customFormat="1" ht="28.5" customHeight="1" x14ac:dyDescent="0.2">
      <c r="A157" s="86">
        <v>0</v>
      </c>
      <c r="B157" s="87"/>
      <c r="C157" s="87"/>
      <c r="D157" s="113" t="s">
        <v>190</v>
      </c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2"/>
      <c r="Q157" s="111" t="s">
        <v>191</v>
      </c>
      <c r="R157" s="111"/>
      <c r="S157" s="111"/>
      <c r="T157" s="111"/>
      <c r="U157" s="111"/>
      <c r="V157" s="113"/>
      <c r="W157" s="101"/>
      <c r="X157" s="101"/>
      <c r="Y157" s="101"/>
      <c r="Z157" s="101"/>
      <c r="AA157" s="101"/>
      <c r="AB157" s="101"/>
      <c r="AC157" s="101"/>
      <c r="AD157" s="101"/>
      <c r="AE157" s="102"/>
      <c r="AF157" s="112">
        <v>0</v>
      </c>
      <c r="AG157" s="112"/>
      <c r="AH157" s="112"/>
      <c r="AI157" s="112"/>
      <c r="AJ157" s="112"/>
      <c r="AK157" s="112">
        <v>0</v>
      </c>
      <c r="AL157" s="112"/>
      <c r="AM157" s="112"/>
      <c r="AN157" s="112"/>
      <c r="AO157" s="112"/>
      <c r="AP157" s="112">
        <v>0</v>
      </c>
      <c r="AQ157" s="112"/>
      <c r="AR157" s="112"/>
      <c r="AS157" s="112"/>
      <c r="AT157" s="112"/>
      <c r="AU157" s="112">
        <v>0</v>
      </c>
      <c r="AV157" s="112"/>
      <c r="AW157" s="112"/>
      <c r="AX157" s="112"/>
      <c r="AY157" s="112"/>
      <c r="AZ157" s="112">
        <v>0</v>
      </c>
      <c r="BA157" s="112"/>
      <c r="BB157" s="112"/>
      <c r="BC157" s="112"/>
      <c r="BD157" s="112"/>
      <c r="BE157" s="112">
        <v>0</v>
      </c>
      <c r="BF157" s="112"/>
      <c r="BG157" s="112"/>
      <c r="BH157" s="112"/>
      <c r="BI157" s="112"/>
    </row>
    <row r="158" spans="1:61" s="99" customFormat="1" ht="28.5" customHeight="1" x14ac:dyDescent="0.2">
      <c r="A158" s="89">
        <v>1</v>
      </c>
      <c r="B158" s="90"/>
      <c r="C158" s="90"/>
      <c r="D158" s="114" t="s">
        <v>190</v>
      </c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4"/>
      <c r="Q158" s="27" t="s">
        <v>191</v>
      </c>
      <c r="R158" s="27"/>
      <c r="S158" s="27"/>
      <c r="T158" s="27"/>
      <c r="U158" s="27"/>
      <c r="V158" s="114" t="s">
        <v>181</v>
      </c>
      <c r="W158" s="93"/>
      <c r="X158" s="93"/>
      <c r="Y158" s="93"/>
      <c r="Z158" s="93"/>
      <c r="AA158" s="93"/>
      <c r="AB158" s="93"/>
      <c r="AC158" s="93"/>
      <c r="AD158" s="93"/>
      <c r="AE158" s="94"/>
      <c r="AF158" s="115">
        <v>0</v>
      </c>
      <c r="AG158" s="115"/>
      <c r="AH158" s="115"/>
      <c r="AI158" s="115"/>
      <c r="AJ158" s="115"/>
      <c r="AK158" s="115">
        <v>0</v>
      </c>
      <c r="AL158" s="115"/>
      <c r="AM158" s="115"/>
      <c r="AN158" s="115"/>
      <c r="AO158" s="115"/>
      <c r="AP158" s="115">
        <v>0</v>
      </c>
      <c r="AQ158" s="115"/>
      <c r="AR158" s="115"/>
      <c r="AS158" s="115"/>
      <c r="AT158" s="115"/>
      <c r="AU158" s="115">
        <v>0</v>
      </c>
      <c r="AV158" s="115"/>
      <c r="AW158" s="115"/>
      <c r="AX158" s="115"/>
      <c r="AY158" s="115"/>
      <c r="AZ158" s="115">
        <v>0</v>
      </c>
      <c r="BA158" s="115"/>
      <c r="BB158" s="115"/>
      <c r="BC158" s="115"/>
      <c r="BD158" s="115"/>
      <c r="BE158" s="115">
        <v>0</v>
      </c>
      <c r="BF158" s="115"/>
      <c r="BG158" s="115"/>
      <c r="BH158" s="115"/>
      <c r="BI158" s="115"/>
    </row>
    <row r="159" spans="1:61" s="6" customFormat="1" ht="30" customHeight="1" x14ac:dyDescent="0.2">
      <c r="A159" s="86">
        <v>0</v>
      </c>
      <c r="B159" s="87"/>
      <c r="C159" s="87"/>
      <c r="D159" s="113" t="s">
        <v>190</v>
      </c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2"/>
      <c r="Q159" s="111" t="s">
        <v>191</v>
      </c>
      <c r="R159" s="111"/>
      <c r="S159" s="111"/>
      <c r="T159" s="111"/>
      <c r="U159" s="111"/>
      <c r="V159" s="113"/>
      <c r="W159" s="101"/>
      <c r="X159" s="101"/>
      <c r="Y159" s="101"/>
      <c r="Z159" s="101"/>
      <c r="AA159" s="101"/>
      <c r="AB159" s="101"/>
      <c r="AC159" s="101"/>
      <c r="AD159" s="101"/>
      <c r="AE159" s="102"/>
      <c r="AF159" s="112">
        <v>0</v>
      </c>
      <c r="AG159" s="112"/>
      <c r="AH159" s="112"/>
      <c r="AI159" s="112"/>
      <c r="AJ159" s="112"/>
      <c r="AK159" s="112">
        <v>0</v>
      </c>
      <c r="AL159" s="112"/>
      <c r="AM159" s="112"/>
      <c r="AN159" s="112"/>
      <c r="AO159" s="112"/>
      <c r="AP159" s="112">
        <v>0</v>
      </c>
      <c r="AQ159" s="112"/>
      <c r="AR159" s="112"/>
      <c r="AS159" s="112"/>
      <c r="AT159" s="112"/>
      <c r="AU159" s="112">
        <v>0</v>
      </c>
      <c r="AV159" s="112"/>
      <c r="AW159" s="112"/>
      <c r="AX159" s="112"/>
      <c r="AY159" s="112"/>
      <c r="AZ159" s="112">
        <v>0</v>
      </c>
      <c r="BA159" s="112"/>
      <c r="BB159" s="112"/>
      <c r="BC159" s="112"/>
      <c r="BD159" s="112"/>
      <c r="BE159" s="112">
        <v>0</v>
      </c>
      <c r="BF159" s="112"/>
      <c r="BG159" s="112"/>
      <c r="BH159" s="112"/>
      <c r="BI159" s="112"/>
    </row>
    <row r="160" spans="1:61" s="99" customFormat="1" ht="15" x14ac:dyDescent="0.2">
      <c r="A160" s="89">
        <v>2</v>
      </c>
      <c r="B160" s="90"/>
      <c r="C160" s="90"/>
      <c r="D160" s="114" t="s">
        <v>180</v>
      </c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4"/>
      <c r="Q160" s="27" t="s">
        <v>191</v>
      </c>
      <c r="R160" s="27"/>
      <c r="S160" s="27"/>
      <c r="T160" s="27"/>
      <c r="U160" s="27"/>
      <c r="V160" s="114" t="s">
        <v>181</v>
      </c>
      <c r="W160" s="93"/>
      <c r="X160" s="93"/>
      <c r="Y160" s="93"/>
      <c r="Z160" s="93"/>
      <c r="AA160" s="93"/>
      <c r="AB160" s="93"/>
      <c r="AC160" s="93"/>
      <c r="AD160" s="93"/>
      <c r="AE160" s="94"/>
      <c r="AF160" s="115">
        <v>0</v>
      </c>
      <c r="AG160" s="115"/>
      <c r="AH160" s="115"/>
      <c r="AI160" s="115"/>
      <c r="AJ160" s="115"/>
      <c r="AK160" s="115">
        <v>0</v>
      </c>
      <c r="AL160" s="115"/>
      <c r="AM160" s="115"/>
      <c r="AN160" s="115"/>
      <c r="AO160" s="115"/>
      <c r="AP160" s="115">
        <v>0</v>
      </c>
      <c r="AQ160" s="115"/>
      <c r="AR160" s="115"/>
      <c r="AS160" s="115"/>
      <c r="AT160" s="115"/>
      <c r="AU160" s="115">
        <v>0</v>
      </c>
      <c r="AV160" s="115"/>
      <c r="AW160" s="115"/>
      <c r="AX160" s="115"/>
      <c r="AY160" s="115"/>
      <c r="AZ160" s="115">
        <v>0</v>
      </c>
      <c r="BA160" s="115"/>
      <c r="BB160" s="115"/>
      <c r="BC160" s="115"/>
      <c r="BD160" s="115"/>
      <c r="BE160" s="115">
        <v>0</v>
      </c>
      <c r="BF160" s="115"/>
      <c r="BG160" s="115"/>
      <c r="BH160" s="115"/>
      <c r="BI160" s="115"/>
    </row>
    <row r="161" spans="1:79" s="6" customFormat="1" ht="30" customHeight="1" x14ac:dyDescent="0.2">
      <c r="A161" s="86">
        <v>0</v>
      </c>
      <c r="B161" s="87"/>
      <c r="C161" s="87"/>
      <c r="D161" s="113" t="s">
        <v>190</v>
      </c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2"/>
      <c r="Q161" s="111" t="s">
        <v>191</v>
      </c>
      <c r="R161" s="111"/>
      <c r="S161" s="111"/>
      <c r="T161" s="111"/>
      <c r="U161" s="111"/>
      <c r="V161" s="113"/>
      <c r="W161" s="101"/>
      <c r="X161" s="101"/>
      <c r="Y161" s="101"/>
      <c r="Z161" s="101"/>
      <c r="AA161" s="101"/>
      <c r="AB161" s="101"/>
      <c r="AC161" s="101"/>
      <c r="AD161" s="101"/>
      <c r="AE161" s="102"/>
      <c r="AF161" s="112">
        <v>0</v>
      </c>
      <c r="AG161" s="112"/>
      <c r="AH161" s="112"/>
      <c r="AI161" s="112"/>
      <c r="AJ161" s="112"/>
      <c r="AK161" s="112">
        <v>0</v>
      </c>
      <c r="AL161" s="112"/>
      <c r="AM161" s="112"/>
      <c r="AN161" s="112"/>
      <c r="AO161" s="112"/>
      <c r="AP161" s="112">
        <v>0</v>
      </c>
      <c r="AQ161" s="112"/>
      <c r="AR161" s="112"/>
      <c r="AS161" s="112"/>
      <c r="AT161" s="112"/>
      <c r="AU161" s="112">
        <v>0</v>
      </c>
      <c r="AV161" s="112"/>
      <c r="AW161" s="112"/>
      <c r="AX161" s="112"/>
      <c r="AY161" s="112"/>
      <c r="AZ161" s="112">
        <v>0</v>
      </c>
      <c r="BA161" s="112"/>
      <c r="BB161" s="112"/>
      <c r="BC161" s="112"/>
      <c r="BD161" s="112"/>
      <c r="BE161" s="112">
        <v>0</v>
      </c>
      <c r="BF161" s="112"/>
      <c r="BG161" s="112"/>
      <c r="BH161" s="112"/>
      <c r="BI161" s="112"/>
    </row>
    <row r="162" spans="1:79" s="99" customFormat="1" ht="15" x14ac:dyDescent="0.2">
      <c r="A162" s="89">
        <v>3</v>
      </c>
      <c r="B162" s="90"/>
      <c r="C162" s="90"/>
      <c r="D162" s="114" t="s">
        <v>182</v>
      </c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4"/>
      <c r="Q162" s="27" t="s">
        <v>191</v>
      </c>
      <c r="R162" s="27"/>
      <c r="S162" s="27"/>
      <c r="T162" s="27"/>
      <c r="U162" s="27"/>
      <c r="V162" s="114" t="s">
        <v>181</v>
      </c>
      <c r="W162" s="93"/>
      <c r="X162" s="93"/>
      <c r="Y162" s="93"/>
      <c r="Z162" s="93"/>
      <c r="AA162" s="93"/>
      <c r="AB162" s="93"/>
      <c r="AC162" s="93"/>
      <c r="AD162" s="93"/>
      <c r="AE162" s="94"/>
      <c r="AF162" s="115">
        <v>0</v>
      </c>
      <c r="AG162" s="115"/>
      <c r="AH162" s="115"/>
      <c r="AI162" s="115"/>
      <c r="AJ162" s="115"/>
      <c r="AK162" s="115">
        <v>0</v>
      </c>
      <c r="AL162" s="115"/>
      <c r="AM162" s="115"/>
      <c r="AN162" s="115"/>
      <c r="AO162" s="115"/>
      <c r="AP162" s="115">
        <v>0</v>
      </c>
      <c r="AQ162" s="115"/>
      <c r="AR162" s="115"/>
      <c r="AS162" s="115"/>
      <c r="AT162" s="115"/>
      <c r="AU162" s="115">
        <v>0</v>
      </c>
      <c r="AV162" s="115"/>
      <c r="AW162" s="115"/>
      <c r="AX162" s="115"/>
      <c r="AY162" s="115"/>
      <c r="AZ162" s="115">
        <v>0</v>
      </c>
      <c r="BA162" s="115"/>
      <c r="BB162" s="115"/>
      <c r="BC162" s="115"/>
      <c r="BD162" s="115"/>
      <c r="BE162" s="115">
        <v>0</v>
      </c>
      <c r="BF162" s="115"/>
      <c r="BG162" s="115"/>
      <c r="BH162" s="115"/>
      <c r="BI162" s="115"/>
    </row>
    <row r="164" spans="1:79" ht="14.25" customHeight="1" x14ac:dyDescent="0.2">
      <c r="A164" s="29" t="s">
        <v>124</v>
      </c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</row>
    <row r="165" spans="1:79" ht="15" customHeight="1" x14ac:dyDescent="0.2">
      <c r="A165" s="44" t="s">
        <v>208</v>
      </c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44"/>
      <c r="BF165" s="44"/>
      <c r="BG165" s="44"/>
      <c r="BH165" s="44"/>
      <c r="BI165" s="44"/>
      <c r="BJ165" s="44"/>
      <c r="BK165" s="44"/>
      <c r="BL165" s="44"/>
      <c r="BM165" s="44"/>
      <c r="BN165" s="44"/>
      <c r="BO165" s="44"/>
      <c r="BP165" s="44"/>
      <c r="BQ165" s="44"/>
      <c r="BR165" s="44"/>
    </row>
    <row r="166" spans="1:79" ht="12.95" customHeight="1" x14ac:dyDescent="0.2">
      <c r="A166" s="51" t="s">
        <v>19</v>
      </c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3"/>
      <c r="U166" s="27" t="s">
        <v>209</v>
      </c>
      <c r="V166" s="27"/>
      <c r="W166" s="27"/>
      <c r="X166" s="27"/>
      <c r="Y166" s="27"/>
      <c r="Z166" s="27"/>
      <c r="AA166" s="27"/>
      <c r="AB166" s="27"/>
      <c r="AC166" s="27"/>
      <c r="AD166" s="27"/>
      <c r="AE166" s="27" t="s">
        <v>212</v>
      </c>
      <c r="AF166" s="27"/>
      <c r="AG166" s="27"/>
      <c r="AH166" s="27"/>
      <c r="AI166" s="27"/>
      <c r="AJ166" s="27"/>
      <c r="AK166" s="27"/>
      <c r="AL166" s="27"/>
      <c r="AM166" s="27"/>
      <c r="AN166" s="27"/>
      <c r="AO166" s="27" t="s">
        <v>220</v>
      </c>
      <c r="AP166" s="27"/>
      <c r="AQ166" s="27"/>
      <c r="AR166" s="27"/>
      <c r="AS166" s="27"/>
      <c r="AT166" s="27"/>
      <c r="AU166" s="27"/>
      <c r="AV166" s="27"/>
      <c r="AW166" s="27"/>
      <c r="AX166" s="27"/>
      <c r="AY166" s="27" t="s">
        <v>230</v>
      </c>
      <c r="AZ166" s="27"/>
      <c r="BA166" s="27"/>
      <c r="BB166" s="27"/>
      <c r="BC166" s="27"/>
      <c r="BD166" s="27"/>
      <c r="BE166" s="27"/>
      <c r="BF166" s="27"/>
      <c r="BG166" s="27"/>
      <c r="BH166" s="27"/>
      <c r="BI166" s="27" t="s">
        <v>235</v>
      </c>
      <c r="BJ166" s="27"/>
      <c r="BK166" s="27"/>
      <c r="BL166" s="27"/>
      <c r="BM166" s="27"/>
      <c r="BN166" s="27"/>
      <c r="BO166" s="27"/>
      <c r="BP166" s="27"/>
      <c r="BQ166" s="27"/>
      <c r="BR166" s="27"/>
    </row>
    <row r="167" spans="1:79" ht="30" customHeight="1" x14ac:dyDescent="0.2">
      <c r="A167" s="54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6"/>
      <c r="U167" s="27" t="s">
        <v>4</v>
      </c>
      <c r="V167" s="27"/>
      <c r="W167" s="27"/>
      <c r="X167" s="27"/>
      <c r="Y167" s="27"/>
      <c r="Z167" s="27" t="s">
        <v>3</v>
      </c>
      <c r="AA167" s="27"/>
      <c r="AB167" s="27"/>
      <c r="AC167" s="27"/>
      <c r="AD167" s="27"/>
      <c r="AE167" s="27" t="s">
        <v>4</v>
      </c>
      <c r="AF167" s="27"/>
      <c r="AG167" s="27"/>
      <c r="AH167" s="27"/>
      <c r="AI167" s="27"/>
      <c r="AJ167" s="27" t="s">
        <v>3</v>
      </c>
      <c r="AK167" s="27"/>
      <c r="AL167" s="27"/>
      <c r="AM167" s="27"/>
      <c r="AN167" s="27"/>
      <c r="AO167" s="27" t="s">
        <v>4</v>
      </c>
      <c r="AP167" s="27"/>
      <c r="AQ167" s="27"/>
      <c r="AR167" s="27"/>
      <c r="AS167" s="27"/>
      <c r="AT167" s="27" t="s">
        <v>3</v>
      </c>
      <c r="AU167" s="27"/>
      <c r="AV167" s="27"/>
      <c r="AW167" s="27"/>
      <c r="AX167" s="27"/>
      <c r="AY167" s="27" t="s">
        <v>4</v>
      </c>
      <c r="AZ167" s="27"/>
      <c r="BA167" s="27"/>
      <c r="BB167" s="27"/>
      <c r="BC167" s="27"/>
      <c r="BD167" s="27" t="s">
        <v>3</v>
      </c>
      <c r="BE167" s="27"/>
      <c r="BF167" s="27"/>
      <c r="BG167" s="27"/>
      <c r="BH167" s="27"/>
      <c r="BI167" s="27" t="s">
        <v>4</v>
      </c>
      <c r="BJ167" s="27"/>
      <c r="BK167" s="27"/>
      <c r="BL167" s="27"/>
      <c r="BM167" s="27"/>
      <c r="BN167" s="27" t="s">
        <v>3</v>
      </c>
      <c r="BO167" s="27"/>
      <c r="BP167" s="27"/>
      <c r="BQ167" s="27"/>
      <c r="BR167" s="27"/>
    </row>
    <row r="168" spans="1:79" ht="15" customHeight="1" x14ac:dyDescent="0.2">
      <c r="A168" s="36">
        <v>1</v>
      </c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8"/>
      <c r="U168" s="27">
        <v>2</v>
      </c>
      <c r="V168" s="27"/>
      <c r="W168" s="27"/>
      <c r="X168" s="27"/>
      <c r="Y168" s="27"/>
      <c r="Z168" s="27">
        <v>3</v>
      </c>
      <c r="AA168" s="27"/>
      <c r="AB168" s="27"/>
      <c r="AC168" s="27"/>
      <c r="AD168" s="27"/>
      <c r="AE168" s="27">
        <v>4</v>
      </c>
      <c r="AF168" s="27"/>
      <c r="AG168" s="27"/>
      <c r="AH168" s="27"/>
      <c r="AI168" s="27"/>
      <c r="AJ168" s="27">
        <v>5</v>
      </c>
      <c r="AK168" s="27"/>
      <c r="AL168" s="27"/>
      <c r="AM168" s="27"/>
      <c r="AN168" s="27"/>
      <c r="AO168" s="27">
        <v>6</v>
      </c>
      <c r="AP168" s="27"/>
      <c r="AQ168" s="27"/>
      <c r="AR168" s="27"/>
      <c r="AS168" s="27"/>
      <c r="AT168" s="27">
        <v>7</v>
      </c>
      <c r="AU168" s="27"/>
      <c r="AV168" s="27"/>
      <c r="AW168" s="27"/>
      <c r="AX168" s="27"/>
      <c r="AY168" s="27">
        <v>8</v>
      </c>
      <c r="AZ168" s="27"/>
      <c r="BA168" s="27"/>
      <c r="BB168" s="27"/>
      <c r="BC168" s="27"/>
      <c r="BD168" s="27">
        <v>9</v>
      </c>
      <c r="BE168" s="27"/>
      <c r="BF168" s="27"/>
      <c r="BG168" s="27"/>
      <c r="BH168" s="27"/>
      <c r="BI168" s="27">
        <v>10</v>
      </c>
      <c r="BJ168" s="27"/>
      <c r="BK168" s="27"/>
      <c r="BL168" s="27"/>
      <c r="BM168" s="27"/>
      <c r="BN168" s="27">
        <v>11</v>
      </c>
      <c r="BO168" s="27"/>
      <c r="BP168" s="27"/>
      <c r="BQ168" s="27"/>
      <c r="BR168" s="27"/>
    </row>
    <row r="169" spans="1:79" s="1" customFormat="1" ht="15.75" hidden="1" customHeight="1" x14ac:dyDescent="0.2">
      <c r="A169" s="39" t="s">
        <v>57</v>
      </c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1"/>
      <c r="U169" s="26" t="s">
        <v>65</v>
      </c>
      <c r="V169" s="26"/>
      <c r="W169" s="26"/>
      <c r="X169" s="26"/>
      <c r="Y169" s="26"/>
      <c r="Z169" s="30" t="s">
        <v>66</v>
      </c>
      <c r="AA169" s="30"/>
      <c r="AB169" s="30"/>
      <c r="AC169" s="30"/>
      <c r="AD169" s="30"/>
      <c r="AE169" s="26" t="s">
        <v>67</v>
      </c>
      <c r="AF169" s="26"/>
      <c r="AG169" s="26"/>
      <c r="AH169" s="26"/>
      <c r="AI169" s="26"/>
      <c r="AJ169" s="30" t="s">
        <v>68</v>
      </c>
      <c r="AK169" s="30"/>
      <c r="AL169" s="30"/>
      <c r="AM169" s="30"/>
      <c r="AN169" s="30"/>
      <c r="AO169" s="26" t="s">
        <v>58</v>
      </c>
      <c r="AP169" s="26"/>
      <c r="AQ169" s="26"/>
      <c r="AR169" s="26"/>
      <c r="AS169" s="26"/>
      <c r="AT169" s="30" t="s">
        <v>59</v>
      </c>
      <c r="AU169" s="30"/>
      <c r="AV169" s="30"/>
      <c r="AW169" s="30"/>
      <c r="AX169" s="30"/>
      <c r="AY169" s="26" t="s">
        <v>60</v>
      </c>
      <c r="AZ169" s="26"/>
      <c r="BA169" s="26"/>
      <c r="BB169" s="26"/>
      <c r="BC169" s="26"/>
      <c r="BD169" s="30" t="s">
        <v>61</v>
      </c>
      <c r="BE169" s="30"/>
      <c r="BF169" s="30"/>
      <c r="BG169" s="30"/>
      <c r="BH169" s="30"/>
      <c r="BI169" s="26" t="s">
        <v>62</v>
      </c>
      <c r="BJ169" s="26"/>
      <c r="BK169" s="26"/>
      <c r="BL169" s="26"/>
      <c r="BM169" s="26"/>
      <c r="BN169" s="30" t="s">
        <v>63</v>
      </c>
      <c r="BO169" s="30"/>
      <c r="BP169" s="30"/>
      <c r="BQ169" s="30"/>
      <c r="BR169" s="30"/>
      <c r="CA169" t="s">
        <v>41</v>
      </c>
    </row>
    <row r="170" spans="1:79" s="6" customFormat="1" ht="12.75" customHeight="1" x14ac:dyDescent="0.2">
      <c r="A170" s="86" t="s">
        <v>147</v>
      </c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8"/>
      <c r="U170" s="116"/>
      <c r="V170" s="116"/>
      <c r="W170" s="116"/>
      <c r="X170" s="116"/>
      <c r="Y170" s="116"/>
      <c r="Z170" s="116"/>
      <c r="AA170" s="116"/>
      <c r="AB170" s="116"/>
      <c r="AC170" s="116"/>
      <c r="AD170" s="116"/>
      <c r="AE170" s="116"/>
      <c r="AF170" s="116"/>
      <c r="AG170" s="116"/>
      <c r="AH170" s="116"/>
      <c r="AI170" s="116"/>
      <c r="AJ170" s="116"/>
      <c r="AK170" s="116"/>
      <c r="AL170" s="116"/>
      <c r="AM170" s="116"/>
      <c r="AN170" s="116"/>
      <c r="AO170" s="116"/>
      <c r="AP170" s="116"/>
      <c r="AQ170" s="116"/>
      <c r="AR170" s="116"/>
      <c r="AS170" s="116"/>
      <c r="AT170" s="116"/>
      <c r="AU170" s="116"/>
      <c r="AV170" s="116"/>
      <c r="AW170" s="116"/>
      <c r="AX170" s="116"/>
      <c r="AY170" s="116"/>
      <c r="AZ170" s="116"/>
      <c r="BA170" s="116"/>
      <c r="BB170" s="116"/>
      <c r="BC170" s="116"/>
      <c r="BD170" s="116"/>
      <c r="BE170" s="116"/>
      <c r="BF170" s="116"/>
      <c r="BG170" s="116"/>
      <c r="BH170" s="116"/>
      <c r="BI170" s="116"/>
      <c r="BJ170" s="116"/>
      <c r="BK170" s="116"/>
      <c r="BL170" s="116"/>
      <c r="BM170" s="116"/>
      <c r="BN170" s="116"/>
      <c r="BO170" s="116"/>
      <c r="BP170" s="116"/>
      <c r="BQ170" s="116"/>
      <c r="BR170" s="116"/>
      <c r="CA170" s="6" t="s">
        <v>42</v>
      </c>
    </row>
    <row r="171" spans="1:79" s="99" customFormat="1" ht="38.25" customHeight="1" x14ac:dyDescent="0.2">
      <c r="A171" s="92" t="s">
        <v>192</v>
      </c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4"/>
      <c r="U171" s="117" t="s">
        <v>173</v>
      </c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 t="s">
        <v>173</v>
      </c>
      <c r="AF171" s="117"/>
      <c r="AG171" s="117"/>
      <c r="AH171" s="117"/>
      <c r="AI171" s="117"/>
      <c r="AJ171" s="117"/>
      <c r="AK171" s="117"/>
      <c r="AL171" s="117"/>
      <c r="AM171" s="117"/>
      <c r="AN171" s="117"/>
      <c r="AO171" s="117" t="s">
        <v>173</v>
      </c>
      <c r="AP171" s="117"/>
      <c r="AQ171" s="117"/>
      <c r="AR171" s="117"/>
      <c r="AS171" s="117"/>
      <c r="AT171" s="117"/>
      <c r="AU171" s="117"/>
      <c r="AV171" s="117"/>
      <c r="AW171" s="117"/>
      <c r="AX171" s="117"/>
      <c r="AY171" s="117" t="s">
        <v>173</v>
      </c>
      <c r="AZ171" s="117"/>
      <c r="BA171" s="117"/>
      <c r="BB171" s="117"/>
      <c r="BC171" s="117"/>
      <c r="BD171" s="117"/>
      <c r="BE171" s="117"/>
      <c r="BF171" s="117"/>
      <c r="BG171" s="117"/>
      <c r="BH171" s="117"/>
      <c r="BI171" s="117" t="s">
        <v>173</v>
      </c>
      <c r="BJ171" s="117"/>
      <c r="BK171" s="117"/>
      <c r="BL171" s="117"/>
      <c r="BM171" s="117"/>
      <c r="BN171" s="117"/>
      <c r="BO171" s="117"/>
      <c r="BP171" s="117"/>
      <c r="BQ171" s="117"/>
      <c r="BR171" s="117"/>
    </row>
    <row r="174" spans="1:79" ht="14.25" customHeight="1" x14ac:dyDescent="0.2">
      <c r="A174" s="29" t="s">
        <v>125</v>
      </c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  <c r="BG174" s="29"/>
      <c r="BH174" s="29"/>
      <c r="BI174" s="29"/>
      <c r="BJ174" s="29"/>
      <c r="BK174" s="29"/>
      <c r="BL174" s="29"/>
    </row>
    <row r="175" spans="1:79" ht="15" customHeight="1" x14ac:dyDescent="0.2">
      <c r="A175" s="51" t="s">
        <v>6</v>
      </c>
      <c r="B175" s="52"/>
      <c r="C175" s="52"/>
      <c r="D175" s="51" t="s">
        <v>10</v>
      </c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3"/>
      <c r="W175" s="27" t="s">
        <v>209</v>
      </c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 t="s">
        <v>213</v>
      </c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 t="s">
        <v>225</v>
      </c>
      <c r="AV175" s="27"/>
      <c r="AW175" s="27"/>
      <c r="AX175" s="27"/>
      <c r="AY175" s="27"/>
      <c r="AZ175" s="27"/>
      <c r="BA175" s="27" t="s">
        <v>231</v>
      </c>
      <c r="BB175" s="27"/>
      <c r="BC175" s="27"/>
      <c r="BD175" s="27"/>
      <c r="BE175" s="27"/>
      <c r="BF175" s="27"/>
      <c r="BG175" s="27" t="s">
        <v>240</v>
      </c>
      <c r="BH175" s="27"/>
      <c r="BI175" s="27"/>
      <c r="BJ175" s="27"/>
      <c r="BK175" s="27"/>
      <c r="BL175" s="27"/>
    </row>
    <row r="176" spans="1:79" ht="15" customHeight="1" x14ac:dyDescent="0.2">
      <c r="A176" s="71"/>
      <c r="B176" s="72"/>
      <c r="C176" s="72"/>
      <c r="D176" s="71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3"/>
      <c r="W176" s="27" t="s">
        <v>4</v>
      </c>
      <c r="X176" s="27"/>
      <c r="Y176" s="27"/>
      <c r="Z176" s="27"/>
      <c r="AA176" s="27"/>
      <c r="AB176" s="27"/>
      <c r="AC176" s="27" t="s">
        <v>3</v>
      </c>
      <c r="AD176" s="27"/>
      <c r="AE176" s="27"/>
      <c r="AF176" s="27"/>
      <c r="AG176" s="27"/>
      <c r="AH176" s="27"/>
      <c r="AI176" s="27" t="s">
        <v>4</v>
      </c>
      <c r="AJ176" s="27"/>
      <c r="AK176" s="27"/>
      <c r="AL176" s="27"/>
      <c r="AM176" s="27"/>
      <c r="AN176" s="27"/>
      <c r="AO176" s="27" t="s">
        <v>3</v>
      </c>
      <c r="AP176" s="27"/>
      <c r="AQ176" s="27"/>
      <c r="AR176" s="27"/>
      <c r="AS176" s="27"/>
      <c r="AT176" s="27"/>
      <c r="AU176" s="74" t="s">
        <v>4</v>
      </c>
      <c r="AV176" s="74"/>
      <c r="AW176" s="74"/>
      <c r="AX176" s="74" t="s">
        <v>3</v>
      </c>
      <c r="AY176" s="74"/>
      <c r="AZ176" s="74"/>
      <c r="BA176" s="74" t="s">
        <v>4</v>
      </c>
      <c r="BB176" s="74"/>
      <c r="BC176" s="74"/>
      <c r="BD176" s="74" t="s">
        <v>3</v>
      </c>
      <c r="BE176" s="74"/>
      <c r="BF176" s="74"/>
      <c r="BG176" s="74" t="s">
        <v>4</v>
      </c>
      <c r="BH176" s="74"/>
      <c r="BI176" s="74"/>
      <c r="BJ176" s="74" t="s">
        <v>3</v>
      </c>
      <c r="BK176" s="74"/>
      <c r="BL176" s="74"/>
    </row>
    <row r="177" spans="1:79" ht="57" customHeight="1" x14ac:dyDescent="0.2">
      <c r="A177" s="54"/>
      <c r="B177" s="55"/>
      <c r="C177" s="55"/>
      <c r="D177" s="54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6"/>
      <c r="W177" s="27" t="s">
        <v>12</v>
      </c>
      <c r="X177" s="27"/>
      <c r="Y177" s="27"/>
      <c r="Z177" s="27" t="s">
        <v>11</v>
      </c>
      <c r="AA177" s="27"/>
      <c r="AB177" s="27"/>
      <c r="AC177" s="27" t="s">
        <v>12</v>
      </c>
      <c r="AD177" s="27"/>
      <c r="AE177" s="27"/>
      <c r="AF177" s="27" t="s">
        <v>11</v>
      </c>
      <c r="AG177" s="27"/>
      <c r="AH177" s="27"/>
      <c r="AI177" s="27" t="s">
        <v>12</v>
      </c>
      <c r="AJ177" s="27"/>
      <c r="AK177" s="27"/>
      <c r="AL177" s="27" t="s">
        <v>11</v>
      </c>
      <c r="AM177" s="27"/>
      <c r="AN177" s="27"/>
      <c r="AO177" s="27" t="s">
        <v>12</v>
      </c>
      <c r="AP177" s="27"/>
      <c r="AQ177" s="27"/>
      <c r="AR177" s="27" t="s">
        <v>11</v>
      </c>
      <c r="AS177" s="27"/>
      <c r="AT177" s="27"/>
      <c r="AU177" s="74"/>
      <c r="AV177" s="74"/>
      <c r="AW177" s="74"/>
      <c r="AX177" s="74"/>
      <c r="AY177" s="74"/>
      <c r="AZ177" s="74"/>
      <c r="BA177" s="74"/>
      <c r="BB177" s="74"/>
      <c r="BC177" s="74"/>
      <c r="BD177" s="74"/>
      <c r="BE177" s="74"/>
      <c r="BF177" s="74"/>
      <c r="BG177" s="74"/>
      <c r="BH177" s="74"/>
      <c r="BI177" s="74"/>
      <c r="BJ177" s="74"/>
      <c r="BK177" s="74"/>
      <c r="BL177" s="74"/>
    </row>
    <row r="178" spans="1:79" ht="15" customHeight="1" x14ac:dyDescent="0.2">
      <c r="A178" s="36">
        <v>1</v>
      </c>
      <c r="B178" s="37"/>
      <c r="C178" s="37"/>
      <c r="D178" s="36">
        <v>2</v>
      </c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8"/>
      <c r="W178" s="27">
        <v>3</v>
      </c>
      <c r="X178" s="27"/>
      <c r="Y178" s="27"/>
      <c r="Z178" s="27">
        <v>4</v>
      </c>
      <c r="AA178" s="27"/>
      <c r="AB178" s="27"/>
      <c r="AC178" s="27">
        <v>5</v>
      </c>
      <c r="AD178" s="27"/>
      <c r="AE178" s="27"/>
      <c r="AF178" s="27">
        <v>6</v>
      </c>
      <c r="AG178" s="27"/>
      <c r="AH178" s="27"/>
      <c r="AI178" s="27">
        <v>7</v>
      </c>
      <c r="AJ178" s="27"/>
      <c r="AK178" s="27"/>
      <c r="AL178" s="27">
        <v>8</v>
      </c>
      <c r="AM178" s="27"/>
      <c r="AN178" s="27"/>
      <c r="AO178" s="27">
        <v>9</v>
      </c>
      <c r="AP178" s="27"/>
      <c r="AQ178" s="27"/>
      <c r="AR178" s="27">
        <v>10</v>
      </c>
      <c r="AS178" s="27"/>
      <c r="AT178" s="27"/>
      <c r="AU178" s="27">
        <v>11</v>
      </c>
      <c r="AV178" s="27"/>
      <c r="AW178" s="27"/>
      <c r="AX178" s="27">
        <v>12</v>
      </c>
      <c r="AY178" s="27"/>
      <c r="AZ178" s="27"/>
      <c r="BA178" s="27">
        <v>13</v>
      </c>
      <c r="BB178" s="27"/>
      <c r="BC178" s="27"/>
      <c r="BD178" s="27">
        <v>14</v>
      </c>
      <c r="BE178" s="27"/>
      <c r="BF178" s="27"/>
      <c r="BG178" s="27">
        <v>15</v>
      </c>
      <c r="BH178" s="27"/>
      <c r="BI178" s="27"/>
      <c r="BJ178" s="27">
        <v>16</v>
      </c>
      <c r="BK178" s="27"/>
      <c r="BL178" s="27"/>
    </row>
    <row r="179" spans="1:79" s="1" customFormat="1" ht="12.75" hidden="1" customHeight="1" x14ac:dyDescent="0.2">
      <c r="A179" s="39" t="s">
        <v>69</v>
      </c>
      <c r="B179" s="40"/>
      <c r="C179" s="40"/>
      <c r="D179" s="39" t="s">
        <v>57</v>
      </c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1"/>
      <c r="W179" s="26" t="s">
        <v>72</v>
      </c>
      <c r="X179" s="26"/>
      <c r="Y179" s="26"/>
      <c r="Z179" s="26" t="s">
        <v>73</v>
      </c>
      <c r="AA179" s="26"/>
      <c r="AB179" s="26"/>
      <c r="AC179" s="30" t="s">
        <v>74</v>
      </c>
      <c r="AD179" s="30"/>
      <c r="AE179" s="30"/>
      <c r="AF179" s="30" t="s">
        <v>75</v>
      </c>
      <c r="AG179" s="30"/>
      <c r="AH179" s="30"/>
      <c r="AI179" s="26" t="s">
        <v>76</v>
      </c>
      <c r="AJ179" s="26"/>
      <c r="AK179" s="26"/>
      <c r="AL179" s="26" t="s">
        <v>77</v>
      </c>
      <c r="AM179" s="26"/>
      <c r="AN179" s="26"/>
      <c r="AO179" s="30" t="s">
        <v>104</v>
      </c>
      <c r="AP179" s="30"/>
      <c r="AQ179" s="30"/>
      <c r="AR179" s="30" t="s">
        <v>78</v>
      </c>
      <c r="AS179" s="30"/>
      <c r="AT179" s="30"/>
      <c r="AU179" s="26" t="s">
        <v>105</v>
      </c>
      <c r="AV179" s="26"/>
      <c r="AW179" s="26"/>
      <c r="AX179" s="30" t="s">
        <v>106</v>
      </c>
      <c r="AY179" s="30"/>
      <c r="AZ179" s="30"/>
      <c r="BA179" s="26" t="s">
        <v>107</v>
      </c>
      <c r="BB179" s="26"/>
      <c r="BC179" s="26"/>
      <c r="BD179" s="30" t="s">
        <v>108</v>
      </c>
      <c r="BE179" s="30"/>
      <c r="BF179" s="30"/>
      <c r="BG179" s="26" t="s">
        <v>109</v>
      </c>
      <c r="BH179" s="26"/>
      <c r="BI179" s="26"/>
      <c r="BJ179" s="30" t="s">
        <v>110</v>
      </c>
      <c r="BK179" s="30"/>
      <c r="BL179" s="30"/>
      <c r="CA179" s="1" t="s">
        <v>103</v>
      </c>
    </row>
    <row r="180" spans="1:79" s="6" customFormat="1" ht="12.75" customHeight="1" x14ac:dyDescent="0.2">
      <c r="A180" s="86">
        <v>1</v>
      </c>
      <c r="B180" s="87"/>
      <c r="C180" s="87"/>
      <c r="D180" s="100" t="s">
        <v>193</v>
      </c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2"/>
      <c r="W180" s="112"/>
      <c r="X180" s="112"/>
      <c r="Y180" s="112"/>
      <c r="Z180" s="112"/>
      <c r="AA180" s="112"/>
      <c r="AB180" s="112"/>
      <c r="AC180" s="112"/>
      <c r="AD180" s="112"/>
      <c r="AE180" s="112"/>
      <c r="AF180" s="112"/>
      <c r="AG180" s="112"/>
      <c r="AH180" s="112"/>
      <c r="AI180" s="112"/>
      <c r="AJ180" s="112"/>
      <c r="AK180" s="112"/>
      <c r="AL180" s="112"/>
      <c r="AM180" s="112"/>
      <c r="AN180" s="112"/>
      <c r="AO180" s="112"/>
      <c r="AP180" s="112"/>
      <c r="AQ180" s="112"/>
      <c r="AR180" s="112"/>
      <c r="AS180" s="112"/>
      <c r="AT180" s="112"/>
      <c r="AU180" s="112"/>
      <c r="AV180" s="112"/>
      <c r="AW180" s="112"/>
      <c r="AX180" s="112"/>
      <c r="AY180" s="112"/>
      <c r="AZ180" s="112"/>
      <c r="BA180" s="112"/>
      <c r="BB180" s="112"/>
      <c r="BC180" s="112"/>
      <c r="BD180" s="112"/>
      <c r="BE180" s="112"/>
      <c r="BF180" s="112"/>
      <c r="BG180" s="112"/>
      <c r="BH180" s="112"/>
      <c r="BI180" s="112"/>
      <c r="BJ180" s="112"/>
      <c r="BK180" s="112"/>
      <c r="BL180" s="112"/>
      <c r="CA180" s="6" t="s">
        <v>43</v>
      </c>
    </row>
    <row r="181" spans="1:79" s="99" customFormat="1" ht="25.5" customHeight="1" x14ac:dyDescent="0.2">
      <c r="A181" s="89">
        <v>2</v>
      </c>
      <c r="B181" s="90"/>
      <c r="C181" s="90"/>
      <c r="D181" s="92" t="s">
        <v>194</v>
      </c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4"/>
      <c r="W181" s="115" t="s">
        <v>173</v>
      </c>
      <c r="X181" s="115"/>
      <c r="Y181" s="115"/>
      <c r="Z181" s="115" t="s">
        <v>173</v>
      </c>
      <c r="AA181" s="115"/>
      <c r="AB181" s="115"/>
      <c r="AC181" s="115"/>
      <c r="AD181" s="115"/>
      <c r="AE181" s="115"/>
      <c r="AF181" s="115"/>
      <c r="AG181" s="115"/>
      <c r="AH181" s="115"/>
      <c r="AI181" s="115" t="s">
        <v>173</v>
      </c>
      <c r="AJ181" s="115"/>
      <c r="AK181" s="115"/>
      <c r="AL181" s="115" t="s">
        <v>173</v>
      </c>
      <c r="AM181" s="115"/>
      <c r="AN181" s="115"/>
      <c r="AO181" s="115"/>
      <c r="AP181" s="115"/>
      <c r="AQ181" s="115"/>
      <c r="AR181" s="115"/>
      <c r="AS181" s="115"/>
      <c r="AT181" s="115"/>
      <c r="AU181" s="115" t="s">
        <v>173</v>
      </c>
      <c r="AV181" s="115"/>
      <c r="AW181" s="115"/>
      <c r="AX181" s="115"/>
      <c r="AY181" s="115"/>
      <c r="AZ181" s="115"/>
      <c r="BA181" s="115" t="s">
        <v>173</v>
      </c>
      <c r="BB181" s="115"/>
      <c r="BC181" s="115"/>
      <c r="BD181" s="115"/>
      <c r="BE181" s="115"/>
      <c r="BF181" s="115"/>
      <c r="BG181" s="115" t="s">
        <v>173</v>
      </c>
      <c r="BH181" s="115"/>
      <c r="BI181" s="115"/>
      <c r="BJ181" s="115"/>
      <c r="BK181" s="115"/>
      <c r="BL181" s="115"/>
    </row>
    <row r="184" spans="1:79" ht="14.25" customHeight="1" x14ac:dyDescent="0.2">
      <c r="A184" s="29" t="s">
        <v>153</v>
      </c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  <c r="BH184" s="29"/>
      <c r="BI184" s="29"/>
      <c r="BJ184" s="29"/>
      <c r="BK184" s="29"/>
      <c r="BL184" s="29"/>
    </row>
    <row r="185" spans="1:79" ht="14.25" customHeight="1" x14ac:dyDescent="0.2">
      <c r="A185" s="29" t="s">
        <v>226</v>
      </c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  <c r="BG185" s="29"/>
      <c r="BH185" s="29"/>
      <c r="BI185" s="29"/>
      <c r="BJ185" s="29"/>
      <c r="BK185" s="29"/>
      <c r="BL185" s="29"/>
      <c r="BM185" s="29"/>
      <c r="BN185" s="29"/>
      <c r="BO185" s="29"/>
      <c r="BP185" s="29"/>
      <c r="BQ185" s="29"/>
      <c r="BR185" s="29"/>
      <c r="BS185" s="29"/>
    </row>
    <row r="186" spans="1:79" ht="15" customHeight="1" x14ac:dyDescent="0.2">
      <c r="A186" s="31" t="s">
        <v>208</v>
      </c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  <c r="BS186" s="31"/>
    </row>
    <row r="187" spans="1:79" ht="15" customHeight="1" x14ac:dyDescent="0.2">
      <c r="A187" s="27" t="s">
        <v>6</v>
      </c>
      <c r="B187" s="27"/>
      <c r="C187" s="27"/>
      <c r="D187" s="27"/>
      <c r="E187" s="27"/>
      <c r="F187" s="27"/>
      <c r="G187" s="27" t="s">
        <v>126</v>
      </c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 t="s">
        <v>13</v>
      </c>
      <c r="U187" s="27"/>
      <c r="V187" s="27"/>
      <c r="W187" s="27"/>
      <c r="X187" s="27"/>
      <c r="Y187" s="27"/>
      <c r="Z187" s="27"/>
      <c r="AA187" s="36" t="s">
        <v>209</v>
      </c>
      <c r="AB187" s="76"/>
      <c r="AC187" s="76"/>
      <c r="AD187" s="76"/>
      <c r="AE187" s="76"/>
      <c r="AF187" s="76"/>
      <c r="AG187" s="76"/>
      <c r="AH187" s="76"/>
      <c r="AI187" s="76"/>
      <c r="AJ187" s="76"/>
      <c r="AK187" s="76"/>
      <c r="AL187" s="76"/>
      <c r="AM187" s="76"/>
      <c r="AN187" s="76"/>
      <c r="AO187" s="77"/>
      <c r="AP187" s="36" t="s">
        <v>212</v>
      </c>
      <c r="AQ187" s="37"/>
      <c r="AR187" s="37"/>
      <c r="AS187" s="37"/>
      <c r="AT187" s="37"/>
      <c r="AU187" s="37"/>
      <c r="AV187" s="37"/>
      <c r="AW187" s="37"/>
      <c r="AX187" s="37"/>
      <c r="AY187" s="37"/>
      <c r="AZ187" s="37"/>
      <c r="BA187" s="37"/>
      <c r="BB187" s="37"/>
      <c r="BC187" s="37"/>
      <c r="BD187" s="38"/>
      <c r="BE187" s="36" t="s">
        <v>220</v>
      </c>
      <c r="BF187" s="37"/>
      <c r="BG187" s="37"/>
      <c r="BH187" s="37"/>
      <c r="BI187" s="37"/>
      <c r="BJ187" s="37"/>
      <c r="BK187" s="37"/>
      <c r="BL187" s="37"/>
      <c r="BM187" s="37"/>
      <c r="BN187" s="37"/>
      <c r="BO187" s="37"/>
      <c r="BP187" s="37"/>
      <c r="BQ187" s="37"/>
      <c r="BR187" s="37"/>
      <c r="BS187" s="38"/>
    </row>
    <row r="188" spans="1:79" ht="32.1" customHeight="1" x14ac:dyDescent="0.2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 t="s">
        <v>4</v>
      </c>
      <c r="AB188" s="27"/>
      <c r="AC188" s="27"/>
      <c r="AD188" s="27"/>
      <c r="AE188" s="27"/>
      <c r="AF188" s="27" t="s">
        <v>3</v>
      </c>
      <c r="AG188" s="27"/>
      <c r="AH188" s="27"/>
      <c r="AI188" s="27"/>
      <c r="AJ188" s="27"/>
      <c r="AK188" s="27" t="s">
        <v>89</v>
      </c>
      <c r="AL188" s="27"/>
      <c r="AM188" s="27"/>
      <c r="AN188" s="27"/>
      <c r="AO188" s="27"/>
      <c r="AP188" s="27" t="s">
        <v>4</v>
      </c>
      <c r="AQ188" s="27"/>
      <c r="AR188" s="27"/>
      <c r="AS188" s="27"/>
      <c r="AT188" s="27"/>
      <c r="AU188" s="27" t="s">
        <v>3</v>
      </c>
      <c r="AV188" s="27"/>
      <c r="AW188" s="27"/>
      <c r="AX188" s="27"/>
      <c r="AY188" s="27"/>
      <c r="AZ188" s="27" t="s">
        <v>96</v>
      </c>
      <c r="BA188" s="27"/>
      <c r="BB188" s="27"/>
      <c r="BC188" s="27"/>
      <c r="BD188" s="27"/>
      <c r="BE188" s="27" t="s">
        <v>4</v>
      </c>
      <c r="BF188" s="27"/>
      <c r="BG188" s="27"/>
      <c r="BH188" s="27"/>
      <c r="BI188" s="27"/>
      <c r="BJ188" s="27" t="s">
        <v>3</v>
      </c>
      <c r="BK188" s="27"/>
      <c r="BL188" s="27"/>
      <c r="BM188" s="27"/>
      <c r="BN188" s="27"/>
      <c r="BO188" s="27" t="s">
        <v>127</v>
      </c>
      <c r="BP188" s="27"/>
      <c r="BQ188" s="27"/>
      <c r="BR188" s="27"/>
      <c r="BS188" s="27"/>
    </row>
    <row r="189" spans="1:79" ht="15" customHeight="1" x14ac:dyDescent="0.2">
      <c r="A189" s="27">
        <v>1</v>
      </c>
      <c r="B189" s="27"/>
      <c r="C189" s="27"/>
      <c r="D189" s="27"/>
      <c r="E189" s="27"/>
      <c r="F189" s="27"/>
      <c r="G189" s="27">
        <v>2</v>
      </c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>
        <v>3</v>
      </c>
      <c r="U189" s="27"/>
      <c r="V189" s="27"/>
      <c r="W189" s="27"/>
      <c r="X189" s="27"/>
      <c r="Y189" s="27"/>
      <c r="Z189" s="27"/>
      <c r="AA189" s="27">
        <v>4</v>
      </c>
      <c r="AB189" s="27"/>
      <c r="AC189" s="27"/>
      <c r="AD189" s="27"/>
      <c r="AE189" s="27"/>
      <c r="AF189" s="27">
        <v>5</v>
      </c>
      <c r="AG189" s="27"/>
      <c r="AH189" s="27"/>
      <c r="AI189" s="27"/>
      <c r="AJ189" s="27"/>
      <c r="AK189" s="27">
        <v>6</v>
      </c>
      <c r="AL189" s="27"/>
      <c r="AM189" s="27"/>
      <c r="AN189" s="27"/>
      <c r="AO189" s="27"/>
      <c r="AP189" s="27">
        <v>7</v>
      </c>
      <c r="AQ189" s="27"/>
      <c r="AR189" s="27"/>
      <c r="AS189" s="27"/>
      <c r="AT189" s="27"/>
      <c r="AU189" s="27">
        <v>8</v>
      </c>
      <c r="AV189" s="27"/>
      <c r="AW189" s="27"/>
      <c r="AX189" s="27"/>
      <c r="AY189" s="27"/>
      <c r="AZ189" s="27">
        <v>9</v>
      </c>
      <c r="BA189" s="27"/>
      <c r="BB189" s="27"/>
      <c r="BC189" s="27"/>
      <c r="BD189" s="27"/>
      <c r="BE189" s="27">
        <v>10</v>
      </c>
      <c r="BF189" s="27"/>
      <c r="BG189" s="27"/>
      <c r="BH189" s="27"/>
      <c r="BI189" s="27"/>
      <c r="BJ189" s="27">
        <v>11</v>
      </c>
      <c r="BK189" s="27"/>
      <c r="BL189" s="27"/>
      <c r="BM189" s="27"/>
      <c r="BN189" s="27"/>
      <c r="BO189" s="27">
        <v>12</v>
      </c>
      <c r="BP189" s="27"/>
      <c r="BQ189" s="27"/>
      <c r="BR189" s="27"/>
      <c r="BS189" s="27"/>
    </row>
    <row r="190" spans="1:79" s="1" customFormat="1" ht="15" hidden="1" customHeight="1" x14ac:dyDescent="0.2">
      <c r="A190" s="26" t="s">
        <v>69</v>
      </c>
      <c r="B190" s="26"/>
      <c r="C190" s="26"/>
      <c r="D190" s="26"/>
      <c r="E190" s="26"/>
      <c r="F190" s="26"/>
      <c r="G190" s="67" t="s">
        <v>57</v>
      </c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 t="s">
        <v>79</v>
      </c>
      <c r="U190" s="67"/>
      <c r="V190" s="67"/>
      <c r="W190" s="67"/>
      <c r="X190" s="67"/>
      <c r="Y190" s="67"/>
      <c r="Z190" s="67"/>
      <c r="AA190" s="30" t="s">
        <v>65</v>
      </c>
      <c r="AB190" s="30"/>
      <c r="AC190" s="30"/>
      <c r="AD190" s="30"/>
      <c r="AE190" s="30"/>
      <c r="AF190" s="30" t="s">
        <v>66</v>
      </c>
      <c r="AG190" s="30"/>
      <c r="AH190" s="30"/>
      <c r="AI190" s="30"/>
      <c r="AJ190" s="30"/>
      <c r="AK190" s="50" t="s">
        <v>122</v>
      </c>
      <c r="AL190" s="50"/>
      <c r="AM190" s="50"/>
      <c r="AN190" s="50"/>
      <c r="AO190" s="50"/>
      <c r="AP190" s="30" t="s">
        <v>67</v>
      </c>
      <c r="AQ190" s="30"/>
      <c r="AR190" s="30"/>
      <c r="AS190" s="30"/>
      <c r="AT190" s="30"/>
      <c r="AU190" s="30" t="s">
        <v>68</v>
      </c>
      <c r="AV190" s="30"/>
      <c r="AW190" s="30"/>
      <c r="AX190" s="30"/>
      <c r="AY190" s="30"/>
      <c r="AZ190" s="50" t="s">
        <v>122</v>
      </c>
      <c r="BA190" s="50"/>
      <c r="BB190" s="50"/>
      <c r="BC190" s="50"/>
      <c r="BD190" s="50"/>
      <c r="BE190" s="30" t="s">
        <v>58</v>
      </c>
      <c r="BF190" s="30"/>
      <c r="BG190" s="30"/>
      <c r="BH190" s="30"/>
      <c r="BI190" s="30"/>
      <c r="BJ190" s="30" t="s">
        <v>59</v>
      </c>
      <c r="BK190" s="30"/>
      <c r="BL190" s="30"/>
      <c r="BM190" s="30"/>
      <c r="BN190" s="30"/>
      <c r="BO190" s="50" t="s">
        <v>122</v>
      </c>
      <c r="BP190" s="50"/>
      <c r="BQ190" s="50"/>
      <c r="BR190" s="50"/>
      <c r="BS190" s="50"/>
      <c r="CA190" s="1" t="s">
        <v>44</v>
      </c>
    </row>
    <row r="191" spans="1:79" s="99" customFormat="1" ht="51" customHeight="1" x14ac:dyDescent="0.2">
      <c r="A191" s="110">
        <v>1</v>
      </c>
      <c r="B191" s="110"/>
      <c r="C191" s="110"/>
      <c r="D191" s="110"/>
      <c r="E191" s="110"/>
      <c r="F191" s="110"/>
      <c r="G191" s="92" t="s">
        <v>195</v>
      </c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4"/>
      <c r="T191" s="118"/>
      <c r="U191" s="118"/>
      <c r="V191" s="118"/>
      <c r="W191" s="118"/>
      <c r="X191" s="118"/>
      <c r="Y191" s="118"/>
      <c r="Z191" s="118"/>
      <c r="AA191" s="117">
        <v>192112</v>
      </c>
      <c r="AB191" s="117"/>
      <c r="AC191" s="117"/>
      <c r="AD191" s="117"/>
      <c r="AE191" s="117"/>
      <c r="AF191" s="117">
        <v>0</v>
      </c>
      <c r="AG191" s="117"/>
      <c r="AH191" s="117"/>
      <c r="AI191" s="117"/>
      <c r="AJ191" s="117"/>
      <c r="AK191" s="117">
        <f>IF(ISNUMBER(AA191),AA191,0)+IF(ISNUMBER(AF191),AF191,0)</f>
        <v>192112</v>
      </c>
      <c r="AL191" s="117"/>
      <c r="AM191" s="117"/>
      <c r="AN191" s="117"/>
      <c r="AO191" s="117"/>
      <c r="AP191" s="117">
        <v>590672</v>
      </c>
      <c r="AQ191" s="117"/>
      <c r="AR191" s="117"/>
      <c r="AS191" s="117"/>
      <c r="AT191" s="117"/>
      <c r="AU191" s="117">
        <v>0</v>
      </c>
      <c r="AV191" s="117"/>
      <c r="AW191" s="117"/>
      <c r="AX191" s="117"/>
      <c r="AY191" s="117"/>
      <c r="AZ191" s="117">
        <f>IF(ISNUMBER(AP191),AP191,0)+IF(ISNUMBER(AU191),AU191,0)</f>
        <v>590672</v>
      </c>
      <c r="BA191" s="117"/>
      <c r="BB191" s="117"/>
      <c r="BC191" s="117"/>
      <c r="BD191" s="117"/>
      <c r="BE191" s="117">
        <v>1105078</v>
      </c>
      <c r="BF191" s="117"/>
      <c r="BG191" s="117"/>
      <c r="BH191" s="117"/>
      <c r="BI191" s="117"/>
      <c r="BJ191" s="117">
        <v>0</v>
      </c>
      <c r="BK191" s="117"/>
      <c r="BL191" s="117"/>
      <c r="BM191" s="117"/>
      <c r="BN191" s="117"/>
      <c r="BO191" s="117">
        <f>IF(ISNUMBER(BE191),BE191,0)+IF(ISNUMBER(BJ191),BJ191,0)</f>
        <v>1105078</v>
      </c>
      <c r="BP191" s="117"/>
      <c r="BQ191" s="117"/>
      <c r="BR191" s="117"/>
      <c r="BS191" s="117"/>
      <c r="CA191" s="99" t="s">
        <v>45</v>
      </c>
    </row>
    <row r="192" spans="1:79" s="6" customFormat="1" ht="12.75" customHeight="1" x14ac:dyDescent="0.2">
      <c r="A192" s="85"/>
      <c r="B192" s="85"/>
      <c r="C192" s="85"/>
      <c r="D192" s="85"/>
      <c r="E192" s="85"/>
      <c r="F192" s="85"/>
      <c r="G192" s="100" t="s">
        <v>147</v>
      </c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2"/>
      <c r="T192" s="119"/>
      <c r="U192" s="119"/>
      <c r="V192" s="119"/>
      <c r="W192" s="119"/>
      <c r="X192" s="119"/>
      <c r="Y192" s="119"/>
      <c r="Z192" s="119"/>
      <c r="AA192" s="116">
        <v>192112</v>
      </c>
      <c r="AB192" s="116"/>
      <c r="AC192" s="116"/>
      <c r="AD192" s="116"/>
      <c r="AE192" s="116"/>
      <c r="AF192" s="116">
        <v>0</v>
      </c>
      <c r="AG192" s="116"/>
      <c r="AH192" s="116"/>
      <c r="AI192" s="116"/>
      <c r="AJ192" s="116"/>
      <c r="AK192" s="116">
        <f>IF(ISNUMBER(AA192),AA192,0)+IF(ISNUMBER(AF192),AF192,0)</f>
        <v>192112</v>
      </c>
      <c r="AL192" s="116"/>
      <c r="AM192" s="116"/>
      <c r="AN192" s="116"/>
      <c r="AO192" s="116"/>
      <c r="AP192" s="116">
        <v>590672</v>
      </c>
      <c r="AQ192" s="116"/>
      <c r="AR192" s="116"/>
      <c r="AS192" s="116"/>
      <c r="AT192" s="116"/>
      <c r="AU192" s="116">
        <v>0</v>
      </c>
      <c r="AV192" s="116"/>
      <c r="AW192" s="116"/>
      <c r="AX192" s="116"/>
      <c r="AY192" s="116"/>
      <c r="AZ192" s="116">
        <f>IF(ISNUMBER(AP192),AP192,0)+IF(ISNUMBER(AU192),AU192,0)</f>
        <v>590672</v>
      </c>
      <c r="BA192" s="116"/>
      <c r="BB192" s="116"/>
      <c r="BC192" s="116"/>
      <c r="BD192" s="116"/>
      <c r="BE192" s="116">
        <v>1105078</v>
      </c>
      <c r="BF192" s="116"/>
      <c r="BG192" s="116"/>
      <c r="BH192" s="116"/>
      <c r="BI192" s="116"/>
      <c r="BJ192" s="116">
        <v>0</v>
      </c>
      <c r="BK192" s="116"/>
      <c r="BL192" s="116"/>
      <c r="BM192" s="116"/>
      <c r="BN192" s="116"/>
      <c r="BO192" s="116">
        <f>IF(ISNUMBER(BE192),BE192,0)+IF(ISNUMBER(BJ192),BJ192,0)</f>
        <v>1105078</v>
      </c>
      <c r="BP192" s="116"/>
      <c r="BQ192" s="116"/>
      <c r="BR192" s="116"/>
      <c r="BS192" s="116"/>
    </row>
    <row r="194" spans="1:79" ht="13.5" customHeight="1" x14ac:dyDescent="0.2">
      <c r="A194" s="29" t="s">
        <v>241</v>
      </c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  <c r="BF194" s="29"/>
      <c r="BG194" s="29"/>
      <c r="BH194" s="29"/>
      <c r="BI194" s="29"/>
      <c r="BJ194" s="29"/>
      <c r="BK194" s="29"/>
      <c r="BL194" s="29"/>
    </row>
    <row r="195" spans="1:79" ht="15" customHeight="1" x14ac:dyDescent="0.2">
      <c r="A195" s="44" t="s">
        <v>208</v>
      </c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J195" s="44"/>
      <c r="AK195" s="44"/>
      <c r="AL195" s="44"/>
      <c r="AM195" s="44"/>
      <c r="AN195" s="44"/>
      <c r="AO195" s="44"/>
      <c r="AP195" s="44"/>
      <c r="AQ195" s="44"/>
      <c r="AR195" s="44"/>
      <c r="AS195" s="44"/>
      <c r="AT195" s="44"/>
      <c r="AU195" s="44"/>
      <c r="AV195" s="44"/>
      <c r="AW195" s="44"/>
      <c r="AX195" s="44"/>
      <c r="AY195" s="44"/>
      <c r="AZ195" s="44"/>
      <c r="BA195" s="44"/>
      <c r="BB195" s="44"/>
      <c r="BC195" s="44"/>
      <c r="BD195" s="44"/>
    </row>
    <row r="196" spans="1:79" ht="15" customHeight="1" x14ac:dyDescent="0.2">
      <c r="A196" s="27" t="s">
        <v>6</v>
      </c>
      <c r="B196" s="27"/>
      <c r="C196" s="27"/>
      <c r="D196" s="27"/>
      <c r="E196" s="27"/>
      <c r="F196" s="27"/>
      <c r="G196" s="27" t="s">
        <v>126</v>
      </c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 t="s">
        <v>13</v>
      </c>
      <c r="U196" s="27"/>
      <c r="V196" s="27"/>
      <c r="W196" s="27"/>
      <c r="X196" s="27"/>
      <c r="Y196" s="27"/>
      <c r="Z196" s="27"/>
      <c r="AA196" s="36" t="s">
        <v>230</v>
      </c>
      <c r="AB196" s="76"/>
      <c r="AC196" s="76"/>
      <c r="AD196" s="76"/>
      <c r="AE196" s="76"/>
      <c r="AF196" s="76"/>
      <c r="AG196" s="76"/>
      <c r="AH196" s="76"/>
      <c r="AI196" s="76"/>
      <c r="AJ196" s="76"/>
      <c r="AK196" s="76"/>
      <c r="AL196" s="76"/>
      <c r="AM196" s="76"/>
      <c r="AN196" s="76"/>
      <c r="AO196" s="77"/>
      <c r="AP196" s="36" t="s">
        <v>235</v>
      </c>
      <c r="AQ196" s="37"/>
      <c r="AR196" s="37"/>
      <c r="AS196" s="37"/>
      <c r="AT196" s="37"/>
      <c r="AU196" s="37"/>
      <c r="AV196" s="37"/>
      <c r="AW196" s="37"/>
      <c r="AX196" s="37"/>
      <c r="AY196" s="37"/>
      <c r="AZ196" s="37"/>
      <c r="BA196" s="37"/>
      <c r="BB196" s="37"/>
      <c r="BC196" s="37"/>
      <c r="BD196" s="38"/>
    </row>
    <row r="197" spans="1:79" ht="32.1" customHeight="1" x14ac:dyDescent="0.2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 t="s">
        <v>4</v>
      </c>
      <c r="AB197" s="27"/>
      <c r="AC197" s="27"/>
      <c r="AD197" s="27"/>
      <c r="AE197" s="27"/>
      <c r="AF197" s="27" t="s">
        <v>3</v>
      </c>
      <c r="AG197" s="27"/>
      <c r="AH197" s="27"/>
      <c r="AI197" s="27"/>
      <c r="AJ197" s="27"/>
      <c r="AK197" s="27" t="s">
        <v>89</v>
      </c>
      <c r="AL197" s="27"/>
      <c r="AM197" s="27"/>
      <c r="AN197" s="27"/>
      <c r="AO197" s="27"/>
      <c r="AP197" s="27" t="s">
        <v>4</v>
      </c>
      <c r="AQ197" s="27"/>
      <c r="AR197" s="27"/>
      <c r="AS197" s="27"/>
      <c r="AT197" s="27"/>
      <c r="AU197" s="27" t="s">
        <v>3</v>
      </c>
      <c r="AV197" s="27"/>
      <c r="AW197" s="27"/>
      <c r="AX197" s="27"/>
      <c r="AY197" s="27"/>
      <c r="AZ197" s="27" t="s">
        <v>96</v>
      </c>
      <c r="BA197" s="27"/>
      <c r="BB197" s="27"/>
      <c r="BC197" s="27"/>
      <c r="BD197" s="27"/>
    </row>
    <row r="198" spans="1:79" ht="15" customHeight="1" x14ac:dyDescent="0.2">
      <c r="A198" s="27">
        <v>1</v>
      </c>
      <c r="B198" s="27"/>
      <c r="C198" s="27"/>
      <c r="D198" s="27"/>
      <c r="E198" s="27"/>
      <c r="F198" s="27"/>
      <c r="G198" s="27">
        <v>2</v>
      </c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>
        <v>3</v>
      </c>
      <c r="U198" s="27"/>
      <c r="V198" s="27"/>
      <c r="W198" s="27"/>
      <c r="X198" s="27"/>
      <c r="Y198" s="27"/>
      <c r="Z198" s="27"/>
      <c r="AA198" s="27">
        <v>4</v>
      </c>
      <c r="AB198" s="27"/>
      <c r="AC198" s="27"/>
      <c r="AD198" s="27"/>
      <c r="AE198" s="27"/>
      <c r="AF198" s="27">
        <v>5</v>
      </c>
      <c r="AG198" s="27"/>
      <c r="AH198" s="27"/>
      <c r="AI198" s="27"/>
      <c r="AJ198" s="27"/>
      <c r="AK198" s="27">
        <v>6</v>
      </c>
      <c r="AL198" s="27"/>
      <c r="AM198" s="27"/>
      <c r="AN198" s="27"/>
      <c r="AO198" s="27"/>
      <c r="AP198" s="27">
        <v>7</v>
      </c>
      <c r="AQ198" s="27"/>
      <c r="AR198" s="27"/>
      <c r="AS198" s="27"/>
      <c r="AT198" s="27"/>
      <c r="AU198" s="27">
        <v>8</v>
      </c>
      <c r="AV198" s="27"/>
      <c r="AW198" s="27"/>
      <c r="AX198" s="27"/>
      <c r="AY198" s="27"/>
      <c r="AZ198" s="27">
        <v>9</v>
      </c>
      <c r="BA198" s="27"/>
      <c r="BB198" s="27"/>
      <c r="BC198" s="27"/>
      <c r="BD198" s="27"/>
    </row>
    <row r="199" spans="1:79" s="1" customFormat="1" ht="12" hidden="1" customHeight="1" x14ac:dyDescent="0.2">
      <c r="A199" s="26" t="s">
        <v>69</v>
      </c>
      <c r="B199" s="26"/>
      <c r="C199" s="26"/>
      <c r="D199" s="26"/>
      <c r="E199" s="26"/>
      <c r="F199" s="26"/>
      <c r="G199" s="67" t="s">
        <v>57</v>
      </c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 t="s">
        <v>79</v>
      </c>
      <c r="U199" s="67"/>
      <c r="V199" s="67"/>
      <c r="W199" s="67"/>
      <c r="X199" s="67"/>
      <c r="Y199" s="67"/>
      <c r="Z199" s="67"/>
      <c r="AA199" s="30" t="s">
        <v>60</v>
      </c>
      <c r="AB199" s="30"/>
      <c r="AC199" s="30"/>
      <c r="AD199" s="30"/>
      <c r="AE199" s="30"/>
      <c r="AF199" s="30" t="s">
        <v>61</v>
      </c>
      <c r="AG199" s="30"/>
      <c r="AH199" s="30"/>
      <c r="AI199" s="30"/>
      <c r="AJ199" s="30"/>
      <c r="AK199" s="50" t="s">
        <v>122</v>
      </c>
      <c r="AL199" s="50"/>
      <c r="AM199" s="50"/>
      <c r="AN199" s="50"/>
      <c r="AO199" s="50"/>
      <c r="AP199" s="30" t="s">
        <v>62</v>
      </c>
      <c r="AQ199" s="30"/>
      <c r="AR199" s="30"/>
      <c r="AS199" s="30"/>
      <c r="AT199" s="30"/>
      <c r="AU199" s="30" t="s">
        <v>63</v>
      </c>
      <c r="AV199" s="30"/>
      <c r="AW199" s="30"/>
      <c r="AX199" s="30"/>
      <c r="AY199" s="30"/>
      <c r="AZ199" s="50" t="s">
        <v>122</v>
      </c>
      <c r="BA199" s="50"/>
      <c r="BB199" s="50"/>
      <c r="BC199" s="50"/>
      <c r="BD199" s="50"/>
      <c r="CA199" s="1" t="s">
        <v>46</v>
      </c>
    </row>
    <row r="200" spans="1:79" s="99" customFormat="1" ht="51" customHeight="1" x14ac:dyDescent="0.2">
      <c r="A200" s="110">
        <v>1</v>
      </c>
      <c r="B200" s="110"/>
      <c r="C200" s="110"/>
      <c r="D200" s="110"/>
      <c r="E200" s="110"/>
      <c r="F200" s="110"/>
      <c r="G200" s="92" t="s">
        <v>195</v>
      </c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4"/>
      <c r="T200" s="118"/>
      <c r="U200" s="118"/>
      <c r="V200" s="118"/>
      <c r="W200" s="118"/>
      <c r="X200" s="118"/>
      <c r="Y200" s="118"/>
      <c r="Z200" s="118"/>
      <c r="AA200" s="117">
        <v>1182433</v>
      </c>
      <c r="AB200" s="117"/>
      <c r="AC200" s="117"/>
      <c r="AD200" s="117"/>
      <c r="AE200" s="117"/>
      <c r="AF200" s="117">
        <v>0</v>
      </c>
      <c r="AG200" s="117"/>
      <c r="AH200" s="117"/>
      <c r="AI200" s="117"/>
      <c r="AJ200" s="117"/>
      <c r="AK200" s="117">
        <f>IF(ISNUMBER(AA200),AA200,0)+IF(ISNUMBER(AF200),AF200,0)</f>
        <v>1182433</v>
      </c>
      <c r="AL200" s="117"/>
      <c r="AM200" s="117"/>
      <c r="AN200" s="117"/>
      <c r="AO200" s="117"/>
      <c r="AP200" s="117">
        <v>1251014</v>
      </c>
      <c r="AQ200" s="117"/>
      <c r="AR200" s="117"/>
      <c r="AS200" s="117"/>
      <c r="AT200" s="117"/>
      <c r="AU200" s="117">
        <v>0</v>
      </c>
      <c r="AV200" s="117"/>
      <c r="AW200" s="117"/>
      <c r="AX200" s="117"/>
      <c r="AY200" s="117"/>
      <c r="AZ200" s="117">
        <f>IF(ISNUMBER(AP200),AP200,0)+IF(ISNUMBER(AU200),AU200,0)</f>
        <v>1251014</v>
      </c>
      <c r="BA200" s="117"/>
      <c r="BB200" s="117"/>
      <c r="BC200" s="117"/>
      <c r="BD200" s="117"/>
      <c r="CA200" s="99" t="s">
        <v>47</v>
      </c>
    </row>
    <row r="201" spans="1:79" s="6" customFormat="1" x14ac:dyDescent="0.2">
      <c r="A201" s="85"/>
      <c r="B201" s="85"/>
      <c r="C201" s="85"/>
      <c r="D201" s="85"/>
      <c r="E201" s="85"/>
      <c r="F201" s="85"/>
      <c r="G201" s="100" t="s">
        <v>147</v>
      </c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2"/>
      <c r="T201" s="119"/>
      <c r="U201" s="119"/>
      <c r="V201" s="119"/>
      <c r="W201" s="119"/>
      <c r="X201" s="119"/>
      <c r="Y201" s="119"/>
      <c r="Z201" s="119"/>
      <c r="AA201" s="116">
        <v>1182433</v>
      </c>
      <c r="AB201" s="116"/>
      <c r="AC201" s="116"/>
      <c r="AD201" s="116"/>
      <c r="AE201" s="116"/>
      <c r="AF201" s="116">
        <v>0</v>
      </c>
      <c r="AG201" s="116"/>
      <c r="AH201" s="116"/>
      <c r="AI201" s="116"/>
      <c r="AJ201" s="116"/>
      <c r="AK201" s="116">
        <f>IF(ISNUMBER(AA201),AA201,0)+IF(ISNUMBER(AF201),AF201,0)</f>
        <v>1182433</v>
      </c>
      <c r="AL201" s="116"/>
      <c r="AM201" s="116"/>
      <c r="AN201" s="116"/>
      <c r="AO201" s="116"/>
      <c r="AP201" s="116">
        <v>1251014</v>
      </c>
      <c r="AQ201" s="116"/>
      <c r="AR201" s="116"/>
      <c r="AS201" s="116"/>
      <c r="AT201" s="116"/>
      <c r="AU201" s="116">
        <v>0</v>
      </c>
      <c r="AV201" s="116"/>
      <c r="AW201" s="116"/>
      <c r="AX201" s="116"/>
      <c r="AY201" s="116"/>
      <c r="AZ201" s="116">
        <f>IF(ISNUMBER(AP201),AP201,0)+IF(ISNUMBER(AU201),AU201,0)</f>
        <v>1251014</v>
      </c>
      <c r="BA201" s="116"/>
      <c r="BB201" s="116"/>
      <c r="BC201" s="116"/>
      <c r="BD201" s="116"/>
    </row>
    <row r="204" spans="1:79" ht="14.25" customHeight="1" x14ac:dyDescent="0.2">
      <c r="A204" s="29" t="s">
        <v>242</v>
      </c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  <c r="BE204" s="29"/>
      <c r="BF204" s="29"/>
      <c r="BG204" s="29"/>
      <c r="BH204" s="29"/>
      <c r="BI204" s="29"/>
      <c r="BJ204" s="29"/>
      <c r="BK204" s="29"/>
      <c r="BL204" s="29"/>
    </row>
    <row r="205" spans="1:79" ht="15" customHeight="1" x14ac:dyDescent="0.2">
      <c r="A205" s="44" t="s">
        <v>208</v>
      </c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75"/>
      <c r="AB205" s="75"/>
      <c r="AC205" s="75"/>
      <c r="AD205" s="75"/>
      <c r="AE205" s="75"/>
      <c r="AF205" s="75"/>
      <c r="AG205" s="75"/>
      <c r="AH205" s="75"/>
      <c r="AI205" s="75"/>
      <c r="AJ205" s="75"/>
      <c r="AK205" s="75"/>
      <c r="AL205" s="75"/>
      <c r="AM205" s="75"/>
      <c r="AN205" s="75"/>
      <c r="AO205" s="75"/>
      <c r="AP205" s="75"/>
      <c r="AQ205" s="75"/>
      <c r="AR205" s="75"/>
      <c r="AS205" s="75"/>
      <c r="AT205" s="75"/>
      <c r="AU205" s="75"/>
      <c r="AV205" s="75"/>
      <c r="AW205" s="75"/>
      <c r="AX205" s="75"/>
      <c r="AY205" s="75"/>
      <c r="AZ205" s="75"/>
      <c r="BA205" s="75"/>
      <c r="BB205" s="75"/>
      <c r="BC205" s="75"/>
      <c r="BD205" s="75"/>
      <c r="BE205" s="75"/>
      <c r="BF205" s="75"/>
      <c r="BG205" s="75"/>
      <c r="BH205" s="75"/>
      <c r="BI205" s="75"/>
      <c r="BJ205" s="75"/>
      <c r="BK205" s="75"/>
      <c r="BL205" s="75"/>
      <c r="BM205" s="75"/>
    </row>
    <row r="206" spans="1:79" ht="23.1" customHeight="1" x14ac:dyDescent="0.2">
      <c r="A206" s="27" t="s">
        <v>128</v>
      </c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51" t="s">
        <v>129</v>
      </c>
      <c r="O206" s="52"/>
      <c r="P206" s="52"/>
      <c r="Q206" s="52"/>
      <c r="R206" s="52"/>
      <c r="S206" s="52"/>
      <c r="T206" s="52"/>
      <c r="U206" s="53"/>
      <c r="V206" s="51" t="s">
        <v>130</v>
      </c>
      <c r="W206" s="52"/>
      <c r="X206" s="52"/>
      <c r="Y206" s="52"/>
      <c r="Z206" s="53"/>
      <c r="AA206" s="27" t="s">
        <v>209</v>
      </c>
      <c r="AB206" s="27"/>
      <c r="AC206" s="27"/>
      <c r="AD206" s="27"/>
      <c r="AE206" s="27"/>
      <c r="AF206" s="27"/>
      <c r="AG206" s="27"/>
      <c r="AH206" s="27"/>
      <c r="AI206" s="27"/>
      <c r="AJ206" s="27" t="s">
        <v>212</v>
      </c>
      <c r="AK206" s="27"/>
      <c r="AL206" s="27"/>
      <c r="AM206" s="27"/>
      <c r="AN206" s="27"/>
      <c r="AO206" s="27"/>
      <c r="AP206" s="27"/>
      <c r="AQ206" s="27"/>
      <c r="AR206" s="27"/>
      <c r="AS206" s="27" t="s">
        <v>220</v>
      </c>
      <c r="AT206" s="27"/>
      <c r="AU206" s="27"/>
      <c r="AV206" s="27"/>
      <c r="AW206" s="27"/>
      <c r="AX206" s="27"/>
      <c r="AY206" s="27"/>
      <c r="AZ206" s="27"/>
      <c r="BA206" s="27"/>
      <c r="BB206" s="27" t="s">
        <v>230</v>
      </c>
      <c r="BC206" s="27"/>
      <c r="BD206" s="27"/>
      <c r="BE206" s="27"/>
      <c r="BF206" s="27"/>
      <c r="BG206" s="27"/>
      <c r="BH206" s="27"/>
      <c r="BI206" s="27"/>
      <c r="BJ206" s="27"/>
      <c r="BK206" s="27" t="s">
        <v>235</v>
      </c>
      <c r="BL206" s="27"/>
      <c r="BM206" s="27"/>
      <c r="BN206" s="27"/>
      <c r="BO206" s="27"/>
      <c r="BP206" s="27"/>
      <c r="BQ206" s="27"/>
      <c r="BR206" s="27"/>
      <c r="BS206" s="27"/>
    </row>
    <row r="207" spans="1:79" ht="95.25" customHeight="1" x14ac:dyDescent="0.2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54"/>
      <c r="O207" s="55"/>
      <c r="P207" s="55"/>
      <c r="Q207" s="55"/>
      <c r="R207" s="55"/>
      <c r="S207" s="55"/>
      <c r="T207" s="55"/>
      <c r="U207" s="56"/>
      <c r="V207" s="54"/>
      <c r="W207" s="55"/>
      <c r="X207" s="55"/>
      <c r="Y207" s="55"/>
      <c r="Z207" s="56"/>
      <c r="AA207" s="74" t="s">
        <v>133</v>
      </c>
      <c r="AB207" s="74"/>
      <c r="AC207" s="74"/>
      <c r="AD207" s="74"/>
      <c r="AE207" s="74"/>
      <c r="AF207" s="74" t="s">
        <v>134</v>
      </c>
      <c r="AG207" s="74"/>
      <c r="AH207" s="74"/>
      <c r="AI207" s="74"/>
      <c r="AJ207" s="74" t="s">
        <v>133</v>
      </c>
      <c r="AK207" s="74"/>
      <c r="AL207" s="74"/>
      <c r="AM207" s="74"/>
      <c r="AN207" s="74"/>
      <c r="AO207" s="74" t="s">
        <v>134</v>
      </c>
      <c r="AP207" s="74"/>
      <c r="AQ207" s="74"/>
      <c r="AR207" s="74"/>
      <c r="AS207" s="74" t="s">
        <v>133</v>
      </c>
      <c r="AT207" s="74"/>
      <c r="AU207" s="74"/>
      <c r="AV207" s="74"/>
      <c r="AW207" s="74"/>
      <c r="AX207" s="74" t="s">
        <v>134</v>
      </c>
      <c r="AY207" s="74"/>
      <c r="AZ207" s="74"/>
      <c r="BA207" s="74"/>
      <c r="BB207" s="74" t="s">
        <v>133</v>
      </c>
      <c r="BC207" s="74"/>
      <c r="BD207" s="74"/>
      <c r="BE207" s="74"/>
      <c r="BF207" s="74"/>
      <c r="BG207" s="74" t="s">
        <v>134</v>
      </c>
      <c r="BH207" s="74"/>
      <c r="BI207" s="74"/>
      <c r="BJ207" s="74"/>
      <c r="BK207" s="74" t="s">
        <v>133</v>
      </c>
      <c r="BL207" s="74"/>
      <c r="BM207" s="74"/>
      <c r="BN207" s="74"/>
      <c r="BO207" s="74"/>
      <c r="BP207" s="74" t="s">
        <v>134</v>
      </c>
      <c r="BQ207" s="74"/>
      <c r="BR207" s="74"/>
      <c r="BS207" s="74"/>
    </row>
    <row r="208" spans="1:79" ht="15" customHeight="1" x14ac:dyDescent="0.2">
      <c r="A208" s="27">
        <v>1</v>
      </c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36">
        <v>2</v>
      </c>
      <c r="O208" s="37"/>
      <c r="P208" s="37"/>
      <c r="Q208" s="37"/>
      <c r="R208" s="37"/>
      <c r="S208" s="37"/>
      <c r="T208" s="37"/>
      <c r="U208" s="38"/>
      <c r="V208" s="27">
        <v>3</v>
      </c>
      <c r="W208" s="27"/>
      <c r="X208" s="27"/>
      <c r="Y208" s="27"/>
      <c r="Z208" s="27"/>
      <c r="AA208" s="27">
        <v>4</v>
      </c>
      <c r="AB208" s="27"/>
      <c r="AC208" s="27"/>
      <c r="AD208" s="27"/>
      <c r="AE208" s="27"/>
      <c r="AF208" s="27">
        <v>5</v>
      </c>
      <c r="AG208" s="27"/>
      <c r="AH208" s="27"/>
      <c r="AI208" s="27"/>
      <c r="AJ208" s="27">
        <v>6</v>
      </c>
      <c r="AK208" s="27"/>
      <c r="AL208" s="27"/>
      <c r="AM208" s="27"/>
      <c r="AN208" s="27"/>
      <c r="AO208" s="27">
        <v>7</v>
      </c>
      <c r="AP208" s="27"/>
      <c r="AQ208" s="27"/>
      <c r="AR208" s="27"/>
      <c r="AS208" s="27">
        <v>8</v>
      </c>
      <c r="AT208" s="27"/>
      <c r="AU208" s="27"/>
      <c r="AV208" s="27"/>
      <c r="AW208" s="27"/>
      <c r="AX208" s="27">
        <v>9</v>
      </c>
      <c r="AY208" s="27"/>
      <c r="AZ208" s="27"/>
      <c r="BA208" s="27"/>
      <c r="BB208" s="27">
        <v>10</v>
      </c>
      <c r="BC208" s="27"/>
      <c r="BD208" s="27"/>
      <c r="BE208" s="27"/>
      <c r="BF208" s="27"/>
      <c r="BG208" s="27">
        <v>11</v>
      </c>
      <c r="BH208" s="27"/>
      <c r="BI208" s="27"/>
      <c r="BJ208" s="27"/>
      <c r="BK208" s="27">
        <v>12</v>
      </c>
      <c r="BL208" s="27"/>
      <c r="BM208" s="27"/>
      <c r="BN208" s="27"/>
      <c r="BO208" s="27"/>
      <c r="BP208" s="27">
        <v>13</v>
      </c>
      <c r="BQ208" s="27"/>
      <c r="BR208" s="27"/>
      <c r="BS208" s="27"/>
    </row>
    <row r="209" spans="1:79" s="1" customFormat="1" ht="12" hidden="1" customHeight="1" x14ac:dyDescent="0.2">
      <c r="A209" s="67" t="s">
        <v>146</v>
      </c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26" t="s">
        <v>131</v>
      </c>
      <c r="O209" s="26"/>
      <c r="P209" s="26"/>
      <c r="Q209" s="26"/>
      <c r="R209" s="26"/>
      <c r="S209" s="26"/>
      <c r="T209" s="26"/>
      <c r="U209" s="26"/>
      <c r="V209" s="26" t="s">
        <v>132</v>
      </c>
      <c r="W209" s="26"/>
      <c r="X209" s="26"/>
      <c r="Y209" s="26"/>
      <c r="Z209" s="26"/>
      <c r="AA209" s="30" t="s">
        <v>65</v>
      </c>
      <c r="AB209" s="30"/>
      <c r="AC209" s="30"/>
      <c r="AD209" s="30"/>
      <c r="AE209" s="30"/>
      <c r="AF209" s="30" t="s">
        <v>66</v>
      </c>
      <c r="AG209" s="30"/>
      <c r="AH209" s="30"/>
      <c r="AI209" s="30"/>
      <c r="AJ209" s="30" t="s">
        <v>67</v>
      </c>
      <c r="AK209" s="30"/>
      <c r="AL209" s="30"/>
      <c r="AM209" s="30"/>
      <c r="AN209" s="30"/>
      <c r="AO209" s="30" t="s">
        <v>68</v>
      </c>
      <c r="AP209" s="30"/>
      <c r="AQ209" s="30"/>
      <c r="AR209" s="30"/>
      <c r="AS209" s="30" t="s">
        <v>58</v>
      </c>
      <c r="AT209" s="30"/>
      <c r="AU209" s="30"/>
      <c r="AV209" s="30"/>
      <c r="AW209" s="30"/>
      <c r="AX209" s="30" t="s">
        <v>59</v>
      </c>
      <c r="AY209" s="30"/>
      <c r="AZ209" s="30"/>
      <c r="BA209" s="30"/>
      <c r="BB209" s="30" t="s">
        <v>60</v>
      </c>
      <c r="BC209" s="30"/>
      <c r="BD209" s="30"/>
      <c r="BE209" s="30"/>
      <c r="BF209" s="30"/>
      <c r="BG209" s="30" t="s">
        <v>61</v>
      </c>
      <c r="BH209" s="30"/>
      <c r="BI209" s="30"/>
      <c r="BJ209" s="30"/>
      <c r="BK209" s="30" t="s">
        <v>62</v>
      </c>
      <c r="BL209" s="30"/>
      <c r="BM209" s="30"/>
      <c r="BN209" s="30"/>
      <c r="BO209" s="30"/>
      <c r="BP209" s="30" t="s">
        <v>63</v>
      </c>
      <c r="BQ209" s="30"/>
      <c r="BR209" s="30"/>
      <c r="BS209" s="30"/>
      <c r="CA209" s="1" t="s">
        <v>48</v>
      </c>
    </row>
    <row r="210" spans="1:79" s="6" customFormat="1" ht="12.75" customHeight="1" x14ac:dyDescent="0.2">
      <c r="A210" s="120" t="s">
        <v>147</v>
      </c>
      <c r="B210" s="120"/>
      <c r="C210" s="120"/>
      <c r="D210" s="120"/>
      <c r="E210" s="120"/>
      <c r="F210" s="120"/>
      <c r="G210" s="120"/>
      <c r="H210" s="120"/>
      <c r="I210" s="120"/>
      <c r="J210" s="120"/>
      <c r="K210" s="120"/>
      <c r="L210" s="120"/>
      <c r="M210" s="120"/>
      <c r="N210" s="86"/>
      <c r="O210" s="87"/>
      <c r="P210" s="87"/>
      <c r="Q210" s="87"/>
      <c r="R210" s="87"/>
      <c r="S210" s="87"/>
      <c r="T210" s="87"/>
      <c r="U210" s="88"/>
      <c r="V210" s="121"/>
      <c r="W210" s="121"/>
      <c r="X210" s="121"/>
      <c r="Y210" s="121"/>
      <c r="Z210" s="121"/>
      <c r="AA210" s="121"/>
      <c r="AB210" s="121"/>
      <c r="AC210" s="121"/>
      <c r="AD210" s="121"/>
      <c r="AE210" s="121"/>
      <c r="AF210" s="121"/>
      <c r="AG210" s="121"/>
      <c r="AH210" s="121"/>
      <c r="AI210" s="121"/>
      <c r="AJ210" s="121"/>
      <c r="AK210" s="121"/>
      <c r="AL210" s="121"/>
      <c r="AM210" s="121"/>
      <c r="AN210" s="121"/>
      <c r="AO210" s="121"/>
      <c r="AP210" s="121"/>
      <c r="AQ210" s="121"/>
      <c r="AR210" s="121"/>
      <c r="AS210" s="121"/>
      <c r="AT210" s="121"/>
      <c r="AU210" s="121"/>
      <c r="AV210" s="121"/>
      <c r="AW210" s="121"/>
      <c r="AX210" s="121"/>
      <c r="AY210" s="121"/>
      <c r="AZ210" s="121"/>
      <c r="BA210" s="121"/>
      <c r="BB210" s="121"/>
      <c r="BC210" s="121"/>
      <c r="BD210" s="121"/>
      <c r="BE210" s="121"/>
      <c r="BF210" s="121"/>
      <c r="BG210" s="121"/>
      <c r="BH210" s="121"/>
      <c r="BI210" s="121"/>
      <c r="BJ210" s="121"/>
      <c r="BK210" s="121"/>
      <c r="BL210" s="121"/>
      <c r="BM210" s="121"/>
      <c r="BN210" s="121"/>
      <c r="BO210" s="121"/>
      <c r="BP210" s="122"/>
      <c r="BQ210" s="123"/>
      <c r="BR210" s="123"/>
      <c r="BS210" s="124"/>
      <c r="CA210" s="6" t="s">
        <v>49</v>
      </c>
    </row>
    <row r="213" spans="1:79" ht="35.25" customHeight="1" x14ac:dyDescent="0.2">
      <c r="A213" s="29" t="s">
        <v>243</v>
      </c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29"/>
      <c r="BG213" s="29"/>
      <c r="BH213" s="29"/>
      <c r="BI213" s="29"/>
      <c r="BJ213" s="29"/>
      <c r="BK213" s="29"/>
      <c r="BL213" s="29"/>
    </row>
    <row r="214" spans="1:79" ht="15" x14ac:dyDescent="0.2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  <c r="AL214" s="60"/>
      <c r="AM214" s="60"/>
      <c r="AN214" s="60"/>
      <c r="AO214" s="60"/>
      <c r="AP214" s="60"/>
      <c r="AQ214" s="60"/>
      <c r="AR214" s="60"/>
      <c r="AS214" s="60"/>
      <c r="AT214" s="60"/>
      <c r="AU214" s="60"/>
      <c r="AV214" s="60"/>
      <c r="AW214" s="60"/>
      <c r="AX214" s="60"/>
      <c r="AY214" s="60"/>
      <c r="AZ214" s="60"/>
      <c r="BA214" s="60"/>
      <c r="BB214" s="60"/>
      <c r="BC214" s="60"/>
      <c r="BD214" s="60"/>
      <c r="BE214" s="60"/>
      <c r="BF214" s="60"/>
      <c r="BG214" s="60"/>
      <c r="BH214" s="60"/>
      <c r="BI214" s="60"/>
      <c r="BJ214" s="60"/>
      <c r="BK214" s="60"/>
      <c r="BL214" s="60"/>
    </row>
    <row r="215" spans="1:79" ht="15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</row>
    <row r="217" spans="1:79" ht="28.5" customHeight="1" x14ac:dyDescent="0.2">
      <c r="A217" s="34" t="s">
        <v>227</v>
      </c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</row>
    <row r="218" spans="1:79" ht="14.25" customHeight="1" x14ac:dyDescent="0.2">
      <c r="A218" s="29" t="s">
        <v>210</v>
      </c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29"/>
      <c r="BG218" s="29"/>
      <c r="BH218" s="29"/>
      <c r="BI218" s="29"/>
      <c r="BJ218" s="29"/>
      <c r="BK218" s="29"/>
      <c r="BL218" s="29"/>
    </row>
    <row r="219" spans="1:79" ht="15" customHeight="1" x14ac:dyDescent="0.2">
      <c r="A219" s="31" t="s">
        <v>208</v>
      </c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  <c r="BK219" s="31"/>
      <c r="BL219" s="31"/>
    </row>
    <row r="220" spans="1:79" ht="42.95" customHeight="1" x14ac:dyDescent="0.2">
      <c r="A220" s="74" t="s">
        <v>135</v>
      </c>
      <c r="B220" s="74"/>
      <c r="C220" s="74"/>
      <c r="D220" s="74"/>
      <c r="E220" s="74"/>
      <c r="F220" s="74"/>
      <c r="G220" s="27" t="s">
        <v>19</v>
      </c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 t="s">
        <v>15</v>
      </c>
      <c r="U220" s="27"/>
      <c r="V220" s="27"/>
      <c r="W220" s="27"/>
      <c r="X220" s="27"/>
      <c r="Y220" s="27"/>
      <c r="Z220" s="27" t="s">
        <v>14</v>
      </c>
      <c r="AA220" s="27"/>
      <c r="AB220" s="27"/>
      <c r="AC220" s="27"/>
      <c r="AD220" s="27"/>
      <c r="AE220" s="27" t="s">
        <v>136</v>
      </c>
      <c r="AF220" s="27"/>
      <c r="AG220" s="27"/>
      <c r="AH220" s="27"/>
      <c r="AI220" s="27"/>
      <c r="AJ220" s="27"/>
      <c r="AK220" s="27" t="s">
        <v>137</v>
      </c>
      <c r="AL220" s="27"/>
      <c r="AM220" s="27"/>
      <c r="AN220" s="27"/>
      <c r="AO220" s="27"/>
      <c r="AP220" s="27"/>
      <c r="AQ220" s="27" t="s">
        <v>138</v>
      </c>
      <c r="AR220" s="27"/>
      <c r="AS220" s="27"/>
      <c r="AT220" s="27"/>
      <c r="AU220" s="27"/>
      <c r="AV220" s="27"/>
      <c r="AW220" s="27" t="s">
        <v>98</v>
      </c>
      <c r="AX220" s="27"/>
      <c r="AY220" s="27"/>
      <c r="AZ220" s="27"/>
      <c r="BA220" s="27"/>
      <c r="BB220" s="27"/>
      <c r="BC220" s="27"/>
      <c r="BD220" s="27"/>
      <c r="BE220" s="27"/>
      <c r="BF220" s="27"/>
      <c r="BG220" s="27" t="s">
        <v>139</v>
      </c>
      <c r="BH220" s="27"/>
      <c r="BI220" s="27"/>
      <c r="BJ220" s="27"/>
      <c r="BK220" s="27"/>
      <c r="BL220" s="27"/>
    </row>
    <row r="221" spans="1:79" ht="39.950000000000003" customHeight="1" x14ac:dyDescent="0.2">
      <c r="A221" s="74"/>
      <c r="B221" s="74"/>
      <c r="C221" s="74"/>
      <c r="D221" s="74"/>
      <c r="E221" s="74"/>
      <c r="F221" s="74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 t="s">
        <v>17</v>
      </c>
      <c r="AX221" s="27"/>
      <c r="AY221" s="27"/>
      <c r="AZ221" s="27"/>
      <c r="BA221" s="27"/>
      <c r="BB221" s="27" t="s">
        <v>16</v>
      </c>
      <c r="BC221" s="27"/>
      <c r="BD221" s="27"/>
      <c r="BE221" s="27"/>
      <c r="BF221" s="27"/>
      <c r="BG221" s="27"/>
      <c r="BH221" s="27"/>
      <c r="BI221" s="27"/>
      <c r="BJ221" s="27"/>
      <c r="BK221" s="27"/>
      <c r="BL221" s="27"/>
    </row>
    <row r="222" spans="1:79" ht="15" customHeight="1" x14ac:dyDescent="0.2">
      <c r="A222" s="27">
        <v>1</v>
      </c>
      <c r="B222" s="27"/>
      <c r="C222" s="27"/>
      <c r="D222" s="27"/>
      <c r="E222" s="27"/>
      <c r="F222" s="27"/>
      <c r="G222" s="27">
        <v>2</v>
      </c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>
        <v>3</v>
      </c>
      <c r="U222" s="27"/>
      <c r="V222" s="27"/>
      <c r="W222" s="27"/>
      <c r="X222" s="27"/>
      <c r="Y222" s="27"/>
      <c r="Z222" s="27">
        <v>4</v>
      </c>
      <c r="AA222" s="27"/>
      <c r="AB222" s="27"/>
      <c r="AC222" s="27"/>
      <c r="AD222" s="27"/>
      <c r="AE222" s="27">
        <v>5</v>
      </c>
      <c r="AF222" s="27"/>
      <c r="AG222" s="27"/>
      <c r="AH222" s="27"/>
      <c r="AI222" s="27"/>
      <c r="AJ222" s="27"/>
      <c r="AK222" s="27">
        <v>6</v>
      </c>
      <c r="AL222" s="27"/>
      <c r="AM222" s="27"/>
      <c r="AN222" s="27"/>
      <c r="AO222" s="27"/>
      <c r="AP222" s="27"/>
      <c r="AQ222" s="27">
        <v>7</v>
      </c>
      <c r="AR222" s="27"/>
      <c r="AS222" s="27"/>
      <c r="AT222" s="27"/>
      <c r="AU222" s="27"/>
      <c r="AV222" s="27"/>
      <c r="AW222" s="27">
        <v>8</v>
      </c>
      <c r="AX222" s="27"/>
      <c r="AY222" s="27"/>
      <c r="AZ222" s="27"/>
      <c r="BA222" s="27"/>
      <c r="BB222" s="27">
        <v>9</v>
      </c>
      <c r="BC222" s="27"/>
      <c r="BD222" s="27"/>
      <c r="BE222" s="27"/>
      <c r="BF222" s="27"/>
      <c r="BG222" s="27">
        <v>10</v>
      </c>
      <c r="BH222" s="27"/>
      <c r="BI222" s="27"/>
      <c r="BJ222" s="27"/>
      <c r="BK222" s="27"/>
      <c r="BL222" s="27"/>
    </row>
    <row r="223" spans="1:79" s="1" customFormat="1" ht="12" hidden="1" customHeight="1" x14ac:dyDescent="0.2">
      <c r="A223" s="26" t="s">
        <v>64</v>
      </c>
      <c r="B223" s="26"/>
      <c r="C223" s="26"/>
      <c r="D223" s="26"/>
      <c r="E223" s="26"/>
      <c r="F223" s="26"/>
      <c r="G223" s="67" t="s">
        <v>57</v>
      </c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30" t="s">
        <v>80</v>
      </c>
      <c r="U223" s="30"/>
      <c r="V223" s="30"/>
      <c r="W223" s="30"/>
      <c r="X223" s="30"/>
      <c r="Y223" s="30"/>
      <c r="Z223" s="30" t="s">
        <v>81</v>
      </c>
      <c r="AA223" s="30"/>
      <c r="AB223" s="30"/>
      <c r="AC223" s="30"/>
      <c r="AD223" s="30"/>
      <c r="AE223" s="30" t="s">
        <v>82</v>
      </c>
      <c r="AF223" s="30"/>
      <c r="AG223" s="30"/>
      <c r="AH223" s="30"/>
      <c r="AI223" s="30"/>
      <c r="AJ223" s="30"/>
      <c r="AK223" s="30" t="s">
        <v>83</v>
      </c>
      <c r="AL223" s="30"/>
      <c r="AM223" s="30"/>
      <c r="AN223" s="30"/>
      <c r="AO223" s="30"/>
      <c r="AP223" s="30"/>
      <c r="AQ223" s="78" t="s">
        <v>99</v>
      </c>
      <c r="AR223" s="30"/>
      <c r="AS223" s="30"/>
      <c r="AT223" s="30"/>
      <c r="AU223" s="30"/>
      <c r="AV223" s="30"/>
      <c r="AW223" s="30" t="s">
        <v>84</v>
      </c>
      <c r="AX223" s="30"/>
      <c r="AY223" s="30"/>
      <c r="AZ223" s="30"/>
      <c r="BA223" s="30"/>
      <c r="BB223" s="30" t="s">
        <v>85</v>
      </c>
      <c r="BC223" s="30"/>
      <c r="BD223" s="30"/>
      <c r="BE223" s="30"/>
      <c r="BF223" s="30"/>
      <c r="BG223" s="78" t="s">
        <v>100</v>
      </c>
      <c r="BH223" s="30"/>
      <c r="BI223" s="30"/>
      <c r="BJ223" s="30"/>
      <c r="BK223" s="30"/>
      <c r="BL223" s="30"/>
      <c r="CA223" s="1" t="s">
        <v>50</v>
      </c>
    </row>
    <row r="224" spans="1:79" s="6" customFormat="1" ht="12.75" customHeight="1" x14ac:dyDescent="0.2">
      <c r="A224" s="85"/>
      <c r="B224" s="85"/>
      <c r="C224" s="85"/>
      <c r="D224" s="85"/>
      <c r="E224" s="85"/>
      <c r="F224" s="85"/>
      <c r="G224" s="120" t="s">
        <v>147</v>
      </c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16"/>
      <c r="U224" s="116"/>
      <c r="V224" s="116"/>
      <c r="W224" s="116"/>
      <c r="X224" s="116"/>
      <c r="Y224" s="116"/>
      <c r="Z224" s="116"/>
      <c r="AA224" s="116"/>
      <c r="AB224" s="116"/>
      <c r="AC224" s="116"/>
      <c r="AD224" s="116"/>
      <c r="AE224" s="116"/>
      <c r="AF224" s="116"/>
      <c r="AG224" s="116"/>
      <c r="AH224" s="116"/>
      <c r="AI224" s="116"/>
      <c r="AJ224" s="116"/>
      <c r="AK224" s="116"/>
      <c r="AL224" s="116"/>
      <c r="AM224" s="116"/>
      <c r="AN224" s="116"/>
      <c r="AO224" s="116"/>
      <c r="AP224" s="116"/>
      <c r="AQ224" s="116">
        <f>IF(ISNUMBER(AK224),AK224,0)-IF(ISNUMBER(AE224),AE224,0)</f>
        <v>0</v>
      </c>
      <c r="AR224" s="116"/>
      <c r="AS224" s="116"/>
      <c r="AT224" s="116"/>
      <c r="AU224" s="116"/>
      <c r="AV224" s="116"/>
      <c r="AW224" s="116"/>
      <c r="AX224" s="116"/>
      <c r="AY224" s="116"/>
      <c r="AZ224" s="116"/>
      <c r="BA224" s="116"/>
      <c r="BB224" s="116"/>
      <c r="BC224" s="116"/>
      <c r="BD224" s="116"/>
      <c r="BE224" s="116"/>
      <c r="BF224" s="116"/>
      <c r="BG224" s="116">
        <f>IF(ISNUMBER(Z224),Z224,0)+IF(ISNUMBER(AK224),AK224,0)</f>
        <v>0</v>
      </c>
      <c r="BH224" s="116"/>
      <c r="BI224" s="116"/>
      <c r="BJ224" s="116"/>
      <c r="BK224" s="116"/>
      <c r="BL224" s="116"/>
      <c r="CA224" s="6" t="s">
        <v>51</v>
      </c>
    </row>
    <row r="226" spans="1:79" ht="14.25" customHeight="1" x14ac:dyDescent="0.2">
      <c r="A226" s="29" t="s">
        <v>228</v>
      </c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29"/>
      <c r="BG226" s="29"/>
      <c r="BH226" s="29"/>
      <c r="BI226" s="29"/>
      <c r="BJ226" s="29"/>
      <c r="BK226" s="29"/>
      <c r="BL226" s="29"/>
    </row>
    <row r="227" spans="1:79" ht="15" customHeight="1" x14ac:dyDescent="0.2">
      <c r="A227" s="31" t="s">
        <v>208</v>
      </c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31"/>
      <c r="BH227" s="31"/>
      <c r="BI227" s="31"/>
      <c r="BJ227" s="31"/>
      <c r="BK227" s="31"/>
      <c r="BL227" s="31"/>
    </row>
    <row r="228" spans="1:79" ht="18" customHeight="1" x14ac:dyDescent="0.2">
      <c r="A228" s="27" t="s">
        <v>135</v>
      </c>
      <c r="B228" s="27"/>
      <c r="C228" s="27"/>
      <c r="D228" s="27"/>
      <c r="E228" s="27"/>
      <c r="F228" s="27"/>
      <c r="G228" s="27" t="s">
        <v>19</v>
      </c>
      <c r="H228" s="27"/>
      <c r="I228" s="27"/>
      <c r="J228" s="27"/>
      <c r="K228" s="27"/>
      <c r="L228" s="27"/>
      <c r="M228" s="27"/>
      <c r="N228" s="27"/>
      <c r="O228" s="27"/>
      <c r="P228" s="27"/>
      <c r="Q228" s="27" t="s">
        <v>214</v>
      </c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 t="s">
        <v>225</v>
      </c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27"/>
      <c r="BH228" s="27"/>
      <c r="BI228" s="27"/>
      <c r="BJ228" s="27"/>
      <c r="BK228" s="27"/>
      <c r="BL228" s="27"/>
    </row>
    <row r="229" spans="1:79" ht="42.95" customHeight="1" x14ac:dyDescent="0.2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 t="s">
        <v>140</v>
      </c>
      <c r="R229" s="27"/>
      <c r="S229" s="27"/>
      <c r="T229" s="27"/>
      <c r="U229" s="27"/>
      <c r="V229" s="74" t="s">
        <v>141</v>
      </c>
      <c r="W229" s="74"/>
      <c r="X229" s="74"/>
      <c r="Y229" s="74"/>
      <c r="Z229" s="27" t="s">
        <v>142</v>
      </c>
      <c r="AA229" s="27"/>
      <c r="AB229" s="27"/>
      <c r="AC229" s="27"/>
      <c r="AD229" s="27"/>
      <c r="AE229" s="27"/>
      <c r="AF229" s="27"/>
      <c r="AG229" s="27"/>
      <c r="AH229" s="27"/>
      <c r="AI229" s="27"/>
      <c r="AJ229" s="27" t="s">
        <v>143</v>
      </c>
      <c r="AK229" s="27"/>
      <c r="AL229" s="27"/>
      <c r="AM229" s="27"/>
      <c r="AN229" s="27"/>
      <c r="AO229" s="27" t="s">
        <v>20</v>
      </c>
      <c r="AP229" s="27"/>
      <c r="AQ229" s="27"/>
      <c r="AR229" s="27"/>
      <c r="AS229" s="27"/>
      <c r="AT229" s="74" t="s">
        <v>144</v>
      </c>
      <c r="AU229" s="74"/>
      <c r="AV229" s="74"/>
      <c r="AW229" s="74"/>
      <c r="AX229" s="27" t="s">
        <v>142</v>
      </c>
      <c r="AY229" s="27"/>
      <c r="AZ229" s="27"/>
      <c r="BA229" s="27"/>
      <c r="BB229" s="27"/>
      <c r="BC229" s="27"/>
      <c r="BD229" s="27"/>
      <c r="BE229" s="27"/>
      <c r="BF229" s="27"/>
      <c r="BG229" s="27"/>
      <c r="BH229" s="27" t="s">
        <v>145</v>
      </c>
      <c r="BI229" s="27"/>
      <c r="BJ229" s="27"/>
      <c r="BK229" s="27"/>
      <c r="BL229" s="27"/>
    </row>
    <row r="230" spans="1:79" ht="63" customHeight="1" x14ac:dyDescent="0.2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74"/>
      <c r="W230" s="74"/>
      <c r="X230" s="74"/>
      <c r="Y230" s="74"/>
      <c r="Z230" s="27" t="s">
        <v>17</v>
      </c>
      <c r="AA230" s="27"/>
      <c r="AB230" s="27"/>
      <c r="AC230" s="27"/>
      <c r="AD230" s="27"/>
      <c r="AE230" s="27" t="s">
        <v>16</v>
      </c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74"/>
      <c r="AU230" s="74"/>
      <c r="AV230" s="74"/>
      <c r="AW230" s="74"/>
      <c r="AX230" s="27" t="s">
        <v>17</v>
      </c>
      <c r="AY230" s="27"/>
      <c r="AZ230" s="27"/>
      <c r="BA230" s="27"/>
      <c r="BB230" s="27"/>
      <c r="BC230" s="27" t="s">
        <v>16</v>
      </c>
      <c r="BD230" s="27"/>
      <c r="BE230" s="27"/>
      <c r="BF230" s="27"/>
      <c r="BG230" s="27"/>
      <c r="BH230" s="27"/>
      <c r="BI230" s="27"/>
      <c r="BJ230" s="27"/>
      <c r="BK230" s="27"/>
      <c r="BL230" s="27"/>
    </row>
    <row r="231" spans="1:79" ht="15" customHeight="1" x14ac:dyDescent="0.2">
      <c r="A231" s="27">
        <v>1</v>
      </c>
      <c r="B231" s="27"/>
      <c r="C231" s="27"/>
      <c r="D231" s="27"/>
      <c r="E231" s="27"/>
      <c r="F231" s="27"/>
      <c r="G231" s="27">
        <v>2</v>
      </c>
      <c r="H231" s="27"/>
      <c r="I231" s="27"/>
      <c r="J231" s="27"/>
      <c r="K231" s="27"/>
      <c r="L231" s="27"/>
      <c r="M231" s="27"/>
      <c r="N231" s="27"/>
      <c r="O231" s="27"/>
      <c r="P231" s="27"/>
      <c r="Q231" s="27">
        <v>3</v>
      </c>
      <c r="R231" s="27"/>
      <c r="S231" s="27"/>
      <c r="T231" s="27"/>
      <c r="U231" s="27"/>
      <c r="V231" s="27">
        <v>4</v>
      </c>
      <c r="W231" s="27"/>
      <c r="X231" s="27"/>
      <c r="Y231" s="27"/>
      <c r="Z231" s="27">
        <v>5</v>
      </c>
      <c r="AA231" s="27"/>
      <c r="AB231" s="27"/>
      <c r="AC231" s="27"/>
      <c r="AD231" s="27"/>
      <c r="AE231" s="27">
        <v>6</v>
      </c>
      <c r="AF231" s="27"/>
      <c r="AG231" s="27"/>
      <c r="AH231" s="27"/>
      <c r="AI231" s="27"/>
      <c r="AJ231" s="27">
        <v>7</v>
      </c>
      <c r="AK231" s="27"/>
      <c r="AL231" s="27"/>
      <c r="AM231" s="27"/>
      <c r="AN231" s="27"/>
      <c r="AO231" s="27">
        <v>8</v>
      </c>
      <c r="AP231" s="27"/>
      <c r="AQ231" s="27"/>
      <c r="AR231" s="27"/>
      <c r="AS231" s="27"/>
      <c r="AT231" s="27">
        <v>9</v>
      </c>
      <c r="AU231" s="27"/>
      <c r="AV231" s="27"/>
      <c r="AW231" s="27"/>
      <c r="AX231" s="27">
        <v>10</v>
      </c>
      <c r="AY231" s="27"/>
      <c r="AZ231" s="27"/>
      <c r="BA231" s="27"/>
      <c r="BB231" s="27"/>
      <c r="BC231" s="27">
        <v>11</v>
      </c>
      <c r="BD231" s="27"/>
      <c r="BE231" s="27"/>
      <c r="BF231" s="27"/>
      <c r="BG231" s="27"/>
      <c r="BH231" s="27">
        <v>12</v>
      </c>
      <c r="BI231" s="27"/>
      <c r="BJ231" s="27"/>
      <c r="BK231" s="27"/>
      <c r="BL231" s="27"/>
    </row>
    <row r="232" spans="1:79" s="1" customFormat="1" ht="12" hidden="1" customHeight="1" x14ac:dyDescent="0.2">
      <c r="A232" s="26" t="s">
        <v>64</v>
      </c>
      <c r="B232" s="26"/>
      <c r="C232" s="26"/>
      <c r="D232" s="26"/>
      <c r="E232" s="26"/>
      <c r="F232" s="26"/>
      <c r="G232" s="67" t="s">
        <v>57</v>
      </c>
      <c r="H232" s="67"/>
      <c r="I232" s="67"/>
      <c r="J232" s="67"/>
      <c r="K232" s="67"/>
      <c r="L232" s="67"/>
      <c r="M232" s="67"/>
      <c r="N232" s="67"/>
      <c r="O232" s="67"/>
      <c r="P232" s="67"/>
      <c r="Q232" s="30" t="s">
        <v>80</v>
      </c>
      <c r="R232" s="30"/>
      <c r="S232" s="30"/>
      <c r="T232" s="30"/>
      <c r="U232" s="30"/>
      <c r="V232" s="30" t="s">
        <v>81</v>
      </c>
      <c r="W232" s="30"/>
      <c r="X232" s="30"/>
      <c r="Y232" s="30"/>
      <c r="Z232" s="30" t="s">
        <v>82</v>
      </c>
      <c r="AA232" s="30"/>
      <c r="AB232" s="30"/>
      <c r="AC232" s="30"/>
      <c r="AD232" s="30"/>
      <c r="AE232" s="30" t="s">
        <v>83</v>
      </c>
      <c r="AF232" s="30"/>
      <c r="AG232" s="30"/>
      <c r="AH232" s="30"/>
      <c r="AI232" s="30"/>
      <c r="AJ232" s="78" t="s">
        <v>101</v>
      </c>
      <c r="AK232" s="30"/>
      <c r="AL232" s="30"/>
      <c r="AM232" s="30"/>
      <c r="AN232" s="30"/>
      <c r="AO232" s="30" t="s">
        <v>84</v>
      </c>
      <c r="AP232" s="30"/>
      <c r="AQ232" s="30"/>
      <c r="AR232" s="30"/>
      <c r="AS232" s="30"/>
      <c r="AT232" s="78" t="s">
        <v>102</v>
      </c>
      <c r="AU232" s="30"/>
      <c r="AV232" s="30"/>
      <c r="AW232" s="30"/>
      <c r="AX232" s="30" t="s">
        <v>85</v>
      </c>
      <c r="AY232" s="30"/>
      <c r="AZ232" s="30"/>
      <c r="BA232" s="30"/>
      <c r="BB232" s="30"/>
      <c r="BC232" s="30" t="s">
        <v>86</v>
      </c>
      <c r="BD232" s="30"/>
      <c r="BE232" s="30"/>
      <c r="BF232" s="30"/>
      <c r="BG232" s="30"/>
      <c r="BH232" s="78" t="s">
        <v>101</v>
      </c>
      <c r="BI232" s="30"/>
      <c r="BJ232" s="30"/>
      <c r="BK232" s="30"/>
      <c r="BL232" s="30"/>
      <c r="CA232" s="1" t="s">
        <v>52</v>
      </c>
    </row>
    <row r="233" spans="1:79" s="6" customFormat="1" ht="12.75" customHeight="1" x14ac:dyDescent="0.2">
      <c r="A233" s="85"/>
      <c r="B233" s="85"/>
      <c r="C233" s="85"/>
      <c r="D233" s="85"/>
      <c r="E233" s="85"/>
      <c r="F233" s="85"/>
      <c r="G233" s="120" t="s">
        <v>147</v>
      </c>
      <c r="H233" s="120"/>
      <c r="I233" s="120"/>
      <c r="J233" s="120"/>
      <c r="K233" s="120"/>
      <c r="L233" s="120"/>
      <c r="M233" s="120"/>
      <c r="N233" s="120"/>
      <c r="O233" s="120"/>
      <c r="P233" s="120"/>
      <c r="Q233" s="116"/>
      <c r="R233" s="116"/>
      <c r="S233" s="116"/>
      <c r="T233" s="116"/>
      <c r="U233" s="116"/>
      <c r="V233" s="116"/>
      <c r="W233" s="116"/>
      <c r="X233" s="116"/>
      <c r="Y233" s="116"/>
      <c r="Z233" s="116"/>
      <c r="AA233" s="116"/>
      <c r="AB233" s="116"/>
      <c r="AC233" s="116"/>
      <c r="AD233" s="116"/>
      <c r="AE233" s="116"/>
      <c r="AF233" s="116"/>
      <c r="AG233" s="116"/>
      <c r="AH233" s="116"/>
      <c r="AI233" s="116"/>
      <c r="AJ233" s="116">
        <f>IF(ISNUMBER(Q233),Q233,0)-IF(ISNUMBER(Z233),Z233,0)</f>
        <v>0</v>
      </c>
      <c r="AK233" s="116"/>
      <c r="AL233" s="116"/>
      <c r="AM233" s="116"/>
      <c r="AN233" s="116"/>
      <c r="AO233" s="116"/>
      <c r="AP233" s="116"/>
      <c r="AQ233" s="116"/>
      <c r="AR233" s="116"/>
      <c r="AS233" s="116"/>
      <c r="AT233" s="116">
        <f>IF(ISNUMBER(V233),V233,0)-IF(ISNUMBER(Z233),Z233,0)-IF(ISNUMBER(AE233),AE233,0)</f>
        <v>0</v>
      </c>
      <c r="AU233" s="116"/>
      <c r="AV233" s="116"/>
      <c r="AW233" s="116"/>
      <c r="AX233" s="116"/>
      <c r="AY233" s="116"/>
      <c r="AZ233" s="116"/>
      <c r="BA233" s="116"/>
      <c r="BB233" s="116"/>
      <c r="BC233" s="116"/>
      <c r="BD233" s="116"/>
      <c r="BE233" s="116"/>
      <c r="BF233" s="116"/>
      <c r="BG233" s="116"/>
      <c r="BH233" s="116">
        <f>IF(ISNUMBER(AO233),AO233,0)-IF(ISNUMBER(AX233),AX233,0)</f>
        <v>0</v>
      </c>
      <c r="BI233" s="116"/>
      <c r="BJ233" s="116"/>
      <c r="BK233" s="116"/>
      <c r="BL233" s="116"/>
      <c r="CA233" s="6" t="s">
        <v>53</v>
      </c>
    </row>
    <row r="235" spans="1:79" ht="14.25" customHeight="1" x14ac:dyDescent="0.2">
      <c r="A235" s="29" t="s">
        <v>215</v>
      </c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  <c r="BE235" s="29"/>
      <c r="BF235" s="29"/>
      <c r="BG235" s="29"/>
      <c r="BH235" s="29"/>
      <c r="BI235" s="29"/>
      <c r="BJ235" s="29"/>
      <c r="BK235" s="29"/>
      <c r="BL235" s="29"/>
    </row>
    <row r="236" spans="1:79" ht="15" customHeight="1" x14ac:dyDescent="0.2">
      <c r="A236" s="31" t="s">
        <v>208</v>
      </c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31"/>
      <c r="BH236" s="31"/>
      <c r="BI236" s="31"/>
      <c r="BJ236" s="31"/>
      <c r="BK236" s="31"/>
      <c r="BL236" s="31"/>
    </row>
    <row r="237" spans="1:79" ht="42.95" customHeight="1" x14ac:dyDescent="0.2">
      <c r="A237" s="74" t="s">
        <v>135</v>
      </c>
      <c r="B237" s="74"/>
      <c r="C237" s="74"/>
      <c r="D237" s="74"/>
      <c r="E237" s="74"/>
      <c r="F237" s="74"/>
      <c r="G237" s="27" t="s">
        <v>19</v>
      </c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 t="s">
        <v>15</v>
      </c>
      <c r="U237" s="27"/>
      <c r="V237" s="27"/>
      <c r="W237" s="27"/>
      <c r="X237" s="27"/>
      <c r="Y237" s="27"/>
      <c r="Z237" s="27" t="s">
        <v>14</v>
      </c>
      <c r="AA237" s="27"/>
      <c r="AB237" s="27"/>
      <c r="AC237" s="27"/>
      <c r="AD237" s="27"/>
      <c r="AE237" s="27" t="s">
        <v>211</v>
      </c>
      <c r="AF237" s="27"/>
      <c r="AG237" s="27"/>
      <c r="AH237" s="27"/>
      <c r="AI237" s="27"/>
      <c r="AJ237" s="27"/>
      <c r="AK237" s="27" t="s">
        <v>216</v>
      </c>
      <c r="AL237" s="27"/>
      <c r="AM237" s="27"/>
      <c r="AN237" s="27"/>
      <c r="AO237" s="27"/>
      <c r="AP237" s="27"/>
      <c r="AQ237" s="27" t="s">
        <v>229</v>
      </c>
      <c r="AR237" s="27"/>
      <c r="AS237" s="27"/>
      <c r="AT237" s="27"/>
      <c r="AU237" s="27"/>
      <c r="AV237" s="27"/>
      <c r="AW237" s="27" t="s">
        <v>18</v>
      </c>
      <c r="AX237" s="27"/>
      <c r="AY237" s="27"/>
      <c r="AZ237" s="27"/>
      <c r="BA237" s="27"/>
      <c r="BB237" s="27"/>
      <c r="BC237" s="27"/>
      <c r="BD237" s="27"/>
      <c r="BE237" s="27" t="s">
        <v>156</v>
      </c>
      <c r="BF237" s="27"/>
      <c r="BG237" s="27"/>
      <c r="BH237" s="27"/>
      <c r="BI237" s="27"/>
      <c r="BJ237" s="27"/>
      <c r="BK237" s="27"/>
      <c r="BL237" s="27"/>
    </row>
    <row r="238" spans="1:79" ht="21.75" customHeight="1" x14ac:dyDescent="0.2">
      <c r="A238" s="74"/>
      <c r="B238" s="74"/>
      <c r="C238" s="74"/>
      <c r="D238" s="74"/>
      <c r="E238" s="74"/>
      <c r="F238" s="74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  <c r="BG238" s="27"/>
      <c r="BH238" s="27"/>
      <c r="BI238" s="27"/>
      <c r="BJ238" s="27"/>
      <c r="BK238" s="27"/>
      <c r="BL238" s="27"/>
    </row>
    <row r="239" spans="1:79" ht="15" customHeight="1" x14ac:dyDescent="0.2">
      <c r="A239" s="27">
        <v>1</v>
      </c>
      <c r="B239" s="27"/>
      <c r="C239" s="27"/>
      <c r="D239" s="27"/>
      <c r="E239" s="27"/>
      <c r="F239" s="27"/>
      <c r="G239" s="27">
        <v>2</v>
      </c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>
        <v>3</v>
      </c>
      <c r="U239" s="27"/>
      <c r="V239" s="27"/>
      <c r="W239" s="27"/>
      <c r="X239" s="27"/>
      <c r="Y239" s="27"/>
      <c r="Z239" s="27">
        <v>4</v>
      </c>
      <c r="AA239" s="27"/>
      <c r="AB239" s="27"/>
      <c r="AC239" s="27"/>
      <c r="AD239" s="27"/>
      <c r="AE239" s="27">
        <v>5</v>
      </c>
      <c r="AF239" s="27"/>
      <c r="AG239" s="27"/>
      <c r="AH239" s="27"/>
      <c r="AI239" s="27"/>
      <c r="AJ239" s="27"/>
      <c r="AK239" s="27">
        <v>6</v>
      </c>
      <c r="AL239" s="27"/>
      <c r="AM239" s="27"/>
      <c r="AN239" s="27"/>
      <c r="AO239" s="27"/>
      <c r="AP239" s="27"/>
      <c r="AQ239" s="27">
        <v>7</v>
      </c>
      <c r="AR239" s="27"/>
      <c r="AS239" s="27"/>
      <c r="AT239" s="27"/>
      <c r="AU239" s="27"/>
      <c r="AV239" s="27"/>
      <c r="AW239" s="26">
        <v>8</v>
      </c>
      <c r="AX239" s="26"/>
      <c r="AY239" s="26"/>
      <c r="AZ239" s="26"/>
      <c r="BA239" s="26"/>
      <c r="BB239" s="26"/>
      <c r="BC239" s="26"/>
      <c r="BD239" s="26"/>
      <c r="BE239" s="26">
        <v>9</v>
      </c>
      <c r="BF239" s="26"/>
      <c r="BG239" s="26"/>
      <c r="BH239" s="26"/>
      <c r="BI239" s="26"/>
      <c r="BJ239" s="26"/>
      <c r="BK239" s="26"/>
      <c r="BL239" s="26"/>
    </row>
    <row r="240" spans="1:79" s="1" customFormat="1" ht="18.75" hidden="1" customHeight="1" x14ac:dyDescent="0.2">
      <c r="A240" s="26" t="s">
        <v>64</v>
      </c>
      <c r="B240" s="26"/>
      <c r="C240" s="26"/>
      <c r="D240" s="26"/>
      <c r="E240" s="26"/>
      <c r="F240" s="26"/>
      <c r="G240" s="67" t="s">
        <v>57</v>
      </c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30" t="s">
        <v>80</v>
      </c>
      <c r="U240" s="30"/>
      <c r="V240" s="30"/>
      <c r="W240" s="30"/>
      <c r="X240" s="30"/>
      <c r="Y240" s="30"/>
      <c r="Z240" s="30" t="s">
        <v>81</v>
      </c>
      <c r="AA240" s="30"/>
      <c r="AB240" s="30"/>
      <c r="AC240" s="30"/>
      <c r="AD240" s="30"/>
      <c r="AE240" s="30" t="s">
        <v>82</v>
      </c>
      <c r="AF240" s="30"/>
      <c r="AG240" s="30"/>
      <c r="AH240" s="30"/>
      <c r="AI240" s="30"/>
      <c r="AJ240" s="30"/>
      <c r="AK240" s="30" t="s">
        <v>83</v>
      </c>
      <c r="AL240" s="30"/>
      <c r="AM240" s="30"/>
      <c r="AN240" s="30"/>
      <c r="AO240" s="30"/>
      <c r="AP240" s="30"/>
      <c r="AQ240" s="30" t="s">
        <v>84</v>
      </c>
      <c r="AR240" s="30"/>
      <c r="AS240" s="30"/>
      <c r="AT240" s="30"/>
      <c r="AU240" s="30"/>
      <c r="AV240" s="30"/>
      <c r="AW240" s="67" t="s">
        <v>87</v>
      </c>
      <c r="AX240" s="67"/>
      <c r="AY240" s="67"/>
      <c r="AZ240" s="67"/>
      <c r="BA240" s="67"/>
      <c r="BB240" s="67"/>
      <c r="BC240" s="67"/>
      <c r="BD240" s="67"/>
      <c r="BE240" s="67" t="s">
        <v>88</v>
      </c>
      <c r="BF240" s="67"/>
      <c r="BG240" s="67"/>
      <c r="BH240" s="67"/>
      <c r="BI240" s="67"/>
      <c r="BJ240" s="67"/>
      <c r="BK240" s="67"/>
      <c r="BL240" s="67"/>
      <c r="CA240" s="1" t="s">
        <v>54</v>
      </c>
    </row>
    <row r="241" spans="1:79" s="6" customFormat="1" ht="12.75" customHeight="1" x14ac:dyDescent="0.2">
      <c r="A241" s="85"/>
      <c r="B241" s="85"/>
      <c r="C241" s="85"/>
      <c r="D241" s="85"/>
      <c r="E241" s="85"/>
      <c r="F241" s="85"/>
      <c r="G241" s="120" t="s">
        <v>147</v>
      </c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16"/>
      <c r="U241" s="116"/>
      <c r="V241" s="116"/>
      <c r="W241" s="116"/>
      <c r="X241" s="116"/>
      <c r="Y241" s="116"/>
      <c r="Z241" s="116"/>
      <c r="AA241" s="116"/>
      <c r="AB241" s="116"/>
      <c r="AC241" s="116"/>
      <c r="AD241" s="116"/>
      <c r="AE241" s="116"/>
      <c r="AF241" s="116"/>
      <c r="AG241" s="116"/>
      <c r="AH241" s="116"/>
      <c r="AI241" s="116"/>
      <c r="AJ241" s="116"/>
      <c r="AK241" s="116"/>
      <c r="AL241" s="116"/>
      <c r="AM241" s="116"/>
      <c r="AN241" s="116"/>
      <c r="AO241" s="116"/>
      <c r="AP241" s="116"/>
      <c r="AQ241" s="116"/>
      <c r="AR241" s="116"/>
      <c r="AS241" s="116"/>
      <c r="AT241" s="116"/>
      <c r="AU241" s="116"/>
      <c r="AV241" s="116"/>
      <c r="AW241" s="120"/>
      <c r="AX241" s="120"/>
      <c r="AY241" s="120"/>
      <c r="AZ241" s="120"/>
      <c r="BA241" s="120"/>
      <c r="BB241" s="120"/>
      <c r="BC241" s="120"/>
      <c r="BD241" s="120"/>
      <c r="BE241" s="120"/>
      <c r="BF241" s="120"/>
      <c r="BG241" s="120"/>
      <c r="BH241" s="120"/>
      <c r="BI241" s="120"/>
      <c r="BJ241" s="120"/>
      <c r="BK241" s="120"/>
      <c r="BL241" s="120"/>
      <c r="CA241" s="6" t="s">
        <v>55</v>
      </c>
    </row>
    <row r="243" spans="1:79" ht="14.25" customHeight="1" x14ac:dyDescent="0.2">
      <c r="A243" s="29" t="s">
        <v>217</v>
      </c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29"/>
      <c r="BG243" s="29"/>
      <c r="BH243" s="29"/>
      <c r="BI243" s="29"/>
      <c r="BJ243" s="29"/>
      <c r="BK243" s="29"/>
      <c r="BL243" s="29"/>
    </row>
    <row r="244" spans="1:79" ht="105" customHeight="1" x14ac:dyDescent="0.2">
      <c r="A244" s="125" t="s">
        <v>199</v>
      </c>
      <c r="B244" s="126"/>
      <c r="C244" s="126"/>
      <c r="D244" s="126"/>
      <c r="E244" s="126"/>
      <c r="F244" s="126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  <c r="AA244" s="126"/>
      <c r="AB244" s="126"/>
      <c r="AC244" s="126"/>
      <c r="AD244" s="126"/>
      <c r="AE244" s="126"/>
      <c r="AF244" s="126"/>
      <c r="AG244" s="126"/>
      <c r="AH244" s="126"/>
      <c r="AI244" s="126"/>
      <c r="AJ244" s="126"/>
      <c r="AK244" s="126"/>
      <c r="AL244" s="126"/>
      <c r="AM244" s="126"/>
      <c r="AN244" s="126"/>
      <c r="AO244" s="126"/>
      <c r="AP244" s="126"/>
      <c r="AQ244" s="126"/>
      <c r="AR244" s="126"/>
      <c r="AS244" s="126"/>
      <c r="AT244" s="126"/>
      <c r="AU244" s="126"/>
      <c r="AV244" s="126"/>
      <c r="AW244" s="126"/>
      <c r="AX244" s="126"/>
      <c r="AY244" s="126"/>
      <c r="AZ244" s="126"/>
      <c r="BA244" s="126"/>
      <c r="BB244" s="126"/>
      <c r="BC244" s="126"/>
      <c r="BD244" s="126"/>
      <c r="BE244" s="126"/>
      <c r="BF244" s="126"/>
      <c r="BG244" s="126"/>
      <c r="BH244" s="126"/>
      <c r="BI244" s="126"/>
      <c r="BJ244" s="126"/>
      <c r="BK244" s="126"/>
      <c r="BL244" s="126"/>
    </row>
    <row r="245" spans="1:79" ht="1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</row>
    <row r="247" spans="1:79" ht="14.25" x14ac:dyDescent="0.2">
      <c r="A247" s="29" t="s">
        <v>244</v>
      </c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  <c r="BE247" s="29"/>
      <c r="BF247" s="29"/>
      <c r="BG247" s="29"/>
      <c r="BH247" s="29"/>
      <c r="BI247" s="29"/>
      <c r="BJ247" s="29"/>
      <c r="BK247" s="29"/>
      <c r="BL247" s="29"/>
    </row>
    <row r="248" spans="1:79" ht="14.25" x14ac:dyDescent="0.2">
      <c r="A248" s="29" t="s">
        <v>218</v>
      </c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  <c r="AY248" s="29"/>
      <c r="AZ248" s="29"/>
      <c r="BA248" s="29"/>
      <c r="BB248" s="29"/>
      <c r="BC248" s="29"/>
      <c r="BD248" s="29"/>
      <c r="BE248" s="29"/>
      <c r="BF248" s="29"/>
      <c r="BG248" s="29"/>
      <c r="BH248" s="29"/>
      <c r="BI248" s="29"/>
      <c r="BJ248" s="29"/>
      <c r="BK248" s="29"/>
      <c r="BL248" s="29"/>
    </row>
    <row r="249" spans="1:79" ht="15" customHeight="1" x14ac:dyDescent="0.2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  <c r="AL249" s="60"/>
      <c r="AM249" s="60"/>
      <c r="AN249" s="60"/>
      <c r="AO249" s="60"/>
      <c r="AP249" s="60"/>
      <c r="AQ249" s="60"/>
      <c r="AR249" s="60"/>
      <c r="AS249" s="60"/>
      <c r="AT249" s="60"/>
      <c r="AU249" s="60"/>
      <c r="AV249" s="60"/>
      <c r="AW249" s="60"/>
      <c r="AX249" s="60"/>
      <c r="AY249" s="60"/>
      <c r="AZ249" s="60"/>
      <c r="BA249" s="60"/>
      <c r="BB249" s="60"/>
      <c r="BC249" s="60"/>
      <c r="BD249" s="60"/>
      <c r="BE249" s="60"/>
      <c r="BF249" s="60"/>
      <c r="BG249" s="60"/>
      <c r="BH249" s="60"/>
      <c r="BI249" s="60"/>
      <c r="BJ249" s="60"/>
      <c r="BK249" s="60"/>
      <c r="BL249" s="60"/>
    </row>
    <row r="250" spans="1:79" ht="1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</row>
    <row r="253" spans="1:79" ht="18.95" customHeight="1" x14ac:dyDescent="0.2">
      <c r="A253" s="129" t="s">
        <v>202</v>
      </c>
      <c r="B253" s="126"/>
      <c r="C253" s="126"/>
      <c r="D253" s="126"/>
      <c r="E253" s="126"/>
      <c r="F253" s="126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  <c r="AA253" s="126"/>
      <c r="AB253" s="22"/>
      <c r="AC253" s="22"/>
      <c r="AD253" s="22"/>
      <c r="AE253" s="22"/>
      <c r="AF253" s="22"/>
      <c r="AG253" s="22"/>
      <c r="AH253" s="42"/>
      <c r="AI253" s="42"/>
      <c r="AJ253" s="42"/>
      <c r="AK253" s="42"/>
      <c r="AL253" s="42"/>
      <c r="AM253" s="42"/>
      <c r="AN253" s="42"/>
      <c r="AO253" s="42"/>
      <c r="AP253" s="42"/>
      <c r="AQ253" s="22"/>
      <c r="AR253" s="22"/>
      <c r="AS253" s="22"/>
      <c r="AT253" s="22"/>
      <c r="AU253" s="130" t="s">
        <v>204</v>
      </c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</row>
    <row r="254" spans="1:79" ht="12.75" customHeight="1" x14ac:dyDescent="0.2">
      <c r="AB254" s="23"/>
      <c r="AC254" s="23"/>
      <c r="AD254" s="23"/>
      <c r="AE254" s="23"/>
      <c r="AF254" s="23"/>
      <c r="AG254" s="23"/>
      <c r="AH254" s="28" t="s">
        <v>1</v>
      </c>
      <c r="AI254" s="28"/>
      <c r="AJ254" s="28"/>
      <c r="AK254" s="28"/>
      <c r="AL254" s="28"/>
      <c r="AM254" s="28"/>
      <c r="AN254" s="28"/>
      <c r="AO254" s="28"/>
      <c r="AP254" s="28"/>
      <c r="AQ254" s="23"/>
      <c r="AR254" s="23"/>
      <c r="AS254" s="23"/>
      <c r="AT254" s="23"/>
      <c r="AU254" s="28" t="s">
        <v>171</v>
      </c>
      <c r="AV254" s="28"/>
      <c r="AW254" s="28"/>
      <c r="AX254" s="28"/>
      <c r="AY254" s="28"/>
      <c r="AZ254" s="28"/>
      <c r="BA254" s="28"/>
      <c r="BB254" s="28"/>
      <c r="BC254" s="28"/>
      <c r="BD254" s="28"/>
      <c r="BE254" s="28"/>
      <c r="BF254" s="28"/>
    </row>
    <row r="255" spans="1:79" ht="15" x14ac:dyDescent="0.2">
      <c r="AB255" s="23"/>
      <c r="AC255" s="23"/>
      <c r="AD255" s="23"/>
      <c r="AE255" s="23"/>
      <c r="AF255" s="23"/>
      <c r="AG255" s="23"/>
      <c r="AH255" s="24"/>
      <c r="AI255" s="24"/>
      <c r="AJ255" s="24"/>
      <c r="AK255" s="24"/>
      <c r="AL255" s="24"/>
      <c r="AM255" s="24"/>
      <c r="AN255" s="24"/>
      <c r="AO255" s="24"/>
      <c r="AP255" s="24"/>
      <c r="AQ255" s="23"/>
      <c r="AR255" s="23"/>
      <c r="AS255" s="23"/>
      <c r="AT255" s="23"/>
      <c r="AU255" s="24"/>
      <c r="AV255" s="24"/>
      <c r="AW255" s="24"/>
      <c r="AX255" s="24"/>
      <c r="AY255" s="24"/>
      <c r="AZ255" s="24"/>
      <c r="BA255" s="24"/>
      <c r="BB255" s="24"/>
      <c r="BC255" s="24"/>
      <c r="BD255" s="24"/>
      <c r="BE255" s="24"/>
      <c r="BF255" s="24"/>
    </row>
    <row r="256" spans="1:79" ht="18" customHeight="1" x14ac:dyDescent="0.2">
      <c r="A256" s="129" t="s">
        <v>203</v>
      </c>
      <c r="B256" s="126"/>
      <c r="C256" s="126"/>
      <c r="D256" s="126"/>
      <c r="E256" s="126"/>
      <c r="F256" s="126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  <c r="AA256" s="126"/>
      <c r="AB256" s="23"/>
      <c r="AC256" s="23"/>
      <c r="AD256" s="23"/>
      <c r="AE256" s="23"/>
      <c r="AF256" s="23"/>
      <c r="AG256" s="23"/>
      <c r="AH256" s="43"/>
      <c r="AI256" s="43"/>
      <c r="AJ256" s="43"/>
      <c r="AK256" s="43"/>
      <c r="AL256" s="43"/>
      <c r="AM256" s="43"/>
      <c r="AN256" s="43"/>
      <c r="AO256" s="43"/>
      <c r="AP256" s="43"/>
      <c r="AQ256" s="23"/>
      <c r="AR256" s="23"/>
      <c r="AS256" s="23"/>
      <c r="AT256" s="23"/>
      <c r="AU256" s="131" t="s">
        <v>205</v>
      </c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</row>
    <row r="257" spans="28:58" ht="12" customHeight="1" x14ac:dyDescent="0.2">
      <c r="AB257" s="23"/>
      <c r="AC257" s="23"/>
      <c r="AD257" s="23"/>
      <c r="AE257" s="23"/>
      <c r="AF257" s="23"/>
      <c r="AG257" s="23"/>
      <c r="AH257" s="28" t="s">
        <v>1</v>
      </c>
      <c r="AI257" s="28"/>
      <c r="AJ257" s="28"/>
      <c r="AK257" s="28"/>
      <c r="AL257" s="28"/>
      <c r="AM257" s="28"/>
      <c r="AN257" s="28"/>
      <c r="AO257" s="28"/>
      <c r="AP257" s="28"/>
      <c r="AQ257" s="23"/>
      <c r="AR257" s="23"/>
      <c r="AS257" s="23"/>
      <c r="AT257" s="23"/>
      <c r="AU257" s="28" t="s">
        <v>171</v>
      </c>
      <c r="AV257" s="28"/>
      <c r="AW257" s="28"/>
      <c r="AX257" s="28"/>
      <c r="AY257" s="28"/>
      <c r="AZ257" s="28"/>
      <c r="BA257" s="28"/>
      <c r="BB257" s="28"/>
      <c r="BC257" s="28"/>
      <c r="BD257" s="28"/>
      <c r="BE257" s="28"/>
      <c r="BF257" s="28"/>
    </row>
  </sheetData>
  <mergeCells count="1680">
    <mergeCell ref="AU201:AY201"/>
    <mergeCell ref="AZ201:BD201"/>
    <mergeCell ref="A201:F201"/>
    <mergeCell ref="G201:S201"/>
    <mergeCell ref="T201:Z201"/>
    <mergeCell ref="AA201:AE201"/>
    <mergeCell ref="AF201:AJ201"/>
    <mergeCell ref="AK201:AO201"/>
    <mergeCell ref="AP201:AT201"/>
    <mergeCell ref="BO192:BS192"/>
    <mergeCell ref="AK192:AO192"/>
    <mergeCell ref="AP192:AT192"/>
    <mergeCell ref="AU192:AY192"/>
    <mergeCell ref="AZ192:BD192"/>
    <mergeCell ref="BE192:BI192"/>
    <mergeCell ref="BJ192:BN192"/>
    <mergeCell ref="A192:F192"/>
    <mergeCell ref="G192:S192"/>
    <mergeCell ref="T192:Z192"/>
    <mergeCell ref="AA192:AE192"/>
    <mergeCell ref="AF192:AJ192"/>
    <mergeCell ref="AX181:AZ181"/>
    <mergeCell ref="BA181:BC181"/>
    <mergeCell ref="BD181:BF181"/>
    <mergeCell ref="BG181:BI181"/>
    <mergeCell ref="BJ181:BL181"/>
    <mergeCell ref="A181:C181"/>
    <mergeCell ref="D181:V181"/>
    <mergeCell ref="W181:Y181"/>
    <mergeCell ref="Z181:AB181"/>
    <mergeCell ref="AC181:AE181"/>
    <mergeCell ref="AF181:AH181"/>
    <mergeCell ref="AI181:AK181"/>
    <mergeCell ref="A171:T171"/>
    <mergeCell ref="U171:Y171"/>
    <mergeCell ref="Z171:AD171"/>
    <mergeCell ref="AE171:AI171"/>
    <mergeCell ref="AJ171:AN171"/>
    <mergeCell ref="AO171:AS171"/>
    <mergeCell ref="AT171:AX171"/>
    <mergeCell ref="AY171:BC171"/>
    <mergeCell ref="BD171:BH171"/>
    <mergeCell ref="BE162:BI162"/>
    <mergeCell ref="BE161:BI161"/>
    <mergeCell ref="A162:C162"/>
    <mergeCell ref="D162:P162"/>
    <mergeCell ref="Q162:U162"/>
    <mergeCell ref="V162:AE162"/>
    <mergeCell ref="AF162:AJ162"/>
    <mergeCell ref="AK162:AO162"/>
    <mergeCell ref="AP162:AT162"/>
    <mergeCell ref="AU162:AY162"/>
    <mergeCell ref="AZ162:BD162"/>
    <mergeCell ref="BE160:BI160"/>
    <mergeCell ref="A161:C161"/>
    <mergeCell ref="D161:P161"/>
    <mergeCell ref="Q161:U161"/>
    <mergeCell ref="V161:AE161"/>
    <mergeCell ref="AF161:AJ161"/>
    <mergeCell ref="AK161:AO161"/>
    <mergeCell ref="AP161:AT161"/>
    <mergeCell ref="AU161:AY161"/>
    <mergeCell ref="AZ161:BD161"/>
    <mergeCell ref="BE159:BI159"/>
    <mergeCell ref="A160:C160"/>
    <mergeCell ref="D160:P160"/>
    <mergeCell ref="Q160:U160"/>
    <mergeCell ref="V160:AE160"/>
    <mergeCell ref="AF160:AJ160"/>
    <mergeCell ref="AK160:AO160"/>
    <mergeCell ref="AP160:AT160"/>
    <mergeCell ref="AU160:AY160"/>
    <mergeCell ref="AZ160:BD160"/>
    <mergeCell ref="BE158:BI158"/>
    <mergeCell ref="A159:C159"/>
    <mergeCell ref="D159:P159"/>
    <mergeCell ref="Q159:U159"/>
    <mergeCell ref="V159:AE159"/>
    <mergeCell ref="AF159:AJ159"/>
    <mergeCell ref="AK159:AO159"/>
    <mergeCell ref="AP159:AT159"/>
    <mergeCell ref="AU159:AY159"/>
    <mergeCell ref="AZ159:BD159"/>
    <mergeCell ref="BE157:BI157"/>
    <mergeCell ref="A158:C158"/>
    <mergeCell ref="D158:P158"/>
    <mergeCell ref="Q158:U158"/>
    <mergeCell ref="V158:AE158"/>
    <mergeCell ref="AF158:AJ158"/>
    <mergeCell ref="AK158:AO158"/>
    <mergeCell ref="AP158:AT158"/>
    <mergeCell ref="AU158:AY158"/>
    <mergeCell ref="AZ158:BD158"/>
    <mergeCell ref="BE156:BI156"/>
    <mergeCell ref="A157:C157"/>
    <mergeCell ref="D157:P157"/>
    <mergeCell ref="Q157:U157"/>
    <mergeCell ref="V157:AE157"/>
    <mergeCell ref="AF157:AJ157"/>
    <mergeCell ref="AK157:AO157"/>
    <mergeCell ref="AP157:AT157"/>
    <mergeCell ref="AU157:AY157"/>
    <mergeCell ref="AZ157:BD157"/>
    <mergeCell ref="BE155:BI155"/>
    <mergeCell ref="A156:C156"/>
    <mergeCell ref="D156:P156"/>
    <mergeCell ref="Q156:U156"/>
    <mergeCell ref="V156:AE156"/>
    <mergeCell ref="AF156:AJ156"/>
    <mergeCell ref="AK156:AO156"/>
    <mergeCell ref="AP156:AT156"/>
    <mergeCell ref="AU156:AY156"/>
    <mergeCell ref="AZ156:BD156"/>
    <mergeCell ref="BE154:BI154"/>
    <mergeCell ref="A155:C155"/>
    <mergeCell ref="D155:P155"/>
    <mergeCell ref="Q155:U155"/>
    <mergeCell ref="V155:AE155"/>
    <mergeCell ref="AF155:AJ155"/>
    <mergeCell ref="AK155:AO155"/>
    <mergeCell ref="AP155:AT155"/>
    <mergeCell ref="AU155:AY155"/>
    <mergeCell ref="AZ155:BD155"/>
    <mergeCell ref="BE153:BI153"/>
    <mergeCell ref="A154:C154"/>
    <mergeCell ref="D154:P154"/>
    <mergeCell ref="Q154:U154"/>
    <mergeCell ref="V154:AE154"/>
    <mergeCell ref="AF154:AJ154"/>
    <mergeCell ref="AK154:AO154"/>
    <mergeCell ref="AP154:AT154"/>
    <mergeCell ref="AU154:AY154"/>
    <mergeCell ref="AZ154:BD154"/>
    <mergeCell ref="BE152:BI152"/>
    <mergeCell ref="A153:C153"/>
    <mergeCell ref="D153:P153"/>
    <mergeCell ref="Q153:U153"/>
    <mergeCell ref="V153:AE153"/>
    <mergeCell ref="AF153:AJ153"/>
    <mergeCell ref="AK153:AO153"/>
    <mergeCell ref="AP153:AT153"/>
    <mergeCell ref="AU153:AY153"/>
    <mergeCell ref="AZ153:BD153"/>
    <mergeCell ref="BE151:BI151"/>
    <mergeCell ref="A152:C152"/>
    <mergeCell ref="D152:P152"/>
    <mergeCell ref="Q152:U152"/>
    <mergeCell ref="V152:AE152"/>
    <mergeCell ref="AF152:AJ152"/>
    <mergeCell ref="AK152:AO152"/>
    <mergeCell ref="AP152:AT152"/>
    <mergeCell ref="AU152:AY152"/>
    <mergeCell ref="AZ152:BD152"/>
    <mergeCell ref="BE150:BI150"/>
    <mergeCell ref="A151:C151"/>
    <mergeCell ref="D151:P151"/>
    <mergeCell ref="Q151:U151"/>
    <mergeCell ref="V151:AE151"/>
    <mergeCell ref="AF151:AJ151"/>
    <mergeCell ref="AK151:AO151"/>
    <mergeCell ref="AP151:AT151"/>
    <mergeCell ref="AU151:AY151"/>
    <mergeCell ref="AZ151:BD151"/>
    <mergeCell ref="BE149:BI149"/>
    <mergeCell ref="A150:C150"/>
    <mergeCell ref="D150:P150"/>
    <mergeCell ref="Q150:U150"/>
    <mergeCell ref="V150:AE150"/>
    <mergeCell ref="AF150:AJ150"/>
    <mergeCell ref="AK150:AO150"/>
    <mergeCell ref="AP150:AT150"/>
    <mergeCell ref="AU150:AY150"/>
    <mergeCell ref="AZ150:BD150"/>
    <mergeCell ref="BE148:BI148"/>
    <mergeCell ref="A149:C149"/>
    <mergeCell ref="D149:P149"/>
    <mergeCell ref="Q149:U149"/>
    <mergeCell ref="V149:AE149"/>
    <mergeCell ref="AF149:AJ149"/>
    <mergeCell ref="AK149:AO149"/>
    <mergeCell ref="AP149:AT149"/>
    <mergeCell ref="AU149:AY149"/>
    <mergeCell ref="AZ149:BD149"/>
    <mergeCell ref="BE147:BI147"/>
    <mergeCell ref="A148:C148"/>
    <mergeCell ref="D148:P148"/>
    <mergeCell ref="Q148:U148"/>
    <mergeCell ref="V148:AE148"/>
    <mergeCell ref="AF148:AJ148"/>
    <mergeCell ref="AK148:AO148"/>
    <mergeCell ref="AP148:AT148"/>
    <mergeCell ref="AU148:AY148"/>
    <mergeCell ref="AZ148:BD148"/>
    <mergeCell ref="BE146:BI146"/>
    <mergeCell ref="A147:C147"/>
    <mergeCell ref="D147:P147"/>
    <mergeCell ref="Q147:U147"/>
    <mergeCell ref="V147:AE147"/>
    <mergeCell ref="AF147:AJ147"/>
    <mergeCell ref="AK147:AO147"/>
    <mergeCell ref="AP147:AT147"/>
    <mergeCell ref="AU147:AY147"/>
    <mergeCell ref="AZ147:BD147"/>
    <mergeCell ref="BE145:BI145"/>
    <mergeCell ref="A146:C146"/>
    <mergeCell ref="D146:P146"/>
    <mergeCell ref="Q146:U146"/>
    <mergeCell ref="V146:AE146"/>
    <mergeCell ref="AF146:AJ146"/>
    <mergeCell ref="AK146:AO146"/>
    <mergeCell ref="AP146:AT146"/>
    <mergeCell ref="AU146:AY146"/>
    <mergeCell ref="AZ146:BD146"/>
    <mergeCell ref="BE144:BI144"/>
    <mergeCell ref="A145:C145"/>
    <mergeCell ref="D145:P145"/>
    <mergeCell ref="Q145:U145"/>
    <mergeCell ref="V145:AE145"/>
    <mergeCell ref="AF145:AJ145"/>
    <mergeCell ref="AK145:AO145"/>
    <mergeCell ref="AP145:AT145"/>
    <mergeCell ref="AU145:AY145"/>
    <mergeCell ref="AZ145:BD145"/>
    <mergeCell ref="BE143:BI143"/>
    <mergeCell ref="A144:C144"/>
    <mergeCell ref="D144:P144"/>
    <mergeCell ref="Q144:U144"/>
    <mergeCell ref="V144:AE144"/>
    <mergeCell ref="AF144:AJ144"/>
    <mergeCell ref="AK144:AO144"/>
    <mergeCell ref="AP144:AT144"/>
    <mergeCell ref="AU144:AY144"/>
    <mergeCell ref="AZ144:BD144"/>
    <mergeCell ref="BE142:BI142"/>
    <mergeCell ref="A143:C143"/>
    <mergeCell ref="D143:P143"/>
    <mergeCell ref="Q143:U143"/>
    <mergeCell ref="V143:AE143"/>
    <mergeCell ref="AF143:AJ143"/>
    <mergeCell ref="AK143:AO143"/>
    <mergeCell ref="AP143:AT143"/>
    <mergeCell ref="AU143:AY143"/>
    <mergeCell ref="AZ143:BD143"/>
    <mergeCell ref="BE141:BI141"/>
    <mergeCell ref="A142:C142"/>
    <mergeCell ref="D142:P142"/>
    <mergeCell ref="Q142:U142"/>
    <mergeCell ref="V142:AE142"/>
    <mergeCell ref="AF142:AJ142"/>
    <mergeCell ref="AK142:AO142"/>
    <mergeCell ref="AP142:AT142"/>
    <mergeCell ref="AU142:AY142"/>
    <mergeCell ref="AZ142:BD142"/>
    <mergeCell ref="BE140:BI140"/>
    <mergeCell ref="A141:C141"/>
    <mergeCell ref="D141:P141"/>
    <mergeCell ref="Q141:U141"/>
    <mergeCell ref="V141:AE141"/>
    <mergeCell ref="AF141:AJ141"/>
    <mergeCell ref="AK141:AO141"/>
    <mergeCell ref="AP141:AT141"/>
    <mergeCell ref="AU141:AY141"/>
    <mergeCell ref="AZ141:BD141"/>
    <mergeCell ref="BE139:BI139"/>
    <mergeCell ref="A140:C140"/>
    <mergeCell ref="D140:P140"/>
    <mergeCell ref="Q140:U140"/>
    <mergeCell ref="V140:AE140"/>
    <mergeCell ref="AF140:AJ140"/>
    <mergeCell ref="AK140:AO140"/>
    <mergeCell ref="AP140:AT140"/>
    <mergeCell ref="AU140:AY140"/>
    <mergeCell ref="AZ140:BD140"/>
    <mergeCell ref="V139:AE139"/>
    <mergeCell ref="AF139:AJ139"/>
    <mergeCell ref="AK139:AO139"/>
    <mergeCell ref="AP139:AT139"/>
    <mergeCell ref="AU139:AY139"/>
    <mergeCell ref="AZ139:BD139"/>
    <mergeCell ref="A138:C138"/>
    <mergeCell ref="D138:P138"/>
    <mergeCell ref="Q138:U138"/>
    <mergeCell ref="V138:AE138"/>
    <mergeCell ref="AF138:AJ138"/>
    <mergeCell ref="AK138:AO138"/>
    <mergeCell ref="AP138:AT138"/>
    <mergeCell ref="AU138:AY138"/>
    <mergeCell ref="AZ138:BD138"/>
    <mergeCell ref="BE130:BI130"/>
    <mergeCell ref="BJ130:BN130"/>
    <mergeCell ref="BO130:BS130"/>
    <mergeCell ref="BT130:BX130"/>
    <mergeCell ref="BT129:BX129"/>
    <mergeCell ref="A130:C130"/>
    <mergeCell ref="D130:P130"/>
    <mergeCell ref="Q130:U130"/>
    <mergeCell ref="V130:AE130"/>
    <mergeCell ref="AF130:AJ130"/>
    <mergeCell ref="AK130:AO130"/>
    <mergeCell ref="AP130:AT130"/>
    <mergeCell ref="AU130:AY130"/>
    <mergeCell ref="AZ130:BD130"/>
    <mergeCell ref="AP129:AT129"/>
    <mergeCell ref="AU129:AY129"/>
    <mergeCell ref="AZ129:BD129"/>
    <mergeCell ref="BE129:BI129"/>
    <mergeCell ref="BJ129:BN129"/>
    <mergeCell ref="BO129:BS129"/>
    <mergeCell ref="BE128:BI128"/>
    <mergeCell ref="BJ128:BN128"/>
    <mergeCell ref="BO128:BS128"/>
    <mergeCell ref="BT128:BX128"/>
    <mergeCell ref="A129:C129"/>
    <mergeCell ref="D129:P129"/>
    <mergeCell ref="Q129:U129"/>
    <mergeCell ref="V129:AE129"/>
    <mergeCell ref="AF129:AJ129"/>
    <mergeCell ref="AK129:AO129"/>
    <mergeCell ref="BT127:BX127"/>
    <mergeCell ref="A128:C128"/>
    <mergeCell ref="D128:P128"/>
    <mergeCell ref="Q128:U128"/>
    <mergeCell ref="V128:AE128"/>
    <mergeCell ref="AF128:AJ128"/>
    <mergeCell ref="AK128:AO128"/>
    <mergeCell ref="AP128:AT128"/>
    <mergeCell ref="AU128:AY128"/>
    <mergeCell ref="AZ128:BD128"/>
    <mergeCell ref="AP127:AT127"/>
    <mergeCell ref="AU127:AY127"/>
    <mergeCell ref="AZ127:BD127"/>
    <mergeCell ref="BE127:BI127"/>
    <mergeCell ref="BJ127:BN127"/>
    <mergeCell ref="BO127:BS127"/>
    <mergeCell ref="BE126:BI126"/>
    <mergeCell ref="BJ126:BN126"/>
    <mergeCell ref="BO126:BS126"/>
    <mergeCell ref="BT126:BX126"/>
    <mergeCell ref="A127:C127"/>
    <mergeCell ref="D127:P127"/>
    <mergeCell ref="Q127:U127"/>
    <mergeCell ref="V127:AE127"/>
    <mergeCell ref="AF127:AJ127"/>
    <mergeCell ref="AK127:AO127"/>
    <mergeCell ref="BT125:BX125"/>
    <mergeCell ref="A126:C126"/>
    <mergeCell ref="D126:P126"/>
    <mergeCell ref="Q126:U126"/>
    <mergeCell ref="V126:AE126"/>
    <mergeCell ref="AF126:AJ126"/>
    <mergeCell ref="AK126:AO126"/>
    <mergeCell ref="AP126:AT126"/>
    <mergeCell ref="AU126:AY126"/>
    <mergeCell ref="AZ126:BD126"/>
    <mergeCell ref="AP125:AT125"/>
    <mergeCell ref="AU125:AY125"/>
    <mergeCell ref="AZ125:BD125"/>
    <mergeCell ref="BE125:BI125"/>
    <mergeCell ref="BJ125:BN125"/>
    <mergeCell ref="BO125:BS125"/>
    <mergeCell ref="BE124:BI124"/>
    <mergeCell ref="BJ124:BN124"/>
    <mergeCell ref="BO124:BS124"/>
    <mergeCell ref="BT124:BX124"/>
    <mergeCell ref="A125:C125"/>
    <mergeCell ref="D125:P125"/>
    <mergeCell ref="Q125:U125"/>
    <mergeCell ref="V125:AE125"/>
    <mergeCell ref="AF125:AJ125"/>
    <mergeCell ref="AK125:AO125"/>
    <mergeCell ref="BT123:BX123"/>
    <mergeCell ref="A124:C124"/>
    <mergeCell ref="D124:P124"/>
    <mergeCell ref="Q124:U124"/>
    <mergeCell ref="V124:AE124"/>
    <mergeCell ref="AF124:AJ124"/>
    <mergeCell ref="AK124:AO124"/>
    <mergeCell ref="AP124:AT124"/>
    <mergeCell ref="AU124:AY124"/>
    <mergeCell ref="AZ124:BD124"/>
    <mergeCell ref="AP123:AT123"/>
    <mergeCell ref="AU123:AY123"/>
    <mergeCell ref="AZ123:BD123"/>
    <mergeCell ref="BE123:BI123"/>
    <mergeCell ref="BJ123:BN123"/>
    <mergeCell ref="BO123:BS123"/>
    <mergeCell ref="BE122:BI122"/>
    <mergeCell ref="BJ122:BN122"/>
    <mergeCell ref="BO122:BS122"/>
    <mergeCell ref="BT122:BX122"/>
    <mergeCell ref="A123:C123"/>
    <mergeCell ref="D123:P123"/>
    <mergeCell ref="Q123:U123"/>
    <mergeCell ref="V123:AE123"/>
    <mergeCell ref="AF123:AJ123"/>
    <mergeCell ref="AK123:AO123"/>
    <mergeCell ref="BT121:BX121"/>
    <mergeCell ref="A122:C122"/>
    <mergeCell ref="D122:P122"/>
    <mergeCell ref="Q122:U122"/>
    <mergeCell ref="V122:AE122"/>
    <mergeCell ref="AF122:AJ122"/>
    <mergeCell ref="AK122:AO122"/>
    <mergeCell ref="AP122:AT122"/>
    <mergeCell ref="AU122:AY122"/>
    <mergeCell ref="AZ122:BD122"/>
    <mergeCell ref="AP121:AT121"/>
    <mergeCell ref="AU121:AY121"/>
    <mergeCell ref="AZ121:BD121"/>
    <mergeCell ref="BE121:BI121"/>
    <mergeCell ref="BJ121:BN121"/>
    <mergeCell ref="BO121:BS121"/>
    <mergeCell ref="BE120:BI120"/>
    <mergeCell ref="BJ120:BN120"/>
    <mergeCell ref="BO120:BS120"/>
    <mergeCell ref="BT120:BX120"/>
    <mergeCell ref="A121:C121"/>
    <mergeCell ref="D121:P121"/>
    <mergeCell ref="Q121:U121"/>
    <mergeCell ref="V121:AE121"/>
    <mergeCell ref="AF121:AJ121"/>
    <mergeCell ref="AK121:AO121"/>
    <mergeCell ref="BT119:BX119"/>
    <mergeCell ref="A120:C120"/>
    <mergeCell ref="D120:P120"/>
    <mergeCell ref="Q120:U120"/>
    <mergeCell ref="V120:AE120"/>
    <mergeCell ref="AF120:AJ120"/>
    <mergeCell ref="AK120:AO120"/>
    <mergeCell ref="AP120:AT120"/>
    <mergeCell ref="AU120:AY120"/>
    <mergeCell ref="AZ120:BD120"/>
    <mergeCell ref="AP119:AT119"/>
    <mergeCell ref="AU119:AY119"/>
    <mergeCell ref="AZ119:BD119"/>
    <mergeCell ref="BE119:BI119"/>
    <mergeCell ref="BJ119:BN119"/>
    <mergeCell ref="BO119:BS119"/>
    <mergeCell ref="BE118:BI118"/>
    <mergeCell ref="BJ118:BN118"/>
    <mergeCell ref="BO118:BS118"/>
    <mergeCell ref="BT118:BX118"/>
    <mergeCell ref="A119:C119"/>
    <mergeCell ref="D119:P119"/>
    <mergeCell ref="Q119:U119"/>
    <mergeCell ref="V119:AE119"/>
    <mergeCell ref="AF119:AJ119"/>
    <mergeCell ref="AK119:AO119"/>
    <mergeCell ref="BT117:BX117"/>
    <mergeCell ref="A118:C118"/>
    <mergeCell ref="D118:P118"/>
    <mergeCell ref="Q118:U118"/>
    <mergeCell ref="V118:AE118"/>
    <mergeCell ref="AF118:AJ118"/>
    <mergeCell ref="AK118:AO118"/>
    <mergeCell ref="AP118:AT118"/>
    <mergeCell ref="AU118:AY118"/>
    <mergeCell ref="AZ118:BD118"/>
    <mergeCell ref="AP117:AT117"/>
    <mergeCell ref="AU117:AY117"/>
    <mergeCell ref="AZ117:BD117"/>
    <mergeCell ref="BE117:BI117"/>
    <mergeCell ref="BJ117:BN117"/>
    <mergeCell ref="BO117:BS117"/>
    <mergeCell ref="BE116:BI116"/>
    <mergeCell ref="BJ116:BN116"/>
    <mergeCell ref="BO116:BS116"/>
    <mergeCell ref="BT116:BX116"/>
    <mergeCell ref="A117:C117"/>
    <mergeCell ref="D117:P117"/>
    <mergeCell ref="Q117:U117"/>
    <mergeCell ref="V117:AE117"/>
    <mergeCell ref="AF117:AJ117"/>
    <mergeCell ref="AK117:AO117"/>
    <mergeCell ref="BT115:BX115"/>
    <mergeCell ref="A116:C116"/>
    <mergeCell ref="D116:P116"/>
    <mergeCell ref="Q116:U116"/>
    <mergeCell ref="V116:AE116"/>
    <mergeCell ref="AF116:AJ116"/>
    <mergeCell ref="AK116:AO116"/>
    <mergeCell ref="AP116:AT116"/>
    <mergeCell ref="AU116:AY116"/>
    <mergeCell ref="AZ116:BD116"/>
    <mergeCell ref="AP115:AT115"/>
    <mergeCell ref="AU115:AY115"/>
    <mergeCell ref="AZ115:BD115"/>
    <mergeCell ref="BE115:BI115"/>
    <mergeCell ref="BJ115:BN115"/>
    <mergeCell ref="BO115:BS115"/>
    <mergeCell ref="BE114:BI114"/>
    <mergeCell ref="BJ114:BN114"/>
    <mergeCell ref="BO114:BS114"/>
    <mergeCell ref="BT114:BX114"/>
    <mergeCell ref="A115:C115"/>
    <mergeCell ref="D115:P115"/>
    <mergeCell ref="Q115:U115"/>
    <mergeCell ref="V115:AE115"/>
    <mergeCell ref="AF115:AJ115"/>
    <mergeCell ref="AK115:AO115"/>
    <mergeCell ref="BT113:BX113"/>
    <mergeCell ref="A114:C114"/>
    <mergeCell ref="D114:P114"/>
    <mergeCell ref="Q114:U114"/>
    <mergeCell ref="V114:AE114"/>
    <mergeCell ref="AF114:AJ114"/>
    <mergeCell ref="AK114:AO114"/>
    <mergeCell ref="AP114:AT114"/>
    <mergeCell ref="AU114:AY114"/>
    <mergeCell ref="AZ114:BD114"/>
    <mergeCell ref="AP113:AT113"/>
    <mergeCell ref="AU113:AY113"/>
    <mergeCell ref="AZ113:BD113"/>
    <mergeCell ref="BE113:BI113"/>
    <mergeCell ref="BJ113:BN113"/>
    <mergeCell ref="BO113:BS113"/>
    <mergeCell ref="BE112:BI112"/>
    <mergeCell ref="BJ112:BN112"/>
    <mergeCell ref="BO112:BS112"/>
    <mergeCell ref="BT112:BX112"/>
    <mergeCell ref="A113:C113"/>
    <mergeCell ref="D113:P113"/>
    <mergeCell ref="Q113:U113"/>
    <mergeCell ref="V113:AE113"/>
    <mergeCell ref="AF113:AJ113"/>
    <mergeCell ref="AK113:AO113"/>
    <mergeCell ref="BT111:BX111"/>
    <mergeCell ref="A112:C112"/>
    <mergeCell ref="D112:P112"/>
    <mergeCell ref="Q112:U112"/>
    <mergeCell ref="V112:AE112"/>
    <mergeCell ref="AF112:AJ112"/>
    <mergeCell ref="AK112:AO112"/>
    <mergeCell ref="AP112:AT112"/>
    <mergeCell ref="AU112:AY112"/>
    <mergeCell ref="AZ112:BD112"/>
    <mergeCell ref="AP111:AT111"/>
    <mergeCell ref="AU111:AY111"/>
    <mergeCell ref="AZ111:BD111"/>
    <mergeCell ref="BE111:BI111"/>
    <mergeCell ref="BJ111:BN111"/>
    <mergeCell ref="BO111:BS111"/>
    <mergeCell ref="BE110:BI110"/>
    <mergeCell ref="BJ110:BN110"/>
    <mergeCell ref="BO110:BS110"/>
    <mergeCell ref="BT110:BX110"/>
    <mergeCell ref="A111:C111"/>
    <mergeCell ref="D111:P111"/>
    <mergeCell ref="Q111:U111"/>
    <mergeCell ref="V111:AE111"/>
    <mergeCell ref="AF111:AJ111"/>
    <mergeCell ref="AK111:AO111"/>
    <mergeCell ref="BT109:BX109"/>
    <mergeCell ref="A110:C110"/>
    <mergeCell ref="D110:P110"/>
    <mergeCell ref="Q110:U110"/>
    <mergeCell ref="V110:AE110"/>
    <mergeCell ref="AF110:AJ110"/>
    <mergeCell ref="AK110:AO110"/>
    <mergeCell ref="AP110:AT110"/>
    <mergeCell ref="AU110:AY110"/>
    <mergeCell ref="AZ110:BD110"/>
    <mergeCell ref="AP109:AT109"/>
    <mergeCell ref="AU109:AY109"/>
    <mergeCell ref="AZ109:BD109"/>
    <mergeCell ref="BE109:BI109"/>
    <mergeCell ref="BJ109:BN109"/>
    <mergeCell ref="BO109:BS109"/>
    <mergeCell ref="BE108:BI108"/>
    <mergeCell ref="BJ108:BN108"/>
    <mergeCell ref="BO108:BS108"/>
    <mergeCell ref="BT108:BX108"/>
    <mergeCell ref="A109:C109"/>
    <mergeCell ref="D109:P109"/>
    <mergeCell ref="Q109:U109"/>
    <mergeCell ref="V109:AE109"/>
    <mergeCell ref="AF109:AJ109"/>
    <mergeCell ref="AK109:AO109"/>
    <mergeCell ref="BT107:BX107"/>
    <mergeCell ref="A108:C108"/>
    <mergeCell ref="D108:P108"/>
    <mergeCell ref="Q108:U108"/>
    <mergeCell ref="V108:AE108"/>
    <mergeCell ref="AF108:AJ108"/>
    <mergeCell ref="AK108:AO108"/>
    <mergeCell ref="AP108:AT108"/>
    <mergeCell ref="AU108:AY108"/>
    <mergeCell ref="AZ108:BD108"/>
    <mergeCell ref="AP107:AT107"/>
    <mergeCell ref="AU107:AY107"/>
    <mergeCell ref="AZ107:BD107"/>
    <mergeCell ref="BE107:BI107"/>
    <mergeCell ref="BJ107:BN107"/>
    <mergeCell ref="BO107:BS107"/>
    <mergeCell ref="BE106:BI106"/>
    <mergeCell ref="BJ106:BN106"/>
    <mergeCell ref="BO106:BS106"/>
    <mergeCell ref="BT106:BX106"/>
    <mergeCell ref="A107:C107"/>
    <mergeCell ref="D107:P107"/>
    <mergeCell ref="Q107:U107"/>
    <mergeCell ref="V107:AE107"/>
    <mergeCell ref="AF107:AJ107"/>
    <mergeCell ref="AK107:AO107"/>
    <mergeCell ref="A106:C106"/>
    <mergeCell ref="D106:P106"/>
    <mergeCell ref="Q106:U106"/>
    <mergeCell ref="V106:AE106"/>
    <mergeCell ref="AF106:AJ106"/>
    <mergeCell ref="AK106:AO106"/>
    <mergeCell ref="AP106:AT106"/>
    <mergeCell ref="AU106:AY106"/>
    <mergeCell ref="AZ106:BD106"/>
    <mergeCell ref="BD96:BH96"/>
    <mergeCell ref="A96:C96"/>
    <mergeCell ref="D96:T96"/>
    <mergeCell ref="U96:Y96"/>
    <mergeCell ref="Z96:AD96"/>
    <mergeCell ref="AE96:AI96"/>
    <mergeCell ref="BU87:BY87"/>
    <mergeCell ref="AS87:AW87"/>
    <mergeCell ref="AX87:BA87"/>
    <mergeCell ref="BB87:BF87"/>
    <mergeCell ref="BG87:BK87"/>
    <mergeCell ref="BL87:BP87"/>
    <mergeCell ref="BQ87:BT87"/>
    <mergeCell ref="A87:C87"/>
    <mergeCell ref="D87:T87"/>
    <mergeCell ref="U87:Y87"/>
    <mergeCell ref="Z87:AD87"/>
    <mergeCell ref="AE87:AH87"/>
    <mergeCell ref="AI87:AM87"/>
    <mergeCell ref="AN87:AR87"/>
    <mergeCell ref="A68:D68"/>
    <mergeCell ref="E68:W68"/>
    <mergeCell ref="X68:AB68"/>
    <mergeCell ref="AC68:AG68"/>
    <mergeCell ref="AH68:AL68"/>
    <mergeCell ref="AM68:AQ68"/>
    <mergeCell ref="AR68:AV68"/>
    <mergeCell ref="BU51:BY51"/>
    <mergeCell ref="AS51:AW51"/>
    <mergeCell ref="AX51:BA51"/>
    <mergeCell ref="BB51:BF51"/>
    <mergeCell ref="BG51:BK51"/>
    <mergeCell ref="BL51:BP51"/>
    <mergeCell ref="BQ51:BT51"/>
    <mergeCell ref="A51:D51"/>
    <mergeCell ref="E51:T51"/>
    <mergeCell ref="U51:Y51"/>
    <mergeCell ref="Z51:AD51"/>
    <mergeCell ref="AE51:AH51"/>
    <mergeCell ref="AI51:AM51"/>
    <mergeCell ref="AN51:AR51"/>
    <mergeCell ref="A40:D40"/>
    <mergeCell ref="E40:W40"/>
    <mergeCell ref="X40:AB40"/>
    <mergeCell ref="AC40:AG40"/>
    <mergeCell ref="AH40:AL40"/>
    <mergeCell ref="AM40:AQ40"/>
    <mergeCell ref="AR40:AV40"/>
    <mergeCell ref="BB31:BF31"/>
    <mergeCell ref="BG31:BK31"/>
    <mergeCell ref="BL31:BP31"/>
    <mergeCell ref="BQ31:BT31"/>
    <mergeCell ref="BU31:BY31"/>
    <mergeCell ref="A256:AA256"/>
    <mergeCell ref="AH256:AP256"/>
    <mergeCell ref="AU256:BF256"/>
    <mergeCell ref="AH257:AP257"/>
    <mergeCell ref="AU257:BF257"/>
    <mergeCell ref="A31:D31"/>
    <mergeCell ref="E31:T31"/>
    <mergeCell ref="U31:Y31"/>
    <mergeCell ref="Z31:AD31"/>
    <mergeCell ref="AE31:AH31"/>
    <mergeCell ref="A249:BL249"/>
    <mergeCell ref="A253:AA253"/>
    <mergeCell ref="AH253:AP253"/>
    <mergeCell ref="AU253:BF253"/>
    <mergeCell ref="AH254:AP254"/>
    <mergeCell ref="AU254:BF254"/>
    <mergeCell ref="AW241:BD241"/>
    <mergeCell ref="BE241:BL241"/>
    <mergeCell ref="A243:BL243"/>
    <mergeCell ref="A244:BL244"/>
    <mergeCell ref="A247:BL247"/>
    <mergeCell ref="A248:BL248"/>
    <mergeCell ref="AQ240:AV240"/>
    <mergeCell ref="AW240:BD240"/>
    <mergeCell ref="BE240:BL240"/>
    <mergeCell ref="A241:F241"/>
    <mergeCell ref="G241:S241"/>
    <mergeCell ref="T241:Y241"/>
    <mergeCell ref="Z241:AD241"/>
    <mergeCell ref="AE241:AJ241"/>
    <mergeCell ref="AK241:AP241"/>
    <mergeCell ref="AQ241:AV241"/>
    <mergeCell ref="A240:F240"/>
    <mergeCell ref="G240:S240"/>
    <mergeCell ref="T240:Y240"/>
    <mergeCell ref="Z240:AD240"/>
    <mergeCell ref="AE240:AJ240"/>
    <mergeCell ref="AK240:AP240"/>
    <mergeCell ref="BE237:BL238"/>
    <mergeCell ref="A239:F239"/>
    <mergeCell ref="G239:S239"/>
    <mergeCell ref="T239:Y239"/>
    <mergeCell ref="Z239:AD239"/>
    <mergeCell ref="AE239:AJ239"/>
    <mergeCell ref="AK239:AP239"/>
    <mergeCell ref="AQ239:AV239"/>
    <mergeCell ref="AW239:BD239"/>
    <mergeCell ref="BE239:BL239"/>
    <mergeCell ref="A235:BL235"/>
    <mergeCell ref="A236:BL236"/>
    <mergeCell ref="A237:F238"/>
    <mergeCell ref="G237:S238"/>
    <mergeCell ref="T237:Y238"/>
    <mergeCell ref="Z237:AD238"/>
    <mergeCell ref="AE237:AJ238"/>
    <mergeCell ref="AK237:AP238"/>
    <mergeCell ref="AQ237:AV238"/>
    <mergeCell ref="AW237:BD238"/>
    <mergeCell ref="AJ233:AN233"/>
    <mergeCell ref="AO233:AS233"/>
    <mergeCell ref="AT233:AW233"/>
    <mergeCell ref="AX233:BB233"/>
    <mergeCell ref="BC233:BG233"/>
    <mergeCell ref="BH233:BL233"/>
    <mergeCell ref="A233:F233"/>
    <mergeCell ref="G233:P233"/>
    <mergeCell ref="Q233:U233"/>
    <mergeCell ref="V233:Y233"/>
    <mergeCell ref="Z233:AD233"/>
    <mergeCell ref="AE233:AI233"/>
    <mergeCell ref="AJ232:AN232"/>
    <mergeCell ref="AO232:AS232"/>
    <mergeCell ref="AT232:AW232"/>
    <mergeCell ref="AX232:BB232"/>
    <mergeCell ref="BC232:BG232"/>
    <mergeCell ref="BH232:BL232"/>
    <mergeCell ref="A232:F232"/>
    <mergeCell ref="G232:P232"/>
    <mergeCell ref="Q232:U232"/>
    <mergeCell ref="V232:Y232"/>
    <mergeCell ref="Z232:AD232"/>
    <mergeCell ref="AE232:AI232"/>
    <mergeCell ref="AJ231:AN231"/>
    <mergeCell ref="AO231:AS231"/>
    <mergeCell ref="AT231:AW231"/>
    <mergeCell ref="AX231:BB231"/>
    <mergeCell ref="BC231:BG231"/>
    <mergeCell ref="BH231:BL231"/>
    <mergeCell ref="A231:F231"/>
    <mergeCell ref="G231:P231"/>
    <mergeCell ref="Q231:U231"/>
    <mergeCell ref="V231:Y231"/>
    <mergeCell ref="Z231:AD231"/>
    <mergeCell ref="AE231:AI231"/>
    <mergeCell ref="AT229:AW230"/>
    <mergeCell ref="AX229:BG229"/>
    <mergeCell ref="BH229:BL230"/>
    <mergeCell ref="Z230:AD230"/>
    <mergeCell ref="AE230:AI230"/>
    <mergeCell ref="AX230:BB230"/>
    <mergeCell ref="BC230:BG230"/>
    <mergeCell ref="A227:BL227"/>
    <mergeCell ref="A228:F230"/>
    <mergeCell ref="G228:P230"/>
    <mergeCell ref="Q228:AN228"/>
    <mergeCell ref="AO228:BL228"/>
    <mergeCell ref="Q229:U230"/>
    <mergeCell ref="V229:Y230"/>
    <mergeCell ref="Z229:AI229"/>
    <mergeCell ref="AJ229:AN230"/>
    <mergeCell ref="AO229:AS230"/>
    <mergeCell ref="AK224:AP224"/>
    <mergeCell ref="AQ224:AV224"/>
    <mergeCell ref="AW224:BA224"/>
    <mergeCell ref="BB224:BF224"/>
    <mergeCell ref="BG224:BL224"/>
    <mergeCell ref="A226:BL226"/>
    <mergeCell ref="AK223:AP223"/>
    <mergeCell ref="AQ223:AV223"/>
    <mergeCell ref="AW223:BA223"/>
    <mergeCell ref="BB223:BF223"/>
    <mergeCell ref="BG223:BL223"/>
    <mergeCell ref="A224:F224"/>
    <mergeCell ref="G224:S224"/>
    <mergeCell ref="T224:Y224"/>
    <mergeCell ref="Z224:AD224"/>
    <mergeCell ref="AE224:AJ224"/>
    <mergeCell ref="AK222:AP222"/>
    <mergeCell ref="AQ222:AV222"/>
    <mergeCell ref="AW222:BA222"/>
    <mergeCell ref="BB222:BF222"/>
    <mergeCell ref="BG222:BL222"/>
    <mergeCell ref="A223:F223"/>
    <mergeCell ref="G223:S223"/>
    <mergeCell ref="T223:Y223"/>
    <mergeCell ref="Z223:AD223"/>
    <mergeCell ref="AE223:AJ223"/>
    <mergeCell ref="AQ220:AV221"/>
    <mergeCell ref="AW220:BF220"/>
    <mergeCell ref="BG220:BL221"/>
    <mergeCell ref="AW221:BA221"/>
    <mergeCell ref="BB221:BF221"/>
    <mergeCell ref="A222:F222"/>
    <mergeCell ref="G222:S222"/>
    <mergeCell ref="T222:Y222"/>
    <mergeCell ref="Z222:AD222"/>
    <mergeCell ref="AE222:AJ222"/>
    <mergeCell ref="A220:F221"/>
    <mergeCell ref="G220:S221"/>
    <mergeCell ref="T220:Y221"/>
    <mergeCell ref="Z220:AD221"/>
    <mergeCell ref="AE220:AJ221"/>
    <mergeCell ref="AK220:AP221"/>
    <mergeCell ref="BP210:BS210"/>
    <mergeCell ref="A213:BL213"/>
    <mergeCell ref="A214:BL214"/>
    <mergeCell ref="A217:BL217"/>
    <mergeCell ref="A218:BL218"/>
    <mergeCell ref="A219:BL219"/>
    <mergeCell ref="AO210:AR210"/>
    <mergeCell ref="AS210:AW210"/>
    <mergeCell ref="AX210:BA210"/>
    <mergeCell ref="BB210:BF210"/>
    <mergeCell ref="BG210:BJ210"/>
    <mergeCell ref="BK210:BO210"/>
    <mergeCell ref="BB209:BF209"/>
    <mergeCell ref="BG209:BJ209"/>
    <mergeCell ref="BK209:BO209"/>
    <mergeCell ref="BP209:BS209"/>
    <mergeCell ref="A210:M210"/>
    <mergeCell ref="N210:U210"/>
    <mergeCell ref="V210:Z210"/>
    <mergeCell ref="AA210:AE210"/>
    <mergeCell ref="AF210:AI210"/>
    <mergeCell ref="AJ210:AN210"/>
    <mergeCell ref="BP208:BS208"/>
    <mergeCell ref="A209:M209"/>
    <mergeCell ref="N209:U209"/>
    <mergeCell ref="V209:Z209"/>
    <mergeCell ref="AA209:AE209"/>
    <mergeCell ref="AF209:AI209"/>
    <mergeCell ref="AJ209:AN209"/>
    <mergeCell ref="AO209:AR209"/>
    <mergeCell ref="AS209:AW209"/>
    <mergeCell ref="AX209:BA209"/>
    <mergeCell ref="AO208:AR208"/>
    <mergeCell ref="AS208:AW208"/>
    <mergeCell ref="AX208:BA208"/>
    <mergeCell ref="BB208:BF208"/>
    <mergeCell ref="BG208:BJ208"/>
    <mergeCell ref="BK208:BO208"/>
    <mergeCell ref="BB207:BF207"/>
    <mergeCell ref="BG207:BJ207"/>
    <mergeCell ref="BK207:BO207"/>
    <mergeCell ref="BP207:BS207"/>
    <mergeCell ref="A208:M208"/>
    <mergeCell ref="N208:U208"/>
    <mergeCell ref="V208:Z208"/>
    <mergeCell ref="AA208:AE208"/>
    <mergeCell ref="AF208:AI208"/>
    <mergeCell ref="AJ208:AN208"/>
    <mergeCell ref="AA207:AE207"/>
    <mergeCell ref="AF207:AI207"/>
    <mergeCell ref="AJ207:AN207"/>
    <mergeCell ref="AO207:AR207"/>
    <mergeCell ref="AS207:AW207"/>
    <mergeCell ref="AX207:BA207"/>
    <mergeCell ref="A204:BL204"/>
    <mergeCell ref="A205:BM205"/>
    <mergeCell ref="A206:M207"/>
    <mergeCell ref="N206:U207"/>
    <mergeCell ref="V206:Z207"/>
    <mergeCell ref="AA206:AI206"/>
    <mergeCell ref="AJ206:AR206"/>
    <mergeCell ref="AS206:BA206"/>
    <mergeCell ref="BB206:BJ206"/>
    <mergeCell ref="BK206:BS206"/>
    <mergeCell ref="AZ199:BD199"/>
    <mergeCell ref="A200:F200"/>
    <mergeCell ref="G200:S200"/>
    <mergeCell ref="T200:Z200"/>
    <mergeCell ref="AA200:AE200"/>
    <mergeCell ref="AF200:AJ200"/>
    <mergeCell ref="AK200:AO200"/>
    <mergeCell ref="AP200:AT200"/>
    <mergeCell ref="AU200:AY200"/>
    <mergeCell ref="AZ200:BD200"/>
    <mergeCell ref="AU198:AY198"/>
    <mergeCell ref="AZ198:BD198"/>
    <mergeCell ref="A199:F199"/>
    <mergeCell ref="G199:S199"/>
    <mergeCell ref="T199:Z199"/>
    <mergeCell ref="AA199:AE199"/>
    <mergeCell ref="AF199:AJ199"/>
    <mergeCell ref="AK199:AO199"/>
    <mergeCell ref="AP199:AT199"/>
    <mergeCell ref="AU199:AY199"/>
    <mergeCell ref="AP197:AT197"/>
    <mergeCell ref="AU197:AY197"/>
    <mergeCell ref="AZ197:BD197"/>
    <mergeCell ref="A198:F198"/>
    <mergeCell ref="G198:S198"/>
    <mergeCell ref="T198:Z198"/>
    <mergeCell ref="AA198:AE198"/>
    <mergeCell ref="AF198:AJ198"/>
    <mergeCell ref="AK198:AO198"/>
    <mergeCell ref="AP198:AT198"/>
    <mergeCell ref="A194:BL194"/>
    <mergeCell ref="A195:BD195"/>
    <mergeCell ref="A196:F197"/>
    <mergeCell ref="G196:S197"/>
    <mergeCell ref="T196:Z197"/>
    <mergeCell ref="AA196:AO196"/>
    <mergeCell ref="AP196:BD196"/>
    <mergeCell ref="AA197:AE197"/>
    <mergeCell ref="AF197:AJ197"/>
    <mergeCell ref="AK197:AO197"/>
    <mergeCell ref="AP191:AT191"/>
    <mergeCell ref="AU191:AY191"/>
    <mergeCell ref="AZ191:BD191"/>
    <mergeCell ref="BE191:BI191"/>
    <mergeCell ref="BJ191:BN191"/>
    <mergeCell ref="BO191:BS191"/>
    <mergeCell ref="A191:F191"/>
    <mergeCell ref="G191:S191"/>
    <mergeCell ref="T191:Z191"/>
    <mergeCell ref="AA191:AE191"/>
    <mergeCell ref="AF191:AJ191"/>
    <mergeCell ref="AK191:AO191"/>
    <mergeCell ref="AP190:AT190"/>
    <mergeCell ref="AU190:AY190"/>
    <mergeCell ref="AZ190:BD190"/>
    <mergeCell ref="BE190:BI190"/>
    <mergeCell ref="BJ190:BN190"/>
    <mergeCell ref="BO190:BS190"/>
    <mergeCell ref="A190:F190"/>
    <mergeCell ref="G190:S190"/>
    <mergeCell ref="T190:Z190"/>
    <mergeCell ref="AA190:AE190"/>
    <mergeCell ref="AF190:AJ190"/>
    <mergeCell ref="AK190:AO190"/>
    <mergeCell ref="AP189:AT189"/>
    <mergeCell ref="AU189:AY189"/>
    <mergeCell ref="AZ189:BD189"/>
    <mergeCell ref="BE189:BI189"/>
    <mergeCell ref="BJ189:BN189"/>
    <mergeCell ref="BO189:BS189"/>
    <mergeCell ref="A189:F189"/>
    <mergeCell ref="G189:S189"/>
    <mergeCell ref="T189:Z189"/>
    <mergeCell ref="AA189:AE189"/>
    <mergeCell ref="AF189:AJ189"/>
    <mergeCell ref="AK189:AO189"/>
    <mergeCell ref="AP188:AT188"/>
    <mergeCell ref="AU188:AY188"/>
    <mergeCell ref="AZ188:BD188"/>
    <mergeCell ref="BE188:BI188"/>
    <mergeCell ref="BJ188:BN188"/>
    <mergeCell ref="BO188:BS188"/>
    <mergeCell ref="A186:BS186"/>
    <mergeCell ref="A187:F188"/>
    <mergeCell ref="G187:S188"/>
    <mergeCell ref="T187:Z188"/>
    <mergeCell ref="AA187:AO187"/>
    <mergeCell ref="AP187:BD187"/>
    <mergeCell ref="BE187:BS187"/>
    <mergeCell ref="AA188:AE188"/>
    <mergeCell ref="AF188:AJ188"/>
    <mergeCell ref="AK188:AO188"/>
    <mergeCell ref="BA180:BC180"/>
    <mergeCell ref="BD180:BF180"/>
    <mergeCell ref="BG180:BI180"/>
    <mergeCell ref="BJ180:BL180"/>
    <mergeCell ref="A184:BL184"/>
    <mergeCell ref="A185:BS185"/>
    <mergeCell ref="AL181:AN181"/>
    <mergeCell ref="AO181:AQ181"/>
    <mergeCell ref="AR181:AT181"/>
    <mergeCell ref="AU181:AW181"/>
    <mergeCell ref="AI180:AK180"/>
    <mergeCell ref="AL180:AN180"/>
    <mergeCell ref="AO180:AQ180"/>
    <mergeCell ref="AR180:AT180"/>
    <mergeCell ref="AU180:AW180"/>
    <mergeCell ref="AX180:AZ180"/>
    <mergeCell ref="BA179:BC179"/>
    <mergeCell ref="BD179:BF179"/>
    <mergeCell ref="BG179:BI179"/>
    <mergeCell ref="BJ179:BL179"/>
    <mergeCell ref="A180:C180"/>
    <mergeCell ref="D180:V180"/>
    <mergeCell ref="W180:Y180"/>
    <mergeCell ref="Z180:AB180"/>
    <mergeCell ref="AC180:AE180"/>
    <mergeCell ref="AF180:AH180"/>
    <mergeCell ref="AI179:AK179"/>
    <mergeCell ref="AL179:AN179"/>
    <mergeCell ref="AO179:AQ179"/>
    <mergeCell ref="AR179:AT179"/>
    <mergeCell ref="AU179:AW179"/>
    <mergeCell ref="AX179:AZ179"/>
    <mergeCell ref="BA178:BC178"/>
    <mergeCell ref="BD178:BF178"/>
    <mergeCell ref="BG178:BI178"/>
    <mergeCell ref="BJ178:BL178"/>
    <mergeCell ref="A179:C179"/>
    <mergeCell ref="D179:V179"/>
    <mergeCell ref="W179:Y179"/>
    <mergeCell ref="Z179:AB179"/>
    <mergeCell ref="AC179:AE179"/>
    <mergeCell ref="AF179:AH179"/>
    <mergeCell ref="AI178:AK178"/>
    <mergeCell ref="AL178:AN178"/>
    <mergeCell ref="AO178:AQ178"/>
    <mergeCell ref="AR178:AT178"/>
    <mergeCell ref="AU178:AW178"/>
    <mergeCell ref="AX178:AZ178"/>
    <mergeCell ref="A178:C178"/>
    <mergeCell ref="D178:V178"/>
    <mergeCell ref="W178:Y178"/>
    <mergeCell ref="Z178:AB178"/>
    <mergeCell ref="AC178:AE178"/>
    <mergeCell ref="AF178:AH178"/>
    <mergeCell ref="BJ176:BL177"/>
    <mergeCell ref="W177:Y177"/>
    <mergeCell ref="Z177:AB177"/>
    <mergeCell ref="AC177:AE177"/>
    <mergeCell ref="AF177:AH177"/>
    <mergeCell ref="AI177:AK177"/>
    <mergeCell ref="AL177:AN177"/>
    <mergeCell ref="AO177:AQ177"/>
    <mergeCell ref="AR177:AT177"/>
    <mergeCell ref="BG175:BL175"/>
    <mergeCell ref="W176:AB176"/>
    <mergeCell ref="AC176:AH176"/>
    <mergeCell ref="AI176:AN176"/>
    <mergeCell ref="AO176:AT176"/>
    <mergeCell ref="AU176:AW177"/>
    <mergeCell ref="AX176:AZ177"/>
    <mergeCell ref="BA176:BC177"/>
    <mergeCell ref="BD176:BF177"/>
    <mergeCell ref="BG176:BI177"/>
    <mergeCell ref="A175:C177"/>
    <mergeCell ref="D175:V177"/>
    <mergeCell ref="W175:AH175"/>
    <mergeCell ref="AI175:AT175"/>
    <mergeCell ref="AU175:AZ175"/>
    <mergeCell ref="BA175:BF175"/>
    <mergeCell ref="AT170:AX170"/>
    <mergeCell ref="AY170:BC170"/>
    <mergeCell ref="BD170:BH170"/>
    <mergeCell ref="BI170:BM170"/>
    <mergeCell ref="BN170:BR170"/>
    <mergeCell ref="A174:BL174"/>
    <mergeCell ref="BI171:BM171"/>
    <mergeCell ref="BN171:BR171"/>
    <mergeCell ref="A170:T170"/>
    <mergeCell ref="U170:Y170"/>
    <mergeCell ref="Z170:AD170"/>
    <mergeCell ref="AE170:AI170"/>
    <mergeCell ref="AJ170:AN170"/>
    <mergeCell ref="AO170:AS170"/>
    <mergeCell ref="AO169:AS169"/>
    <mergeCell ref="AT169:AX169"/>
    <mergeCell ref="AY169:BC169"/>
    <mergeCell ref="BD169:BH169"/>
    <mergeCell ref="BI169:BM169"/>
    <mergeCell ref="BN169:BR169"/>
    <mergeCell ref="AT168:AX168"/>
    <mergeCell ref="AY168:BC168"/>
    <mergeCell ref="BD168:BH168"/>
    <mergeCell ref="BI168:BM168"/>
    <mergeCell ref="BN168:BR168"/>
    <mergeCell ref="A169:T169"/>
    <mergeCell ref="U169:Y169"/>
    <mergeCell ref="Z169:AD169"/>
    <mergeCell ref="AE169:AI169"/>
    <mergeCell ref="AJ169:AN169"/>
    <mergeCell ref="A168:T168"/>
    <mergeCell ref="U168:Y168"/>
    <mergeCell ref="Z168:AD168"/>
    <mergeCell ref="AE168:AI168"/>
    <mergeCell ref="AJ168:AN168"/>
    <mergeCell ref="AO168:AS168"/>
    <mergeCell ref="AO167:AS167"/>
    <mergeCell ref="AT167:AX167"/>
    <mergeCell ref="AY167:BC167"/>
    <mergeCell ref="BD167:BH167"/>
    <mergeCell ref="BI167:BM167"/>
    <mergeCell ref="BN167:BR167"/>
    <mergeCell ref="A166:T167"/>
    <mergeCell ref="U166:AD166"/>
    <mergeCell ref="AE166:AN166"/>
    <mergeCell ref="AO166:AX166"/>
    <mergeCell ref="AY166:BH166"/>
    <mergeCell ref="BI166:BR166"/>
    <mergeCell ref="U167:Y167"/>
    <mergeCell ref="Z167:AD167"/>
    <mergeCell ref="AE167:AI167"/>
    <mergeCell ref="AJ167:AN167"/>
    <mergeCell ref="AP137:AT137"/>
    <mergeCell ref="AU137:AY137"/>
    <mergeCell ref="AZ137:BD137"/>
    <mergeCell ref="BE137:BI137"/>
    <mergeCell ref="A164:BL164"/>
    <mergeCell ref="A165:BR165"/>
    <mergeCell ref="BE138:BI138"/>
    <mergeCell ref="A139:C139"/>
    <mergeCell ref="D139:P139"/>
    <mergeCell ref="Q139:U139"/>
    <mergeCell ref="AP136:AT136"/>
    <mergeCell ref="AU136:AY136"/>
    <mergeCell ref="AZ136:BD136"/>
    <mergeCell ref="BE136:BI136"/>
    <mergeCell ref="A137:C137"/>
    <mergeCell ref="D137:P137"/>
    <mergeCell ref="Q137:U137"/>
    <mergeCell ref="V137:AE137"/>
    <mergeCell ref="AF137:AJ137"/>
    <mergeCell ref="AK137:AO137"/>
    <mergeCell ref="AP135:AT135"/>
    <mergeCell ref="AU135:AY135"/>
    <mergeCell ref="AZ135:BD135"/>
    <mergeCell ref="BE135:BI135"/>
    <mergeCell ref="A136:C136"/>
    <mergeCell ref="D136:P136"/>
    <mergeCell ref="Q136:U136"/>
    <mergeCell ref="V136:AE136"/>
    <mergeCell ref="AF136:AJ136"/>
    <mergeCell ref="AK136:AO136"/>
    <mergeCell ref="AP134:AT134"/>
    <mergeCell ref="AU134:AY134"/>
    <mergeCell ref="AZ134:BD134"/>
    <mergeCell ref="BE134:BI134"/>
    <mergeCell ref="A135:C135"/>
    <mergeCell ref="D135:P135"/>
    <mergeCell ref="Q135:U135"/>
    <mergeCell ref="V135:AE135"/>
    <mergeCell ref="AF135:AJ135"/>
    <mergeCell ref="AK135:AO135"/>
    <mergeCell ref="BT105:BX105"/>
    <mergeCell ref="A132:BL132"/>
    <mergeCell ref="A133:C134"/>
    <mergeCell ref="D133:P134"/>
    <mergeCell ref="Q133:U134"/>
    <mergeCell ref="V133:AE134"/>
    <mergeCell ref="AF133:AT133"/>
    <mergeCell ref="AU133:BI133"/>
    <mergeCell ref="AF134:AJ134"/>
    <mergeCell ref="AK134:AO134"/>
    <mergeCell ref="AP105:AT105"/>
    <mergeCell ref="AU105:AY105"/>
    <mergeCell ref="AZ105:BD105"/>
    <mergeCell ref="BE105:BI105"/>
    <mergeCell ref="BJ105:BN105"/>
    <mergeCell ref="BO105:BS105"/>
    <mergeCell ref="BE104:BI104"/>
    <mergeCell ref="BJ104:BN104"/>
    <mergeCell ref="BO104:BS104"/>
    <mergeCell ref="BT104:BX104"/>
    <mergeCell ref="A105:C105"/>
    <mergeCell ref="D105:P105"/>
    <mergeCell ref="Q105:U105"/>
    <mergeCell ref="V105:AE105"/>
    <mergeCell ref="AF105:AJ105"/>
    <mergeCell ref="AK105:AO105"/>
    <mergeCell ref="BT103:BX103"/>
    <mergeCell ref="A104:C104"/>
    <mergeCell ref="D104:P104"/>
    <mergeCell ref="Q104:U104"/>
    <mergeCell ref="V104:AE104"/>
    <mergeCell ref="AF104:AJ104"/>
    <mergeCell ref="AK104:AO104"/>
    <mergeCell ref="AP104:AT104"/>
    <mergeCell ref="AU104:AY104"/>
    <mergeCell ref="AZ104:BD104"/>
    <mergeCell ref="AP103:AT103"/>
    <mergeCell ref="AU103:AY103"/>
    <mergeCell ref="AZ103:BD103"/>
    <mergeCell ref="BE103:BI103"/>
    <mergeCell ref="BJ103:BN103"/>
    <mergeCell ref="BO103:BS103"/>
    <mergeCell ref="A103:C103"/>
    <mergeCell ref="D103:P103"/>
    <mergeCell ref="Q103:U103"/>
    <mergeCell ref="V103:AE103"/>
    <mergeCell ref="AF103:AJ103"/>
    <mergeCell ref="AK103:AO103"/>
    <mergeCell ref="BJ101:BX101"/>
    <mergeCell ref="AF102:AJ102"/>
    <mergeCell ref="AK102:AO102"/>
    <mergeCell ref="AP102:AT102"/>
    <mergeCell ref="AU102:AY102"/>
    <mergeCell ref="AZ102:BD102"/>
    <mergeCell ref="BE102:BI102"/>
    <mergeCell ref="BJ102:BN102"/>
    <mergeCell ref="BO102:BS102"/>
    <mergeCell ref="BT102:BX102"/>
    <mergeCell ref="A101:C102"/>
    <mergeCell ref="D101:P102"/>
    <mergeCell ref="Q101:U102"/>
    <mergeCell ref="V101:AE102"/>
    <mergeCell ref="AF101:AT101"/>
    <mergeCell ref="AU101:BI101"/>
    <mergeCell ref="AO95:AS95"/>
    <mergeCell ref="AT95:AX95"/>
    <mergeCell ref="AY95:BC95"/>
    <mergeCell ref="BD95:BH95"/>
    <mergeCell ref="A99:BL99"/>
    <mergeCell ref="A100:BL100"/>
    <mergeCell ref="AJ96:AN96"/>
    <mergeCell ref="AO96:AS96"/>
    <mergeCell ref="AT96:AX96"/>
    <mergeCell ref="AY96:BC96"/>
    <mergeCell ref="AO94:AS94"/>
    <mergeCell ref="AT94:AX94"/>
    <mergeCell ref="AY94:BC94"/>
    <mergeCell ref="BD94:BH94"/>
    <mergeCell ref="A95:C95"/>
    <mergeCell ref="D95:T95"/>
    <mergeCell ref="U95:Y95"/>
    <mergeCell ref="Z95:AD95"/>
    <mergeCell ref="AE95:AI95"/>
    <mergeCell ref="AJ95:AN95"/>
    <mergeCell ref="AO93:AS93"/>
    <mergeCell ref="AT93:AX93"/>
    <mergeCell ref="AY93:BC93"/>
    <mergeCell ref="BD93:BH93"/>
    <mergeCell ref="A94:C94"/>
    <mergeCell ref="D94:T94"/>
    <mergeCell ref="U94:Y94"/>
    <mergeCell ref="Z94:AD94"/>
    <mergeCell ref="AE94:AI94"/>
    <mergeCell ref="AJ94:AN94"/>
    <mergeCell ref="A93:C93"/>
    <mergeCell ref="D93:T93"/>
    <mergeCell ref="U93:Y93"/>
    <mergeCell ref="Z93:AD93"/>
    <mergeCell ref="AE93:AI93"/>
    <mergeCell ref="AJ93:AN93"/>
    <mergeCell ref="AE92:AI92"/>
    <mergeCell ref="AJ92:AN92"/>
    <mergeCell ref="AO92:AS92"/>
    <mergeCell ref="AT92:AX92"/>
    <mergeCell ref="AY92:BC92"/>
    <mergeCell ref="BD92:BH92"/>
    <mergeCell ref="BQ86:BT86"/>
    <mergeCell ref="BU86:BY86"/>
    <mergeCell ref="A89:BL89"/>
    <mergeCell ref="A90:BH90"/>
    <mergeCell ref="A91:C92"/>
    <mergeCell ref="D91:T92"/>
    <mergeCell ref="U91:AN91"/>
    <mergeCell ref="AO91:BH91"/>
    <mergeCell ref="U92:Y92"/>
    <mergeCell ref="Z92:AD92"/>
    <mergeCell ref="AN86:AR86"/>
    <mergeCell ref="AS86:AW86"/>
    <mergeCell ref="AX86:BA86"/>
    <mergeCell ref="BB86:BF86"/>
    <mergeCell ref="BG86:BK86"/>
    <mergeCell ref="BL86:BP86"/>
    <mergeCell ref="A86:C86"/>
    <mergeCell ref="D86:T86"/>
    <mergeCell ref="U86:Y86"/>
    <mergeCell ref="Z86:AD86"/>
    <mergeCell ref="AE86:AH86"/>
    <mergeCell ref="AI86:AM86"/>
    <mergeCell ref="AX85:BA85"/>
    <mergeCell ref="BB85:BF85"/>
    <mergeCell ref="BG85:BK85"/>
    <mergeCell ref="BL85:BP85"/>
    <mergeCell ref="BQ85:BT85"/>
    <mergeCell ref="BU85:BY85"/>
    <mergeCell ref="BQ84:BT84"/>
    <mergeCell ref="BU84:BY84"/>
    <mergeCell ref="A85:C85"/>
    <mergeCell ref="D85:T85"/>
    <mergeCell ref="U85:Y85"/>
    <mergeCell ref="Z85:AD85"/>
    <mergeCell ref="AE85:AH85"/>
    <mergeCell ref="AI85:AM85"/>
    <mergeCell ref="AN85:AR85"/>
    <mergeCell ref="AS85:AW85"/>
    <mergeCell ref="AN84:AR84"/>
    <mergeCell ref="AS84:AW84"/>
    <mergeCell ref="AX84:BA84"/>
    <mergeCell ref="BB84:BF84"/>
    <mergeCell ref="BG84:BK84"/>
    <mergeCell ref="BL84:BP84"/>
    <mergeCell ref="A84:C84"/>
    <mergeCell ref="D84:T84"/>
    <mergeCell ref="U84:Y84"/>
    <mergeCell ref="Z84:AD84"/>
    <mergeCell ref="AE84:AH84"/>
    <mergeCell ref="AI84:AM84"/>
    <mergeCell ref="AX83:BA83"/>
    <mergeCell ref="BB83:BF83"/>
    <mergeCell ref="BG83:BK83"/>
    <mergeCell ref="BL83:BP83"/>
    <mergeCell ref="BQ83:BT83"/>
    <mergeCell ref="BU83:BY83"/>
    <mergeCell ref="U83:Y83"/>
    <mergeCell ref="Z83:AD83"/>
    <mergeCell ref="AE83:AH83"/>
    <mergeCell ref="AI83:AM83"/>
    <mergeCell ref="AN83:AR83"/>
    <mergeCell ref="AS83:AW83"/>
    <mergeCell ref="BB76:BF76"/>
    <mergeCell ref="BG76:BK76"/>
    <mergeCell ref="A79:BL79"/>
    <mergeCell ref="A80:BL80"/>
    <mergeCell ref="A81:BY81"/>
    <mergeCell ref="A82:C83"/>
    <mergeCell ref="D82:T83"/>
    <mergeCell ref="U82:AM82"/>
    <mergeCell ref="AN82:BF82"/>
    <mergeCell ref="BG82:BY82"/>
    <mergeCell ref="BB75:BF75"/>
    <mergeCell ref="BG75:BK75"/>
    <mergeCell ref="A76:E76"/>
    <mergeCell ref="F76:W76"/>
    <mergeCell ref="X76:AB76"/>
    <mergeCell ref="AC76:AG76"/>
    <mergeCell ref="AH76:AL76"/>
    <mergeCell ref="AM76:AQ76"/>
    <mergeCell ref="AR76:AV76"/>
    <mergeCell ref="AW76:BA76"/>
    <mergeCell ref="BB74:BF74"/>
    <mergeCell ref="BG74:BK74"/>
    <mergeCell ref="A75:E75"/>
    <mergeCell ref="F75:W75"/>
    <mergeCell ref="X75:AB75"/>
    <mergeCell ref="AC75:AG75"/>
    <mergeCell ref="AH75:AL75"/>
    <mergeCell ref="AM75:AQ75"/>
    <mergeCell ref="AR75:AV75"/>
    <mergeCell ref="AW75:BA75"/>
    <mergeCell ref="BB73:BF73"/>
    <mergeCell ref="BG73:BK73"/>
    <mergeCell ref="A74:E74"/>
    <mergeCell ref="F74:W74"/>
    <mergeCell ref="X74:AB74"/>
    <mergeCell ref="AC74:AG74"/>
    <mergeCell ref="AH74:AL74"/>
    <mergeCell ref="AM74:AQ74"/>
    <mergeCell ref="AR74:AV74"/>
    <mergeCell ref="AW74:BA74"/>
    <mergeCell ref="A72:E73"/>
    <mergeCell ref="F72:W73"/>
    <mergeCell ref="X72:AQ72"/>
    <mergeCell ref="AR72:BK72"/>
    <mergeCell ref="X73:AB73"/>
    <mergeCell ref="AC73:AG73"/>
    <mergeCell ref="AH73:AL73"/>
    <mergeCell ref="AM73:AQ73"/>
    <mergeCell ref="AR73:AV73"/>
    <mergeCell ref="AW73:BA73"/>
    <mergeCell ref="AR67:AV67"/>
    <mergeCell ref="AW67:BA67"/>
    <mergeCell ref="BB67:BF67"/>
    <mergeCell ref="BG67:BK67"/>
    <mergeCell ref="A70:BL70"/>
    <mergeCell ref="A71:BK71"/>
    <mergeCell ref="AW68:BA68"/>
    <mergeCell ref="BB68:BF68"/>
    <mergeCell ref="BG68:BK68"/>
    <mergeCell ref="AR66:AV66"/>
    <mergeCell ref="AW66:BA66"/>
    <mergeCell ref="BB66:BF66"/>
    <mergeCell ref="BG66:BK66"/>
    <mergeCell ref="A67:D67"/>
    <mergeCell ref="E67:W67"/>
    <mergeCell ref="X67:AB67"/>
    <mergeCell ref="AC67:AG67"/>
    <mergeCell ref="AH67:AL67"/>
    <mergeCell ref="AM67:AQ67"/>
    <mergeCell ref="AR65:AV65"/>
    <mergeCell ref="AW65:BA65"/>
    <mergeCell ref="BB65:BF65"/>
    <mergeCell ref="BG65:BK65"/>
    <mergeCell ref="A66:D66"/>
    <mergeCell ref="E66:W66"/>
    <mergeCell ref="X66:AB66"/>
    <mergeCell ref="AC66:AG66"/>
    <mergeCell ref="AH66:AL66"/>
    <mergeCell ref="AM66:AQ66"/>
    <mergeCell ref="A65:D65"/>
    <mergeCell ref="E65:W65"/>
    <mergeCell ref="X65:AB65"/>
    <mergeCell ref="AC65:AG65"/>
    <mergeCell ref="AH65:AL65"/>
    <mergeCell ref="AM65:AQ65"/>
    <mergeCell ref="AH64:AL64"/>
    <mergeCell ref="AM64:AQ64"/>
    <mergeCell ref="AR64:AV64"/>
    <mergeCell ref="AW64:BA64"/>
    <mergeCell ref="BB64:BF64"/>
    <mergeCell ref="BG64:BK64"/>
    <mergeCell ref="BQ59:BT59"/>
    <mergeCell ref="BU59:BY59"/>
    <mergeCell ref="A61:BL61"/>
    <mergeCell ref="A62:BK62"/>
    <mergeCell ref="A63:D64"/>
    <mergeCell ref="E63:W64"/>
    <mergeCell ref="X63:AQ63"/>
    <mergeCell ref="AR63:BK63"/>
    <mergeCell ref="X64:AB64"/>
    <mergeCell ref="AC64:AG64"/>
    <mergeCell ref="AN59:AR59"/>
    <mergeCell ref="AS59:AW59"/>
    <mergeCell ref="AX59:BA59"/>
    <mergeCell ref="BB59:BF59"/>
    <mergeCell ref="BG59:BK59"/>
    <mergeCell ref="BL59:BP59"/>
    <mergeCell ref="A59:E59"/>
    <mergeCell ref="F59:T59"/>
    <mergeCell ref="U59:Y59"/>
    <mergeCell ref="Z59:AD59"/>
    <mergeCell ref="AE59:AH59"/>
    <mergeCell ref="AI59:AM59"/>
    <mergeCell ref="AX58:BA58"/>
    <mergeCell ref="BB58:BF58"/>
    <mergeCell ref="BG58:BK58"/>
    <mergeCell ref="BL58:BP58"/>
    <mergeCell ref="BQ58:BT58"/>
    <mergeCell ref="BU58:BY58"/>
    <mergeCell ref="BQ57:BT57"/>
    <mergeCell ref="BU57:BY57"/>
    <mergeCell ref="A58:E58"/>
    <mergeCell ref="F58:T58"/>
    <mergeCell ref="U58:Y58"/>
    <mergeCell ref="Z58:AD58"/>
    <mergeCell ref="AE58:AH58"/>
    <mergeCell ref="AI58:AM58"/>
    <mergeCell ref="AN58:AR58"/>
    <mergeCell ref="AS58:AW58"/>
    <mergeCell ref="AN57:AR57"/>
    <mergeCell ref="AS57:AW57"/>
    <mergeCell ref="AX57:BA57"/>
    <mergeCell ref="BB57:BF57"/>
    <mergeCell ref="BG57:BK57"/>
    <mergeCell ref="BL57:BP57"/>
    <mergeCell ref="BG56:BK56"/>
    <mergeCell ref="BL56:BP56"/>
    <mergeCell ref="BQ56:BT56"/>
    <mergeCell ref="BU56:BY56"/>
    <mergeCell ref="A57:E57"/>
    <mergeCell ref="F57:T57"/>
    <mergeCell ref="U57:Y57"/>
    <mergeCell ref="Z57:AD57"/>
    <mergeCell ref="AE57:AH57"/>
    <mergeCell ref="AI57:AM57"/>
    <mergeCell ref="AE56:AH56"/>
    <mergeCell ref="AI56:AM56"/>
    <mergeCell ref="AN56:AR56"/>
    <mergeCell ref="AS56:AW56"/>
    <mergeCell ref="AX56:BA56"/>
    <mergeCell ref="BB56:BF56"/>
    <mergeCell ref="BU50:BY50"/>
    <mergeCell ref="A53:BL53"/>
    <mergeCell ref="A54:BY54"/>
    <mergeCell ref="A55:E56"/>
    <mergeCell ref="F55:T56"/>
    <mergeCell ref="U55:AM55"/>
    <mergeCell ref="AN55:BF55"/>
    <mergeCell ref="BG55:BY55"/>
    <mergeCell ref="U56:Y56"/>
    <mergeCell ref="Z56:AD56"/>
    <mergeCell ref="AS50:AW50"/>
    <mergeCell ref="AX50:BA50"/>
    <mergeCell ref="BB50:BF50"/>
    <mergeCell ref="BG50:BK50"/>
    <mergeCell ref="BL50:BP50"/>
    <mergeCell ref="BQ50:BT50"/>
    <mergeCell ref="BL49:BP49"/>
    <mergeCell ref="BQ49:BT49"/>
    <mergeCell ref="BU49:BY49"/>
    <mergeCell ref="A50:D50"/>
    <mergeCell ref="E50:T50"/>
    <mergeCell ref="U50:Y50"/>
    <mergeCell ref="Z50:AD50"/>
    <mergeCell ref="AE50:AH50"/>
    <mergeCell ref="AI50:AM50"/>
    <mergeCell ref="AN50:AR50"/>
    <mergeCell ref="AI49:AM49"/>
    <mergeCell ref="AN49:AR49"/>
    <mergeCell ref="AS49:AW49"/>
    <mergeCell ref="AX49:BA49"/>
    <mergeCell ref="BB49:BF49"/>
    <mergeCell ref="BG49:BK49"/>
    <mergeCell ref="BB48:BF48"/>
    <mergeCell ref="BG48:BK48"/>
    <mergeCell ref="BL48:BP48"/>
    <mergeCell ref="BQ48:BT48"/>
    <mergeCell ref="BU48:BY48"/>
    <mergeCell ref="A49:D49"/>
    <mergeCell ref="E49:T49"/>
    <mergeCell ref="U49:Y49"/>
    <mergeCell ref="Z49:AD49"/>
    <mergeCell ref="AE49:AH49"/>
    <mergeCell ref="BU47:BY47"/>
    <mergeCell ref="A48:D48"/>
    <mergeCell ref="E48:T48"/>
    <mergeCell ref="U48:Y48"/>
    <mergeCell ref="Z48:AD48"/>
    <mergeCell ref="AE48:AH48"/>
    <mergeCell ref="AI48:AM48"/>
    <mergeCell ref="AN48:AR48"/>
    <mergeCell ref="AS48:AW48"/>
    <mergeCell ref="AX48:BA48"/>
    <mergeCell ref="AS47:AW47"/>
    <mergeCell ref="AX47:BA47"/>
    <mergeCell ref="BB47:BF47"/>
    <mergeCell ref="BG47:BK47"/>
    <mergeCell ref="BL47:BP47"/>
    <mergeCell ref="BQ47:BT47"/>
    <mergeCell ref="A46:D47"/>
    <mergeCell ref="E46:T47"/>
    <mergeCell ref="U46:AM46"/>
    <mergeCell ref="AN46:BF46"/>
    <mergeCell ref="BG46:BY46"/>
    <mergeCell ref="U47:Y47"/>
    <mergeCell ref="Z47:AD47"/>
    <mergeCell ref="AE47:AH47"/>
    <mergeCell ref="AI47:AM47"/>
    <mergeCell ref="AN47:AR47"/>
    <mergeCell ref="AW39:BA39"/>
    <mergeCell ref="BB39:BF39"/>
    <mergeCell ref="BG39:BK39"/>
    <mergeCell ref="A43:BY43"/>
    <mergeCell ref="A44:BY44"/>
    <mergeCell ref="A45:BY45"/>
    <mergeCell ref="AW40:BA40"/>
    <mergeCell ref="BB40:BF40"/>
    <mergeCell ref="BG40:BK40"/>
    <mergeCell ref="AW38:BA38"/>
    <mergeCell ref="BB38:BF38"/>
    <mergeCell ref="BG38:BK38"/>
    <mergeCell ref="A39:D39"/>
    <mergeCell ref="E39:W39"/>
    <mergeCell ref="X39:AB39"/>
    <mergeCell ref="AC39:AG39"/>
    <mergeCell ref="AH39:AL39"/>
    <mergeCell ref="AM39:AQ39"/>
    <mergeCell ref="AR39:AV39"/>
    <mergeCell ref="AW37:BA37"/>
    <mergeCell ref="BB37:BF37"/>
    <mergeCell ref="BG37:BK37"/>
    <mergeCell ref="A38:D38"/>
    <mergeCell ref="E38:W38"/>
    <mergeCell ref="X38:AB38"/>
    <mergeCell ref="AC38:AG38"/>
    <mergeCell ref="AH38:AL38"/>
    <mergeCell ref="AM38:AQ38"/>
    <mergeCell ref="AR38:AV38"/>
    <mergeCell ref="AW36:BA36"/>
    <mergeCell ref="BB36:BF36"/>
    <mergeCell ref="BG36:BK36"/>
    <mergeCell ref="A37:D37"/>
    <mergeCell ref="E37:W37"/>
    <mergeCell ref="X37:AB37"/>
    <mergeCell ref="AC37:AG37"/>
    <mergeCell ref="AH37:AL37"/>
    <mergeCell ref="AM37:AQ37"/>
    <mergeCell ref="AR37:AV37"/>
    <mergeCell ref="A34:BK34"/>
    <mergeCell ref="A35:D36"/>
    <mergeCell ref="E35:W36"/>
    <mergeCell ref="X35:AQ35"/>
    <mergeCell ref="AR35:BK35"/>
    <mergeCell ref="X36:AB36"/>
    <mergeCell ref="AC36:AG36"/>
    <mergeCell ref="AH36:AL36"/>
    <mergeCell ref="AM36:AQ36"/>
    <mergeCell ref="AR36:AV36"/>
    <mergeCell ref="BB30:BF30"/>
    <mergeCell ref="BG30:BK30"/>
    <mergeCell ref="BL30:BP30"/>
    <mergeCell ref="BQ30:BT30"/>
    <mergeCell ref="BU30:BY30"/>
    <mergeCell ref="A33:BL33"/>
    <mergeCell ref="AI31:AM31"/>
    <mergeCell ref="AN31:AR31"/>
    <mergeCell ref="AS31:AW31"/>
    <mergeCell ref="AX31:BA31"/>
    <mergeCell ref="BU29:BY29"/>
    <mergeCell ref="A30:D30"/>
    <mergeCell ref="E30:T30"/>
    <mergeCell ref="U30:Y30"/>
    <mergeCell ref="Z30:AD30"/>
    <mergeCell ref="AE30:AH30"/>
    <mergeCell ref="AI30:AM30"/>
    <mergeCell ref="AN30:AR30"/>
    <mergeCell ref="AS30:AW30"/>
    <mergeCell ref="AX30:BA30"/>
    <mergeCell ref="AS29:AW29"/>
    <mergeCell ref="AX29:BA29"/>
    <mergeCell ref="BB29:BF29"/>
    <mergeCell ref="BG29:BK29"/>
    <mergeCell ref="BL29:BP29"/>
    <mergeCell ref="BQ29:BT29"/>
    <mergeCell ref="BL28:BP28"/>
    <mergeCell ref="BQ28:BT28"/>
    <mergeCell ref="BU28:BY28"/>
    <mergeCell ref="A29:D29"/>
    <mergeCell ref="E29:T29"/>
    <mergeCell ref="U29:Y29"/>
    <mergeCell ref="Z29:AD29"/>
    <mergeCell ref="AE29:AH29"/>
    <mergeCell ref="AI29:AM29"/>
    <mergeCell ref="AN29:AR29"/>
    <mergeCell ref="AI28:AM28"/>
    <mergeCell ref="AN28:AR28"/>
    <mergeCell ref="AS28:AW28"/>
    <mergeCell ref="AX28:BA28"/>
    <mergeCell ref="BB28:BF28"/>
    <mergeCell ref="BG28:BK28"/>
    <mergeCell ref="BB27:BF27"/>
    <mergeCell ref="BG27:BK27"/>
    <mergeCell ref="BL27:BP27"/>
    <mergeCell ref="BQ27:BT27"/>
    <mergeCell ref="BU27:BY27"/>
    <mergeCell ref="A28:D28"/>
    <mergeCell ref="E28:T28"/>
    <mergeCell ref="U28:Y28"/>
    <mergeCell ref="Z28:AD28"/>
    <mergeCell ref="AE28:AH28"/>
    <mergeCell ref="Z27:AD27"/>
    <mergeCell ref="AE27:AH27"/>
    <mergeCell ref="AI27:AM27"/>
    <mergeCell ref="AN27:AR27"/>
    <mergeCell ref="AS27:AW27"/>
    <mergeCell ref="AX27:BA27"/>
    <mergeCell ref="A21:BY21"/>
    <mergeCell ref="A23:BY23"/>
    <mergeCell ref="A24:BY24"/>
    <mergeCell ref="A25:BY25"/>
    <mergeCell ref="A26:D27"/>
    <mergeCell ref="E26:T27"/>
    <mergeCell ref="U26:AM26"/>
    <mergeCell ref="AN26:BF26"/>
    <mergeCell ref="BG26:BY26"/>
    <mergeCell ref="U27:Y27"/>
    <mergeCell ref="A13:BY13"/>
    <mergeCell ref="A14:BY14"/>
    <mergeCell ref="A15:BY15"/>
    <mergeCell ref="A17:BY17"/>
    <mergeCell ref="A18:BY18"/>
    <mergeCell ref="A20:BY20"/>
    <mergeCell ref="B10:L10"/>
    <mergeCell ref="N10:Y10"/>
    <mergeCell ref="AA10:AI10"/>
    <mergeCell ref="AK10:BJ10"/>
    <mergeCell ref="BL10:BS10"/>
    <mergeCell ref="B11:L11"/>
    <mergeCell ref="N11:Y11"/>
    <mergeCell ref="AA11:AI11"/>
    <mergeCell ref="AK11:BJ11"/>
    <mergeCell ref="BL11:BS11"/>
    <mergeCell ref="B7:AF7"/>
    <mergeCell ref="AH7:BA7"/>
    <mergeCell ref="BC7:BJ7"/>
    <mergeCell ref="A8:AF8"/>
    <mergeCell ref="AH8:BA8"/>
    <mergeCell ref="BC8:BJ8"/>
    <mergeCell ref="BN1:BZ1"/>
    <mergeCell ref="A2:BZ2"/>
    <mergeCell ref="B4:AF4"/>
    <mergeCell ref="AH4:AR4"/>
    <mergeCell ref="AT4:BA4"/>
    <mergeCell ref="A5:AF5"/>
    <mergeCell ref="AH5:AR5"/>
    <mergeCell ref="AT5:BA5"/>
  </mergeCells>
  <conditionalFormatting sqref="A86 A180 A95">
    <cfRule type="cellIs" dxfId="106" priority="111" stopIfTrue="1" operator="equal">
      <formula>A85</formula>
    </cfRule>
  </conditionalFormatting>
  <conditionalFormatting sqref="A105:C105 A137:C137">
    <cfRule type="cellIs" dxfId="105" priority="112" stopIfTrue="1" operator="equal">
      <formula>A104</formula>
    </cfRule>
    <cfRule type="cellIs" dxfId="104" priority="113" stopIfTrue="1" operator="equal">
      <formula>0</formula>
    </cfRule>
  </conditionalFormatting>
  <conditionalFormatting sqref="A87">
    <cfRule type="cellIs" dxfId="103" priority="110" stopIfTrue="1" operator="equal">
      <formula>A86</formula>
    </cfRule>
  </conditionalFormatting>
  <conditionalFormatting sqref="A97">
    <cfRule type="cellIs" dxfId="102" priority="115" stopIfTrue="1" operator="equal">
      <formula>A95</formula>
    </cfRule>
  </conditionalFormatting>
  <conditionalFormatting sqref="A96">
    <cfRule type="cellIs" dxfId="101" priority="108" stopIfTrue="1" operator="equal">
      <formula>A95</formula>
    </cfRule>
  </conditionalFormatting>
  <conditionalFormatting sqref="A181">
    <cfRule type="cellIs" dxfId="100" priority="2" stopIfTrue="1" operator="equal">
      <formula>A180</formula>
    </cfRule>
  </conditionalFormatting>
  <conditionalFormatting sqref="A106:C106">
    <cfRule type="cellIs" dxfId="99" priority="105" stopIfTrue="1" operator="equal">
      <formula>A105</formula>
    </cfRule>
    <cfRule type="cellIs" dxfId="98" priority="106" stopIfTrue="1" operator="equal">
      <formula>0</formula>
    </cfRule>
  </conditionalFormatting>
  <conditionalFormatting sqref="A107:C107">
    <cfRule type="cellIs" dxfId="97" priority="103" stopIfTrue="1" operator="equal">
      <formula>A106</formula>
    </cfRule>
    <cfRule type="cellIs" dxfId="96" priority="104" stopIfTrue="1" operator="equal">
      <formula>0</formula>
    </cfRule>
  </conditionalFormatting>
  <conditionalFormatting sqref="A108:C108">
    <cfRule type="cellIs" dxfId="95" priority="101" stopIfTrue="1" operator="equal">
      <formula>A107</formula>
    </cfRule>
    <cfRule type="cellIs" dxfId="94" priority="102" stopIfTrue="1" operator="equal">
      <formula>0</formula>
    </cfRule>
  </conditionalFormatting>
  <conditionalFormatting sqref="A109:C109">
    <cfRule type="cellIs" dxfId="93" priority="99" stopIfTrue="1" operator="equal">
      <formula>A108</formula>
    </cfRule>
    <cfRule type="cellIs" dxfId="92" priority="100" stopIfTrue="1" operator="equal">
      <formula>0</formula>
    </cfRule>
  </conditionalFormatting>
  <conditionalFormatting sqref="A110:C110">
    <cfRule type="cellIs" dxfId="91" priority="97" stopIfTrue="1" operator="equal">
      <formula>A109</formula>
    </cfRule>
    <cfRule type="cellIs" dxfId="90" priority="98" stopIfTrue="1" operator="equal">
      <formula>0</formula>
    </cfRule>
  </conditionalFormatting>
  <conditionalFormatting sqref="A111:C111">
    <cfRule type="cellIs" dxfId="89" priority="95" stopIfTrue="1" operator="equal">
      <formula>A110</formula>
    </cfRule>
    <cfRule type="cellIs" dxfId="88" priority="96" stopIfTrue="1" operator="equal">
      <formula>0</formula>
    </cfRule>
  </conditionalFormatting>
  <conditionalFormatting sqref="A112:C112">
    <cfRule type="cellIs" dxfId="87" priority="93" stopIfTrue="1" operator="equal">
      <formula>A111</formula>
    </cfRule>
    <cfRule type="cellIs" dxfId="86" priority="94" stopIfTrue="1" operator="equal">
      <formula>0</formula>
    </cfRule>
  </conditionalFormatting>
  <conditionalFormatting sqref="A113:C113">
    <cfRule type="cellIs" dxfId="85" priority="91" stopIfTrue="1" operator="equal">
      <formula>A112</formula>
    </cfRule>
    <cfRule type="cellIs" dxfId="84" priority="92" stopIfTrue="1" operator="equal">
      <formula>0</formula>
    </cfRule>
  </conditionalFormatting>
  <conditionalFormatting sqref="A114:C114">
    <cfRule type="cellIs" dxfId="83" priority="89" stopIfTrue="1" operator="equal">
      <formula>A113</formula>
    </cfRule>
    <cfRule type="cellIs" dxfId="82" priority="90" stopIfTrue="1" operator="equal">
      <formula>0</formula>
    </cfRule>
  </conditionalFormatting>
  <conditionalFormatting sqref="A115:C115">
    <cfRule type="cellIs" dxfId="81" priority="87" stopIfTrue="1" operator="equal">
      <formula>A114</formula>
    </cfRule>
    <cfRule type="cellIs" dxfId="80" priority="88" stopIfTrue="1" operator="equal">
      <formula>0</formula>
    </cfRule>
  </conditionalFormatting>
  <conditionalFormatting sqref="A116:C116">
    <cfRule type="cellIs" dxfId="79" priority="85" stopIfTrue="1" operator="equal">
      <formula>A115</formula>
    </cfRule>
    <cfRule type="cellIs" dxfId="78" priority="86" stopIfTrue="1" operator="equal">
      <formula>0</formula>
    </cfRule>
  </conditionalFormatting>
  <conditionalFormatting sqref="A117:C117">
    <cfRule type="cellIs" dxfId="77" priority="83" stopIfTrue="1" operator="equal">
      <formula>A116</formula>
    </cfRule>
    <cfRule type="cellIs" dxfId="76" priority="84" stopIfTrue="1" operator="equal">
      <formula>0</formula>
    </cfRule>
  </conditionalFormatting>
  <conditionalFormatting sqref="A118:C118">
    <cfRule type="cellIs" dxfId="75" priority="81" stopIfTrue="1" operator="equal">
      <formula>A117</formula>
    </cfRule>
    <cfRule type="cellIs" dxfId="74" priority="82" stopIfTrue="1" operator="equal">
      <formula>0</formula>
    </cfRule>
  </conditionalFormatting>
  <conditionalFormatting sqref="A119:C119">
    <cfRule type="cellIs" dxfId="73" priority="79" stopIfTrue="1" operator="equal">
      <formula>A118</formula>
    </cfRule>
    <cfRule type="cellIs" dxfId="72" priority="80" stopIfTrue="1" operator="equal">
      <formula>0</formula>
    </cfRule>
  </conditionalFormatting>
  <conditionalFormatting sqref="A120:C120">
    <cfRule type="cellIs" dxfId="71" priority="77" stopIfTrue="1" operator="equal">
      <formula>A119</formula>
    </cfRule>
    <cfRule type="cellIs" dxfId="70" priority="78" stopIfTrue="1" operator="equal">
      <formula>0</formula>
    </cfRule>
  </conditionalFormatting>
  <conditionalFormatting sqref="A121:C121">
    <cfRule type="cellIs" dxfId="69" priority="75" stopIfTrue="1" operator="equal">
      <formula>A120</formula>
    </cfRule>
    <cfRule type="cellIs" dxfId="68" priority="76" stopIfTrue="1" operator="equal">
      <formula>0</formula>
    </cfRule>
  </conditionalFormatting>
  <conditionalFormatting sqref="A122:C122">
    <cfRule type="cellIs" dxfId="67" priority="73" stopIfTrue="1" operator="equal">
      <formula>A121</formula>
    </cfRule>
    <cfRule type="cellIs" dxfId="66" priority="74" stopIfTrue="1" operator="equal">
      <formula>0</formula>
    </cfRule>
  </conditionalFormatting>
  <conditionalFormatting sqref="A123:C123">
    <cfRule type="cellIs" dxfId="65" priority="71" stopIfTrue="1" operator="equal">
      <formula>A122</formula>
    </cfRule>
    <cfRule type="cellIs" dxfId="64" priority="72" stopIfTrue="1" operator="equal">
      <formula>0</formula>
    </cfRule>
  </conditionalFormatting>
  <conditionalFormatting sqref="A124:C124">
    <cfRule type="cellIs" dxfId="63" priority="69" stopIfTrue="1" operator="equal">
      <formula>A123</formula>
    </cfRule>
    <cfRule type="cellIs" dxfId="62" priority="70" stopIfTrue="1" operator="equal">
      <formula>0</formula>
    </cfRule>
  </conditionalFormatting>
  <conditionalFormatting sqref="A125:C125">
    <cfRule type="cellIs" dxfId="61" priority="67" stopIfTrue="1" operator="equal">
      <formula>A124</formula>
    </cfRule>
    <cfRule type="cellIs" dxfId="60" priority="68" stopIfTrue="1" operator="equal">
      <formula>0</formula>
    </cfRule>
  </conditionalFormatting>
  <conditionalFormatting sqref="A126:C126">
    <cfRule type="cellIs" dxfId="59" priority="65" stopIfTrue="1" operator="equal">
      <formula>A125</formula>
    </cfRule>
    <cfRule type="cellIs" dxfId="58" priority="66" stopIfTrue="1" operator="equal">
      <formula>0</formula>
    </cfRule>
  </conditionalFormatting>
  <conditionalFormatting sqref="A127:C127">
    <cfRule type="cellIs" dxfId="57" priority="63" stopIfTrue="1" operator="equal">
      <formula>A126</formula>
    </cfRule>
    <cfRule type="cellIs" dxfId="56" priority="64" stopIfTrue="1" operator="equal">
      <formula>0</formula>
    </cfRule>
  </conditionalFormatting>
  <conditionalFormatting sqref="A128:C128">
    <cfRule type="cellIs" dxfId="55" priority="61" stopIfTrue="1" operator="equal">
      <formula>A127</formula>
    </cfRule>
    <cfRule type="cellIs" dxfId="54" priority="62" stopIfTrue="1" operator="equal">
      <formula>0</formula>
    </cfRule>
  </conditionalFormatting>
  <conditionalFormatting sqref="A129:C129">
    <cfRule type="cellIs" dxfId="53" priority="59" stopIfTrue="1" operator="equal">
      <formula>A128</formula>
    </cfRule>
    <cfRule type="cellIs" dxfId="52" priority="60" stopIfTrue="1" operator="equal">
      <formula>0</formula>
    </cfRule>
  </conditionalFormatting>
  <conditionalFormatting sqref="A130:C130">
    <cfRule type="cellIs" dxfId="51" priority="57" stopIfTrue="1" operator="equal">
      <formula>A129</formula>
    </cfRule>
    <cfRule type="cellIs" dxfId="50" priority="58" stopIfTrue="1" operator="equal">
      <formula>0</formula>
    </cfRule>
  </conditionalFormatting>
  <conditionalFormatting sqref="A138:C138">
    <cfRule type="cellIs" dxfId="49" priority="53" stopIfTrue="1" operator="equal">
      <formula>A137</formula>
    </cfRule>
    <cfRule type="cellIs" dxfId="48" priority="54" stopIfTrue="1" operator="equal">
      <formula>0</formula>
    </cfRule>
  </conditionalFormatting>
  <conditionalFormatting sqref="A139:C139">
    <cfRule type="cellIs" dxfId="47" priority="51" stopIfTrue="1" operator="equal">
      <formula>A138</formula>
    </cfRule>
    <cfRule type="cellIs" dxfId="46" priority="52" stopIfTrue="1" operator="equal">
      <formula>0</formula>
    </cfRule>
  </conditionalFormatting>
  <conditionalFormatting sqref="A140:C140">
    <cfRule type="cellIs" dxfId="45" priority="49" stopIfTrue="1" operator="equal">
      <formula>A139</formula>
    </cfRule>
    <cfRule type="cellIs" dxfId="44" priority="50" stopIfTrue="1" operator="equal">
      <formula>0</formula>
    </cfRule>
  </conditionalFormatting>
  <conditionalFormatting sqref="A141:C141">
    <cfRule type="cellIs" dxfId="43" priority="47" stopIfTrue="1" operator="equal">
      <formula>A140</formula>
    </cfRule>
    <cfRule type="cellIs" dxfId="42" priority="48" stopIfTrue="1" operator="equal">
      <formula>0</formula>
    </cfRule>
  </conditionalFormatting>
  <conditionalFormatting sqref="A142:C142">
    <cfRule type="cellIs" dxfId="41" priority="45" stopIfTrue="1" operator="equal">
      <formula>A141</formula>
    </cfRule>
    <cfRule type="cellIs" dxfId="40" priority="46" stopIfTrue="1" operator="equal">
      <formula>0</formula>
    </cfRule>
  </conditionalFormatting>
  <conditionalFormatting sqref="A143:C143">
    <cfRule type="cellIs" dxfId="39" priority="43" stopIfTrue="1" operator="equal">
      <formula>A142</formula>
    </cfRule>
    <cfRule type="cellIs" dxfId="38" priority="44" stopIfTrue="1" operator="equal">
      <formula>0</formula>
    </cfRule>
  </conditionalFormatting>
  <conditionalFormatting sqref="A144:C144">
    <cfRule type="cellIs" dxfId="37" priority="41" stopIfTrue="1" operator="equal">
      <formula>A143</formula>
    </cfRule>
    <cfRule type="cellIs" dxfId="36" priority="42" stopIfTrue="1" operator="equal">
      <formula>0</formula>
    </cfRule>
  </conditionalFormatting>
  <conditionalFormatting sqref="A145:C145">
    <cfRule type="cellIs" dxfId="35" priority="39" stopIfTrue="1" operator="equal">
      <formula>A144</formula>
    </cfRule>
    <cfRule type="cellIs" dxfId="34" priority="40" stopIfTrue="1" operator="equal">
      <formula>0</formula>
    </cfRule>
  </conditionalFormatting>
  <conditionalFormatting sqref="A146:C146">
    <cfRule type="cellIs" dxfId="33" priority="37" stopIfTrue="1" operator="equal">
      <formula>A145</formula>
    </cfRule>
    <cfRule type="cellIs" dxfId="32" priority="38" stopIfTrue="1" operator="equal">
      <formula>0</formula>
    </cfRule>
  </conditionalFormatting>
  <conditionalFormatting sqref="A147:C147">
    <cfRule type="cellIs" dxfId="31" priority="35" stopIfTrue="1" operator="equal">
      <formula>A146</formula>
    </cfRule>
    <cfRule type="cellIs" dxfId="30" priority="36" stopIfTrue="1" operator="equal">
      <formula>0</formula>
    </cfRule>
  </conditionalFormatting>
  <conditionalFormatting sqref="A148:C148">
    <cfRule type="cellIs" dxfId="29" priority="33" stopIfTrue="1" operator="equal">
      <formula>A147</formula>
    </cfRule>
    <cfRule type="cellIs" dxfId="28" priority="34" stopIfTrue="1" operator="equal">
      <formula>0</formula>
    </cfRule>
  </conditionalFormatting>
  <conditionalFormatting sqref="A149:C149">
    <cfRule type="cellIs" dxfId="27" priority="31" stopIfTrue="1" operator="equal">
      <formula>A148</formula>
    </cfRule>
    <cfRule type="cellIs" dxfId="26" priority="32" stopIfTrue="1" operator="equal">
      <formula>0</formula>
    </cfRule>
  </conditionalFormatting>
  <conditionalFormatting sqref="A150:C150">
    <cfRule type="cellIs" dxfId="25" priority="29" stopIfTrue="1" operator="equal">
      <formula>A149</formula>
    </cfRule>
    <cfRule type="cellIs" dxfId="24" priority="30" stopIfTrue="1" operator="equal">
      <formula>0</formula>
    </cfRule>
  </conditionalFormatting>
  <conditionalFormatting sqref="A151:C151">
    <cfRule type="cellIs" dxfId="23" priority="27" stopIfTrue="1" operator="equal">
      <formula>A150</formula>
    </cfRule>
    <cfRule type="cellIs" dxfId="22" priority="28" stopIfTrue="1" operator="equal">
      <formula>0</formula>
    </cfRule>
  </conditionalFormatting>
  <conditionalFormatting sqref="A152:C152">
    <cfRule type="cellIs" dxfId="21" priority="25" stopIfTrue="1" operator="equal">
      <formula>A151</formula>
    </cfRule>
    <cfRule type="cellIs" dxfId="20" priority="26" stopIfTrue="1" operator="equal">
      <formula>0</formula>
    </cfRule>
  </conditionalFormatting>
  <conditionalFormatting sqref="A153:C153">
    <cfRule type="cellIs" dxfId="19" priority="23" stopIfTrue="1" operator="equal">
      <formula>A152</formula>
    </cfRule>
    <cfRule type="cellIs" dxfId="18" priority="24" stopIfTrue="1" operator="equal">
      <formula>0</formula>
    </cfRule>
  </conditionalFormatting>
  <conditionalFormatting sqref="A154:C154">
    <cfRule type="cellIs" dxfId="17" priority="21" stopIfTrue="1" operator="equal">
      <formula>A153</formula>
    </cfRule>
    <cfRule type="cellIs" dxfId="16" priority="22" stopIfTrue="1" operator="equal">
      <formula>0</formula>
    </cfRule>
  </conditionalFormatting>
  <conditionalFormatting sqref="A155:C155">
    <cfRule type="cellIs" dxfId="15" priority="19" stopIfTrue="1" operator="equal">
      <formula>A154</formula>
    </cfRule>
    <cfRule type="cellIs" dxfId="14" priority="20" stopIfTrue="1" operator="equal">
      <formula>0</formula>
    </cfRule>
  </conditionalFormatting>
  <conditionalFormatting sqref="A156:C156">
    <cfRule type="cellIs" dxfId="13" priority="17" stopIfTrue="1" operator="equal">
      <formula>A155</formula>
    </cfRule>
    <cfRule type="cellIs" dxfId="12" priority="18" stopIfTrue="1" operator="equal">
      <formula>0</formula>
    </cfRule>
  </conditionalFormatting>
  <conditionalFormatting sqref="A157:C157">
    <cfRule type="cellIs" dxfId="11" priority="15" stopIfTrue="1" operator="equal">
      <formula>A156</formula>
    </cfRule>
    <cfRule type="cellIs" dxfId="10" priority="16" stopIfTrue="1" operator="equal">
      <formula>0</formula>
    </cfRule>
  </conditionalFormatting>
  <conditionalFormatting sqref="A158:C158">
    <cfRule type="cellIs" dxfId="9" priority="13" stopIfTrue="1" operator="equal">
      <formula>A157</formula>
    </cfRule>
    <cfRule type="cellIs" dxfId="8" priority="14" stopIfTrue="1" operator="equal">
      <formula>0</formula>
    </cfRule>
  </conditionalFormatting>
  <conditionalFormatting sqref="A159:C159">
    <cfRule type="cellIs" dxfId="7" priority="11" stopIfTrue="1" operator="equal">
      <formula>A158</formula>
    </cfRule>
    <cfRule type="cellIs" dxfId="6" priority="12" stopIfTrue="1" operator="equal">
      <formula>0</formula>
    </cfRule>
  </conditionalFormatting>
  <conditionalFormatting sqref="A160:C160">
    <cfRule type="cellIs" dxfId="5" priority="9" stopIfTrue="1" operator="equal">
      <formula>A159</formula>
    </cfRule>
    <cfRule type="cellIs" dxfId="4" priority="10" stopIfTrue="1" operator="equal">
      <formula>0</formula>
    </cfRule>
  </conditionalFormatting>
  <conditionalFormatting sqref="A161:C161">
    <cfRule type="cellIs" dxfId="3" priority="7" stopIfTrue="1" operator="equal">
      <formula>A160</formula>
    </cfRule>
    <cfRule type="cellIs" dxfId="2" priority="8" stopIfTrue="1" operator="equal">
      <formula>0</formula>
    </cfRule>
  </conditionalFormatting>
  <conditionalFormatting sqref="A162:C162">
    <cfRule type="cellIs" dxfId="1" priority="5" stopIfTrue="1" operator="equal">
      <formula>A161</formula>
    </cfRule>
    <cfRule type="cellIs" dxfId="0" priority="6" stopIfTrue="1" operator="equal">
      <formula>0</formula>
    </cfRule>
  </conditionalFormatting>
  <pageMargins left="0.32" right="0.33" top="0.39370078740157499" bottom="0.39370078740157499" header="0" footer="0"/>
  <pageSetup paperSize="9" scale="65" fitToHeight="500" orientation="landscape" r:id="rId1"/>
  <headerFooter alignWithMargins="0"/>
  <colBreaks count="1" manualBreakCount="1">
    <brk id="7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Додаток2 КПК0113242</vt:lpstr>
      <vt:lpstr>'Додаток2 КПК0113242'!Область_печати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2019-10-19T14:09:19Z</cp:lastPrinted>
  <dcterms:created xsi:type="dcterms:W3CDTF">2016-07-02T12:27:50Z</dcterms:created>
  <dcterms:modified xsi:type="dcterms:W3CDTF">2024-11-11T11:19:18Z</dcterms:modified>
</cp:coreProperties>
</file>