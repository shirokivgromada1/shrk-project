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БЮДЖЕТ на 2025 рік\ВИКОНАННЯ БЮДЖЕТУ 2025 рік\"/>
    </mc:Choice>
  </mc:AlternateContent>
  <xr:revisionPtr revIDLastSave="0" documentId="13_ncr:1_{2EE56E3E-24A7-44DE-925D-5A3BE003A405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Доходи" sheetId="3" r:id="rId1"/>
    <sheet name="Видатки" sheetId="2" r:id="rId2"/>
  </sheets>
  <definedNames>
    <definedName name="CREXPORT">#REF!</definedName>
    <definedName name="n" hidden="1">{#N/A,#N/A,FALSE,"Лист4"}</definedName>
    <definedName name="wrn.Інструкція." hidden="1">{#N/A,#N/A,FALSE,"Лист4"}</definedName>
    <definedName name="аа" hidden="1">{#N/A,#N/A,FALSE,"Лист4"}</definedName>
    <definedName name="аааа" hidden="1">{#N/A,#N/A,FALSE,"Лист4"}</definedName>
    <definedName name="ааааа" hidden="1">{#N/A,#N/A,FALSE,"Лист4"}</definedName>
    <definedName name="аааг" hidden="1">{#N/A,#N/A,FALSE,"Лист4"}</definedName>
    <definedName name="ааао" hidden="1">{#N/A,#N/A,FALSE,"Лист4"}</definedName>
    <definedName name="аааоркк" hidden="1">{#N/A,#N/A,FALSE,"Лист4"}</definedName>
    <definedName name="аарр" hidden="1">{#N/A,#N/A,FALSE,"Лист4"}</definedName>
    <definedName name="амп" hidden="1">{#N/A,#N/A,FALSE,"Лист4"}</definedName>
    <definedName name="ап" hidden="1">{#N/A,#N/A,FALSE,"Лист4"}</definedName>
    <definedName name="апро" hidden="1">{#N/A,#N/A,FALSE,"Лист4"}</definedName>
    <definedName name="аунуну" hidden="1">{#N/A,#N/A,FALSE,"Лист4"}</definedName>
    <definedName name="бб" hidden="1">{#N/A,#N/A,FALSE,"Лист4"}</definedName>
    <definedName name="вап" hidden="1">{#N/A,#N/A,FALSE,"Лист4"}</definedName>
    <definedName name="вапа" hidden="1">{#N/A,#N/A,FALSE,"Лист4"}</definedName>
    <definedName name="вапро" hidden="1">{#N/A,#N/A,FALSE,"Лист4"}</definedName>
    <definedName name="вау" hidden="1">{#N/A,#N/A,FALSE,"Лист4"}</definedName>
    <definedName name="вв" hidden="1">{#N/A,#N/A,FALSE,"Лист4"}</definedName>
    <definedName name="вмр" hidden="1">{#N/A,#N/A,FALSE,"Лист4"}</definedName>
    <definedName name="вруу" hidden="1">{#N/A,#N/A,FALSE,"Лист4"}</definedName>
    <definedName name="врууунуууу" hidden="1">{#N/A,#N/A,FALSE,"Лист4"}</definedName>
    <definedName name="гг" hidden="1">{#N/A,#N/A,FALSE,"Лист4"}</definedName>
    <definedName name="ггг" hidden="1">{#N/A,#N/A,FALSE,"Лист4"}</definedName>
    <definedName name="гго" hidden="1">{#N/A,#N/A,FALSE,"Лист4"}</definedName>
    <definedName name="ггшшз" hidden="1">{#N/A,#N/A,FALSE,"Лист4"}</definedName>
    <definedName name="гр" hidden="1">{#N/A,#N/A,FALSE,"Лист4"}</definedName>
    <definedName name="ддд" hidden="1">{#N/A,#N/A,FALSE,"Лист4"}</definedName>
    <definedName name="е" hidden="1">{#N/A,#N/A,FALSE,"Лист4"}</definedName>
    <definedName name="ее" hidden="1">{#N/A,#N/A,FALSE,"Лист4"}</definedName>
    <definedName name="ееге" hidden="1">{#N/A,#N/A,FALSE,"Лист4"}</definedName>
    <definedName name="еегше" hidden="1">{#N/A,#N/A,FALSE,"Лист4"}</definedName>
    <definedName name="еее" hidden="1">{#N/A,#N/A,FALSE,"Лист4"}</definedName>
    <definedName name="ееее" hidden="1">{#N/A,#N/A,FALSE,"Лист4"}</definedName>
    <definedName name="ееекк" hidden="1">{#N/A,#N/A,FALSE,"Лист4"}</definedName>
    <definedName name="еепке" hidden="1">{#N/A,#N/A,FALSE,"Лист4"}</definedName>
    <definedName name="еешгег" hidden="1">{#N/A,#N/A,FALSE,"Лист4"}</definedName>
    <definedName name="екуц" hidden="1">{#N/A,#N/A,FALSE,"Лист4"}</definedName>
    <definedName name="енг" hidden="1">{#N/A,#N/A,FALSE,"Лист4"}</definedName>
    <definedName name="епи" hidden="1">{#N/A,#N/A,FALSE,"Лист4"}</definedName>
    <definedName name="ешгееуу" hidden="1">{#N/A,#N/A,FALSE,"Лист4"}</definedName>
    <definedName name="є" hidden="1">{#N/A,#N/A,FALSE,"Лист4"}</definedName>
    <definedName name="єєє" hidden="1">{#N/A,#N/A,FALSE,"Лист4"}</definedName>
    <definedName name="єєєєєє" hidden="1">{#N/A,#N/A,FALSE,"Лист4"}</definedName>
    <definedName name="єєєєєєє" hidden="1">{#N/A,#N/A,FALSE,"Лист4"}</definedName>
    <definedName name="єєєєєєє." hidden="1">{#N/A,#N/A,FALSE,"Лист4"}</definedName>
    <definedName name="єж" hidden="1">{#N/A,#N/A,FALSE,"Лист4"}</definedName>
    <definedName name="жж" hidden="1">{#N/A,#N/A,FALSE,"Лист4"}</definedName>
    <definedName name="житлове" hidden="1">{#N/A,#N/A,FALSE,"Лист4"}</definedName>
    <definedName name="_xlnm.Print_Titles" localSheetId="1">Видатки!$7:$8</definedName>
    <definedName name="здоровя" hidden="1">{#N/A,#N/A,FALSE,"Лист4"}</definedName>
    <definedName name="зз" hidden="1">{#N/A,#N/A,FALSE,"Лист4"}</definedName>
    <definedName name="ззз" hidden="1">{#N/A,#N/A,FALSE,"Лист4"}</definedName>
    <definedName name="зззз" hidden="1">{#N/A,#N/A,FALSE,"Лист4"}</definedName>
    <definedName name="ип" hidden="1">{#N/A,#N/A,FALSE,"Лист4"}</definedName>
    <definedName name="ить" hidden="1">{#N/A,#N/A,FALSE,"Лист4"}</definedName>
    <definedName name="іваа" hidden="1">{#N/A,#N/A,FALSE,"Лист4"}</definedName>
    <definedName name="івап" hidden="1">{#N/A,#N/A,FALSE,"Лист4"}</definedName>
    <definedName name="івпа" hidden="1">{#N/A,#N/A,FALSE,"Лист4"}</definedName>
    <definedName name="іі" hidden="1">{#N/A,#N/A,FALSE,"Лист4"}</definedName>
    <definedName name="ііі" hidden="1">{#N/A,#N/A,FALSE,"Лист4"}</definedName>
    <definedName name="іііі" hidden="1">{#N/A,#N/A,FALSE,"Лист4"}</definedName>
    <definedName name="ін" hidden="1">{#N/A,#N/A,FALSE,"Лист4"}</definedName>
    <definedName name="інші" hidden="1">{#N/A,#N/A,FALSE,"Лист4"}</definedName>
    <definedName name="іук" hidden="1">{#N/A,#N/A,FALSE,"Лист4"}</definedName>
    <definedName name="їжд" hidden="1">{#N/A,#N/A,FALSE,"Лист4"}</definedName>
    <definedName name="ййй" hidden="1">{#N/A,#N/A,FALSE,"Лист4"}</definedName>
    <definedName name="йййй" hidden="1">{#N/A,#N/A,FALSE,"Лист4"}</definedName>
    <definedName name="кгккг" hidden="1">{#N/A,#N/A,FALSE,"Лист4"}</definedName>
    <definedName name="кгкккк" hidden="1">{#N/A,#N/A,FALSE,"Лист4"}</definedName>
    <definedName name="кеуц" hidden="1">{#N/A,#N/A,FALSE,"Лист4"}</definedName>
    <definedName name="кк" hidden="1">{#N/A,#N/A,FALSE,"Лист4"}</definedName>
    <definedName name="ккгкг" hidden="1">{#N/A,#N/A,FALSE,"Лист4"}</definedName>
    <definedName name="ккк" hidden="1">{#N/A,#N/A,FALSE,"Лист4"}</definedName>
    <definedName name="кккну" hidden="1">{#N/A,#N/A,FALSE,"Лист4"}</definedName>
    <definedName name="кккокк" hidden="1">{#N/A,#N/A,FALSE,"Лист4"}</definedName>
    <definedName name="комунальне" hidden="1">{#N/A,#N/A,FALSE,"Лист4"}</definedName>
    <definedName name="кот" hidden="1">{#N/A,#N/A,FALSE,"Лист4"}</definedName>
    <definedName name="кр" hidden="1">{#N/A,#N/A,FALSE,"Лист4"}</definedName>
    <definedName name="культура" hidden="1">{#N/A,#N/A,FALSE,"Лист4"}</definedName>
    <definedName name="л" hidden="1">{#N/A,#N/A,FALSE,"Лист4"}</definedName>
    <definedName name="лд" hidden="1">{#N/A,#N/A,FALSE,"Лист4"}</definedName>
    <definedName name="лл" hidden="1">{#N/A,#N/A,FALSE,"Лист4"}</definedName>
    <definedName name="ллл" hidden="1">{#N/A,#N/A,FALSE,"Лист4"}</definedName>
    <definedName name="лнпллпл" hidden="1">{#N/A,#N/A,FALSE,"Лист4"}</definedName>
    <definedName name="мак" hidden="1">{#N/A,#N/A,FALSE,"Лист4"}</definedName>
    <definedName name="мм" hidden="1">{#N/A,#N/A,FALSE,"Лист4"}</definedName>
    <definedName name="мпе" hidden="1">{#N/A,#N/A,FALSE,"Лист4"}</definedName>
    <definedName name="нгнгш" hidden="1">{#N/A,#N/A,FALSE,"Лист4"}</definedName>
    <definedName name="ннггг" hidden="1">{#N/A,#N/A,FALSE,"Лист4"}</definedName>
    <definedName name="ннн" hidden="1">{#N/A,#N/A,FALSE,"Лист4"}</definedName>
    <definedName name="ннннг" hidden="1">{#N/A,#N/A,FALSE,"Лист4"}</definedName>
    <definedName name="нннннннн" hidden="1">{#N/A,#N/A,FALSE,"Лист4"}</definedName>
    <definedName name="ннншенгке" hidden="1">{#N/A,#N/A,FALSE,"Лист4"}</definedName>
    <definedName name="нншекк" hidden="1">{#N/A,#N/A,FALSE,"Лист4"}</definedName>
    <definedName name="оггне" hidden="1">{#N/A,#N/A,FALSE,"Лист4"}</definedName>
    <definedName name="оллд" hidden="1">{#N/A,#N/A,FALSE,"Лист4"}</definedName>
    <definedName name="олол" hidden="1">{#N/A,#N/A,FALSE,"Лист4"}</definedName>
    <definedName name="оо" hidden="1">{#N/A,#N/A,FALSE,"Лист4"}</definedName>
    <definedName name="ооо" hidden="1">{#N/A,#N/A,FALSE,"Лист4"}</definedName>
    <definedName name="орнг" hidden="1">{#N/A,#N/A,FALSE,"Лист4"}</definedName>
    <definedName name="освіта" hidden="1">{#N/A,#N/A,FALSE,"Лист4"}</definedName>
    <definedName name="ох" hidden="1">{#N/A,#N/A,FALSE,"Лист4"}</definedName>
    <definedName name="охорона" hidden="1">{#N/A,#N/A,FALSE,"Лист4"}</definedName>
    <definedName name="плеккккг" hidden="1">{#N/A,#N/A,FALSE,"Лист4"}</definedName>
    <definedName name="пллеелш" hidden="1">{#N/A,#N/A,FALSE,"Лист4"}</definedName>
    <definedName name="попле" hidden="1">{#N/A,#N/A,FALSE,"Лист4"}</definedName>
    <definedName name="пот" hidden="1">{#N/A,#N/A,FALSE,"Лист4"}</definedName>
    <definedName name="пп" hidden="1">{#N/A,#N/A,FALSE,"Лист4"}</definedName>
    <definedName name="ппше" hidden="1">{#N/A,#N/A,FALSE,"Лист4"}</definedName>
    <definedName name="про" hidden="1">{#N/A,#N/A,FALSE,"Лист4"}</definedName>
    <definedName name="прое" hidden="1">{#N/A,#N/A,FALSE,"Лист4"}</definedName>
    <definedName name="прои" hidden="1">{#N/A,#N/A,FALSE,"Лист4"}</definedName>
    <definedName name="рор" hidden="1">{#N/A,#N/A,FALSE,"Лист4"}</definedName>
    <definedName name="роро" hidden="1">{#N/A,#N/A,FALSE,"Лист4"}</definedName>
    <definedName name="рррр" hidden="1">{#N/A,#N/A,FALSE,"Лист4"}</definedName>
    <definedName name="сми" hidden="1">{#N/A,#N/A,FALSE,"Лист4"}</definedName>
    <definedName name="сс" hidden="1">{#N/A,#N/A,FALSE,"Лист4"}</definedName>
    <definedName name="сум" hidden="1">{#N/A,#N/A,FALSE,"Лист4"}</definedName>
    <definedName name="Суми" hidden="1">{#N/A,#N/A,FALSE,"Лист4"}</definedName>
    <definedName name="счу" hidden="1">{#N/A,#N/A,FALSE,"Лист4"}</definedName>
    <definedName name="счя" hidden="1">{#N/A,#N/A,FALSE,"Лист4"}</definedName>
    <definedName name="тогн" hidden="1">{#N/A,#N/A,FALSE,"Лист4"}</definedName>
    <definedName name="трн" hidden="1">{#N/A,#N/A,FALSE,"Лист4"}</definedName>
    <definedName name="ттт" hidden="1">{#N/A,#N/A,FALSE,"Лист4"}</definedName>
    <definedName name="ть" hidden="1">{#N/A,#N/A,FALSE,"Лист4"}</definedName>
    <definedName name="уа" hidden="1">{#N/A,#N/A,FALSE,"Лист4"}</definedName>
    <definedName name="увке" hidden="1">{#N/A,#N/A,FALSE,"Лист4"}</definedName>
    <definedName name="уеунукнун" hidden="1">{#N/A,#N/A,FALSE,"Лист4"}</definedName>
    <definedName name="уке" hidden="1">{#N/A,#N/A,FALSE,"Лист4"}</definedName>
    <definedName name="укй" hidden="1">{#N/A,#N/A,FALSE,"Лист4"}</definedName>
    <definedName name="укунн" hidden="1">{#N/A,#N/A,FALSE,"Лист4"}</definedName>
    <definedName name="унунен" hidden="1">{#N/A,#N/A,FALSE,"Лист4"}</definedName>
    <definedName name="унунун" hidden="1">{#N/A,#N/A,FALSE,"Лист4"}</definedName>
    <definedName name="унуу" hidden="1">{#N/A,#N/A,FALSE,"Лист4"}</definedName>
    <definedName name="унуун" hidden="1">{#N/A,#N/A,FALSE,"Лист4"}</definedName>
    <definedName name="унууу" hidden="1">{#N/A,#N/A,FALSE,"Лист4"}</definedName>
    <definedName name="управ" hidden="1">{#N/A,#N/A,FALSE,"Лист4"}</definedName>
    <definedName name="управління" hidden="1">{#N/A,#N/A,FALSE,"Лист4"}</definedName>
    <definedName name="уукее" hidden="1">{#N/A,#N/A,FALSE,"Лист4"}</definedName>
    <definedName name="ууннну" hidden="1">{#N/A,#N/A,FALSE,"Лист4"}</definedName>
    <definedName name="ууну" hidden="1">{#N/A,#N/A,FALSE,"Лист4"}</definedName>
    <definedName name="уунунг" hidden="1">{#N/A,#N/A,FALSE,"Лист4"}</definedName>
    <definedName name="уунунууу" hidden="1">{#N/A,#N/A,FALSE,"Лист4"}</definedName>
    <definedName name="уунуурр" hidden="1">{#N/A,#N/A,FALSE,"Лист4"}</definedName>
    <definedName name="уунуууу" hidden="1">{#N/A,#N/A,FALSE,"Лист4"}</definedName>
    <definedName name="ууу" hidden="1">{#N/A,#N/A,FALSE,"Лист4"}</definedName>
    <definedName name="ууунну" hidden="1">{#N/A,#N/A,FALSE,"Лист4"}</definedName>
    <definedName name="ууунууууу" hidden="1">{#N/A,#N/A,FALSE,"Лист4"}</definedName>
    <definedName name="уууу" hidden="1">{#N/A,#N/A,FALSE,"Лист4"}</definedName>
    <definedName name="уууу32" hidden="1">{#N/A,#N/A,FALSE,"Лист4"}</definedName>
    <definedName name="уууун" hidden="1">{#N/A,#N/A,FALSE,"Лист4"}</definedName>
    <definedName name="фф" hidden="1">{#N/A,#N/A,FALSE,"Лист4"}</definedName>
    <definedName name="ффф" hidden="1">{#N/A,#N/A,FALSE,"Лист4"}</definedName>
    <definedName name="фффф" hidden="1">{#N/A,#N/A,FALSE,"Лист4"}</definedName>
    <definedName name="ффффф" hidden="1">{#N/A,#N/A,FALSE,"Лист4"}</definedName>
    <definedName name="хз" hidden="1">{#N/A,#N/A,FALSE,"Лист4"}</definedName>
    <definedName name="хїз" hidden="1">{#N/A,#N/A,FALSE,"Лист4"}</definedName>
    <definedName name="ххх" hidden="1">{#N/A,#N/A,FALSE,"Лист4"}</definedName>
    <definedName name="ц" hidden="1">{#N/A,#N/A,FALSE,"Лист4"}</definedName>
    <definedName name="цва" hidden="1">{#N/A,#N/A,FALSE,"Лист4"}</definedName>
    <definedName name="цекццецце" hidden="1">{#N/A,#N/A,FALSE,"Лист4"}</definedName>
    <definedName name="цеце" hidden="1">{#N/A,#N/A,FALSE,"Лист4"}</definedName>
    <definedName name="цецеце" hidden="1">{#N/A,#N/A,FALSE,"Лист4"}</definedName>
    <definedName name="цук" hidden="1">{#N/A,#N/A,FALSE,"Лист4"}</definedName>
    <definedName name="цуку" hidden="1">{#N/A,#N/A,FALSE,"Лист4"}</definedName>
    <definedName name="цууу" hidden="1">{#N/A,#N/A,FALSE,"Лист4"}</definedName>
    <definedName name="цц" hidden="1">{#N/A,#N/A,FALSE,"Лист4"}</definedName>
    <definedName name="ццвва" hidden="1">{#N/A,#N/A,FALSE,"Лист4"}</definedName>
    <definedName name="ццецц" hidden="1">{#N/A,#N/A,FALSE,"Лист4"}</definedName>
    <definedName name="ццеццке" hidden="1">{#N/A,#N/A,FALSE,"Лист4"}</definedName>
    <definedName name="ццеццкевап" hidden="1">{#N/A,#N/A,FALSE,"Лист4"}</definedName>
    <definedName name="ццке" hidden="1">{#N/A,#N/A,FALSE,"Лист4"}</definedName>
    <definedName name="ццук" hidden="1">{#N/A,#N/A,FALSE,"Лист4"}</definedName>
    <definedName name="цццецц" hidden="1">{#N/A,#N/A,FALSE,"Лист4"}</definedName>
    <definedName name="цццкеец" hidden="1">{#N/A,#N/A,FALSE,"Лист4"}</definedName>
    <definedName name="цццц" hidden="1">{#N/A,#N/A,FALSE,"Лист4"}</definedName>
    <definedName name="ццццкц" hidden="1">{#N/A,#N/A,FALSE,"Лист4"}</definedName>
    <definedName name="ццццц" hidden="1">{#N/A,#N/A,FALSE,"Лист4"}</definedName>
    <definedName name="цццццц" hidden="1">{#N/A,#N/A,FALSE,"Лист4"}</definedName>
    <definedName name="чву" hidden="1">{#N/A,#N/A,FALSE,"Лист4"}</definedName>
    <definedName name="чч" hidden="1">{#N/A,#N/A,FALSE,"Лист4"}</definedName>
    <definedName name="ччч" hidden="1">{#N/A,#N/A,FALSE,"Лист4"}</definedName>
    <definedName name="шш" hidden="1">{#N/A,#N/A,FALSE,"Лист4"}</definedName>
    <definedName name="шшшш" hidden="1">{#N/A,#N/A,FALSE,"Лист4"}</definedName>
    <definedName name="щщ" hidden="1">{#N/A,#N/A,FALSE,"Лист4"}</definedName>
    <definedName name="щщщ" hidden="1">{#N/A,#N/A,FALSE,"Лист4"}</definedName>
    <definedName name="щщщшг" hidden="1">{#N/A,#N/A,FALSE,"Лист4"}</definedName>
    <definedName name="юю" hidden="1">{#N/A,#N/A,FALSE,"Лист4"}</definedName>
    <definedName name="ююю" hidden="1">{#N/A,#N/A,FALSE,"Лист4"}</definedName>
    <definedName name="яяя" hidden="1">{#N/A,#N/A,FALSE,"Лист4"}</definedName>
    <definedName name="яяяя" hidden="1">{#N/A,#N/A,FALSE,"Лист4"}</definedName>
  </definedNames>
  <calcPr calcId="191029"/>
</workbook>
</file>

<file path=xl/calcChain.xml><?xml version="1.0" encoding="utf-8"?>
<calcChain xmlns="http://schemas.openxmlformats.org/spreadsheetml/2006/main">
  <c r="I9" i="2" l="1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</calcChain>
</file>

<file path=xl/sharedStrings.xml><?xml version="1.0" encoding="utf-8"?>
<sst xmlns="http://schemas.openxmlformats.org/spreadsheetml/2006/main" count="129" uniqueCount="122">
  <si>
    <t>Код</t>
  </si>
  <si>
    <t>Показник</t>
  </si>
  <si>
    <t>План на рік з урахуванням змін</t>
  </si>
  <si>
    <t>План на вказаний період з урахуванням змін</t>
  </si>
  <si>
    <t>Касові видатки за вказаний період</t>
  </si>
  <si>
    <t>Залишки плану на рік відносно касових</t>
  </si>
  <si>
    <t>Залишки плану на період відносно касових</t>
  </si>
  <si>
    <t>0110150</t>
  </si>
  <si>
    <t>Організаційне, інформаційно-аналітичне та матеріально-технічне забезпечення діяльності обласної ради, районної ради, районної у місті ради (у разі її створення), міської, селищної, сільської рад</t>
  </si>
  <si>
    <t>0111021</t>
  </si>
  <si>
    <t>Надання загальної середньої освіти закладами загальної середньої освіти за рахунок коштів місцевого бюджету</t>
  </si>
  <si>
    <t>0111031</t>
  </si>
  <si>
    <t>Надання загальної середньої освіти закладами загальної середньої освіти за рахунок освітньої субвенції</t>
  </si>
  <si>
    <t>0111183</t>
  </si>
  <si>
    <t>Співфінансування заходів, що реалізуються за рахунок субвенції з державного бюджету місцевим бюджетам на реалізацію публічного інвестиційного проекту на забезпечення якісної, сучасної та доступної загальної середньої освіти `Нова українська школа`</t>
  </si>
  <si>
    <t>0111184</t>
  </si>
  <si>
    <t>Виконання заходів, спрямованих на реалізацію публічного інвестиційного проекту на забезпечення якісної, сучасної та доступної загальної середньої освіти `Нова українська школа` за рахунок субвенції з державного бюджету місцевим бюджетам</t>
  </si>
  <si>
    <t>0111200</t>
  </si>
  <si>
    <t>Проведення (надання) додаткових психолого- педагогічних і корекційно-розвиткових занять (послуг) за рахунок субвенції з державного бюджету місцевим бюджетам на надання державної підтримки особам з особливими освітніми потребами</t>
  </si>
  <si>
    <t>0111600</t>
  </si>
  <si>
    <t>Здійснення доплат педагогічним працівникам закладів загальної середньої освіти за рахунок субвенції з державного бюджету місцевим бюджетам</t>
  </si>
  <si>
    <t>0111702</t>
  </si>
  <si>
    <t>Забезпечення харчуванням учнів закладів загальної середньої освіти за рахунок субвенції з державного бюджету місцевим бюджетам</t>
  </si>
  <si>
    <t>0112010</t>
  </si>
  <si>
    <t>Багатопрофільна стаціонарна медична допомога населенню</t>
  </si>
  <si>
    <t>0112151</t>
  </si>
  <si>
    <t>Забезпечення діяльності інших закладів у сфері охорони здоров`я</t>
  </si>
  <si>
    <t>0113031</t>
  </si>
  <si>
    <t>Надання інших пільг окремим категоріям громадян відповідно до законодавства</t>
  </si>
  <si>
    <t>0113032</t>
  </si>
  <si>
    <t>Надання пільг окремим категоріям громадян з оплати послуг зв`язку</t>
  </si>
  <si>
    <t>0113090</t>
  </si>
  <si>
    <t>Видатки на поховання учасників бойових дій та осіб з інвалідністю внаслідок війни</t>
  </si>
  <si>
    <t>0113112</t>
  </si>
  <si>
    <t>Заходи державної політики з питань дітей та їх соціального захисту</t>
  </si>
  <si>
    <t>0113140</t>
  </si>
  <si>
    <t>Оздоровлення та відпочинок дітей (крім заходів з оздоровлення дітей, що здійснюються за рахунок коштів на оздоровлення громадян, які постраждали внаслідок Чорнобильської катастрофи)</t>
  </si>
  <si>
    <t>0113160</t>
  </si>
  <si>
    <t>Надання соціальних гарантій фізичним особам, які надають соціальні послуги громадянам похилого віку, особам з інвалідністю, дітям з інвалідністю, хворим, які не здатні до самообслуговування і потребують сторонньої допомоги</t>
  </si>
  <si>
    <t>0113193</t>
  </si>
  <si>
    <t>Забезпечення діяльності фахівців із супроводу ветеранів війни та демобілізованих осіб та окремі заходи з підтримки осіб, які захищали незалежність, суверенітет та територіальну цілісність України</t>
  </si>
  <si>
    <t>0113230</t>
  </si>
  <si>
    <t>Видатки, пов`язані з наданням підтримки внутрішньо перемішеним та/або евакуйованим особам у зв`язку із введенням воєнного стану</t>
  </si>
  <si>
    <t>0113241</t>
  </si>
  <si>
    <t>Надання комплексу послуг особам/сім`ям у сфері соціального захисту та соціального забезпечення іншими надавачами соціальних послуг</t>
  </si>
  <si>
    <t>0113242</t>
  </si>
  <si>
    <t>Інші заходи у сфері соціального захисту і соціального забезпечення</t>
  </si>
  <si>
    <t>0114081</t>
  </si>
  <si>
    <t>Забезпечення діяльності інших закладів в галузі культури і мистецтва</t>
  </si>
  <si>
    <t>0116013</t>
  </si>
  <si>
    <t>Забезпечення діяльності водопровідно-каналізаційного господарства</t>
  </si>
  <si>
    <t>0116020</t>
  </si>
  <si>
    <t>Забезпечення функціонування підприємств, установ та організацій, що виробляють, виконують та/або надають житлово-комунальні послуги</t>
  </si>
  <si>
    <t>0116030</t>
  </si>
  <si>
    <t>Організація благоустрою населених пунктів</t>
  </si>
  <si>
    <t>0117130</t>
  </si>
  <si>
    <t>Здійснення заходів із землеустрою</t>
  </si>
  <si>
    <t>0117680</t>
  </si>
  <si>
    <t>Членські внески до асоціацій органів місцевого самоврядування</t>
  </si>
  <si>
    <t>0117693</t>
  </si>
  <si>
    <t>Інші заходи, пов`язані з економічною діяльністю</t>
  </si>
  <si>
    <t>0118110</t>
  </si>
  <si>
    <t>Заходи із запобігання та ліквідації надзвичайних ситуацій та наслідків стихійного лиха</t>
  </si>
  <si>
    <t>0118130</t>
  </si>
  <si>
    <t>Забезпечення діяльності місцевої та добровільної пожежної охорони</t>
  </si>
  <si>
    <t>0118240</t>
  </si>
  <si>
    <t>Заходи та роботи з територіальної оборони</t>
  </si>
  <si>
    <t>0118420</t>
  </si>
  <si>
    <t>Інші заходи у сфері медіа (засобів масової інформації)</t>
  </si>
  <si>
    <t>0119150</t>
  </si>
  <si>
    <t>Інші дотації з місцевого бюджету</t>
  </si>
  <si>
    <t>0119800</t>
  </si>
  <si>
    <t>Субвенція з місцевого бюджету державному бюджету на виконання програм соціально-економічного розвитку регіонів</t>
  </si>
  <si>
    <t>0910160</t>
  </si>
  <si>
    <t>Керівництво і управління у відповідній сфері у містах (місті Києві), селищах, селах, територіальних громадах</t>
  </si>
  <si>
    <t>1610160</t>
  </si>
  <si>
    <t>1616030</t>
  </si>
  <si>
    <t>3710160</t>
  </si>
  <si>
    <t>3718710</t>
  </si>
  <si>
    <t>Резервний фонд місцевого бюджету</t>
  </si>
  <si>
    <t xml:space="preserve"> </t>
  </si>
  <si>
    <t xml:space="preserve">Усього </t>
  </si>
  <si>
    <t>тис. грн</t>
  </si>
  <si>
    <t xml:space="preserve">% виконання на вказаний період </t>
  </si>
  <si>
    <t>ІНФОРМАЦІЯ</t>
  </si>
  <si>
    <t>про виконання доходної частини місцевого бюджету</t>
  </si>
  <si>
    <t>загальний фонд</t>
  </si>
  <si>
    <t>за січень-жовтень 2025 року</t>
  </si>
  <si>
    <t>ККД</t>
  </si>
  <si>
    <t>Доходи</t>
  </si>
  <si>
    <t xml:space="preserve"> Уточн. план на рік</t>
  </si>
  <si>
    <t xml:space="preserve"> Уточ.пл. на період</t>
  </si>
  <si>
    <t>Факт</t>
  </si>
  <si>
    <t>+/-</t>
  </si>
  <si>
    <t>% викон.</t>
  </si>
  <si>
    <t>Податкові надходження</t>
  </si>
  <si>
    <t>Податки на доходи, податки на прибуток, податки на збільшення ринкової вартості</t>
  </si>
  <si>
    <t>Податок та збір на доходи фізичних осіб</t>
  </si>
  <si>
    <t>Податок на прибуток підприємств</t>
  </si>
  <si>
    <t>Рентна плата та плата за використання інших природних ресурсів</t>
  </si>
  <si>
    <t>Внутрішні податки на товари та послуги</t>
  </si>
  <si>
    <t>Місцеві податки та збори, що сплачуються (перераховуються) згідно з Податковим кодексом України</t>
  </si>
  <si>
    <t>Податок на майно</t>
  </si>
  <si>
    <t>Єдиний податок</t>
  </si>
  <si>
    <t>Неподаткові надходження</t>
  </si>
  <si>
    <t>Офіційні трансферти</t>
  </si>
  <si>
    <t>Базова дотація</t>
  </si>
  <si>
    <t>Додаткова дотація з державного бюджету місцевим бюджетам на здійснення повноважень органів місцевого самоврядування на деокупованих, тимчасово окупованих та інших територіях України, що зазнали негативного впливу у зв`язку з повномасштабною збройною агрес</t>
  </si>
  <si>
    <t>Субвенція з державного бюджету місцевим бюджетам на забезпечення харчуванням учнів закладів загальної середньої освіти</t>
  </si>
  <si>
    <t>Субвенція з державного бюджету місцевим бюджетам на реалізацію публічного інвестиційного проекту на облаштування безпечних умов у закладах, що надають загальну середню освіту (облаштування укриттів), зокрема військових (військово- морських, військово-спор</t>
  </si>
  <si>
    <t>Освітня субвенція з державного бюджету місцевим бюджетам</t>
  </si>
  <si>
    <t>Субвенція з державного бюджету місцевим бюджетам на надання державної підтримки особам з особливими освітніми потребами</t>
  </si>
  <si>
    <t>Субвенція з державного бюджету місцевим бюджетам на реалізацію публічного інвестиційного проекту на забезпечення якісної, сучасної та доступної загальної середньої освіти `Нова українська школа`</t>
  </si>
  <si>
    <t>Субвенція з державного бюджету місцевим бюджетам на здійснення доплат педагогічним працівникам закладів загальної середньої освіти</t>
  </si>
  <si>
    <t>Субвенція з місцевого бюджету на здійснення переданих видатків у сфері освіти за рахунок коштів освітньої субвенції</t>
  </si>
  <si>
    <t>Інші субвенції з місцевого бюджету</t>
  </si>
  <si>
    <t>Субвенція з місцевого бюджету на реалізацію публічного інвестиційного проекту на облаштування безпечних умов у закладах, що надають загальну середню освіту (протипожежний захист), зокрема військових (військово-морських, військово- спортивних) ліцеях, ліце</t>
  </si>
  <si>
    <t>Всього без урахування трансфертів</t>
  </si>
  <si>
    <t>ВСЬОГО</t>
  </si>
  <si>
    <t>про виконання видаткової частини місцевого бюджету</t>
  </si>
  <si>
    <t>0852300000 - Бюджет Широкiвської сiльської територiальної громади</t>
  </si>
  <si>
    <t>Субвенція з місцевого бюджету на забезпечення діяльності фахівців із супроводу ветеранів війни та демобілізованих осіб та окремі заходи з підтримки осіб, які захищали незалежність, суверенітет та територіальну цілісність України, за рахунок відповідної субвенції з державного бюджету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</si>
</sst>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 x14ac:knownFonts="1">
    <font>
      <sz val="10"/>
      <color theme="1"/>
      <name val="Calibri"/>
      <family val="2"/>
      <charset val="204"/>
      <scheme val="minor"/>
    </font>
    <font>
      <sz val="10"/>
      <name val="Arial"/>
      <charset val="204"/>
    </font>
    <font>
      <b/>
      <sz val="10"/>
      <name val="Arial"/>
      <family val="2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0"/>
      <name val="Arial"/>
      <family val="2"/>
      <charset val="204"/>
    </font>
    <font>
      <sz val="11"/>
      <color indexed="62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sz val="10"/>
      <name val="Arial"/>
    </font>
    <font>
      <sz val="10"/>
      <name val="Arial Cyr"/>
      <charset val="204"/>
    </font>
    <font>
      <sz val="11"/>
      <color indexed="52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b/>
      <sz val="11"/>
      <color indexed="52"/>
      <name val="Calibri"/>
      <family val="2"/>
      <charset val="204"/>
    </font>
    <font>
      <sz val="10"/>
      <color indexed="8"/>
      <name val="Calibri"/>
      <family val="2"/>
      <charset val="204"/>
    </font>
    <font>
      <b/>
      <sz val="11"/>
      <color indexed="8"/>
      <name val="Calibri"/>
      <family val="2"/>
      <charset val="204"/>
    </font>
    <font>
      <sz val="11"/>
      <color indexed="20"/>
      <name val="Calibri"/>
      <family val="2"/>
      <charset val="204"/>
    </font>
    <font>
      <b/>
      <sz val="11"/>
      <color indexed="63"/>
      <name val="Calibri"/>
      <family val="2"/>
      <charset val="204"/>
    </font>
    <font>
      <sz val="11"/>
      <color indexed="60"/>
      <name val="Calibri"/>
      <family val="2"/>
      <charset val="204"/>
    </font>
    <font>
      <sz val="10"/>
      <name val="Helv"/>
      <charset val="204"/>
    </font>
    <font>
      <sz val="11"/>
      <color indexed="10"/>
      <name val="Calibri"/>
      <family val="2"/>
      <charset val="204"/>
    </font>
    <font>
      <i/>
      <sz val="11"/>
      <color indexed="23"/>
      <name val="Calibri"/>
      <family val="2"/>
      <charset val="204"/>
    </font>
    <font>
      <b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0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</fonts>
  <fills count="25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67">
    <xf numFmtId="0" fontId="0" fillId="0" borderId="0"/>
    <xf numFmtId="0" fontId="1" fillId="0" borderId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6" borderId="0" applyNumberFormat="0" applyBorder="0" applyAlignment="0" applyProtection="0"/>
    <xf numFmtId="0" fontId="3" fillId="9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6" borderId="0" applyNumberFormat="0" applyBorder="0" applyAlignment="0" applyProtection="0"/>
    <xf numFmtId="0" fontId="3" fillId="9" borderId="0" applyNumberFormat="0" applyBorder="0" applyAlignment="0" applyProtection="0"/>
    <xf numFmtId="0" fontId="3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3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5" fillId="0" borderId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20" borderId="0" applyNumberFormat="0" applyBorder="0" applyAlignment="0" applyProtection="0"/>
    <xf numFmtId="0" fontId="6" fillId="8" borderId="2" applyNumberFormat="0" applyAlignment="0" applyProtection="0"/>
    <xf numFmtId="0" fontId="7" fillId="5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0" borderId="0"/>
    <xf numFmtId="0" fontId="12" fillId="0" borderId="0"/>
    <xf numFmtId="0" fontId="13" fillId="0" borderId="6" applyNumberFormat="0" applyFill="0" applyAlignment="0" applyProtection="0"/>
    <xf numFmtId="0" fontId="14" fillId="21" borderId="7" applyNumberFormat="0" applyAlignment="0" applyProtection="0"/>
    <xf numFmtId="0" fontId="15" fillId="0" borderId="0" applyNumberFormat="0" applyFill="0" applyBorder="0" applyAlignment="0" applyProtection="0"/>
    <xf numFmtId="0" fontId="16" fillId="22" borderId="2" applyNumberFormat="0" applyAlignment="0" applyProtection="0"/>
    <xf numFmtId="0" fontId="17" fillId="0" borderId="0"/>
    <xf numFmtId="0" fontId="18" fillId="0" borderId="8" applyNumberFormat="0" applyFill="0" applyAlignment="0" applyProtection="0"/>
    <xf numFmtId="0" fontId="19" fillId="4" borderId="0" applyNumberFormat="0" applyBorder="0" applyAlignment="0" applyProtection="0"/>
    <xf numFmtId="0" fontId="3" fillId="23" borderId="9" applyNumberFormat="0" applyFont="0" applyAlignment="0" applyProtection="0"/>
    <xf numFmtId="0" fontId="1" fillId="23" borderId="9" applyNumberFormat="0" applyFont="0" applyAlignment="0" applyProtection="0"/>
    <xf numFmtId="0" fontId="20" fillId="22" borderId="10" applyNumberFormat="0" applyAlignment="0" applyProtection="0"/>
    <xf numFmtId="0" fontId="21" fillId="24" borderId="0" applyNumberFormat="0" applyBorder="0" applyAlignment="0" applyProtection="0"/>
    <xf numFmtId="0" fontId="22" fillId="0" borderId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</cellStyleXfs>
  <cellXfs count="52">
    <xf numFmtId="0" fontId="0" fillId="0" borderId="0" xfId="0"/>
    <xf numFmtId="0" fontId="1" fillId="0" borderId="0" xfId="1"/>
    <xf numFmtId="0" fontId="2" fillId="0" borderId="0" xfId="1" applyFont="1" applyAlignment="1">
      <alignment horizontal="center"/>
    </xf>
    <xf numFmtId="4" fontId="1" fillId="0" borderId="0" xfId="1" applyNumberFormat="1" applyAlignment="1">
      <alignment vertical="center"/>
    </xf>
    <xf numFmtId="0" fontId="1" fillId="0" borderId="0" xfId="1" applyAlignment="1">
      <alignment wrapText="1"/>
    </xf>
    <xf numFmtId="0" fontId="1" fillId="0" borderId="0" xfId="1" applyAlignment="1">
      <alignment vertical="center" wrapText="1"/>
    </xf>
    <xf numFmtId="0" fontId="1" fillId="0" borderId="0" xfId="1" applyAlignment="1">
      <alignment horizontal="center"/>
    </xf>
    <xf numFmtId="0" fontId="1" fillId="0" borderId="0" xfId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1" fillId="0" borderId="1" xfId="1" applyBorder="1"/>
    <xf numFmtId="0" fontId="1" fillId="0" borderId="1" xfId="1" applyBorder="1" applyAlignment="1">
      <alignment vertical="center"/>
    </xf>
    <xf numFmtId="0" fontId="25" fillId="0" borderId="0" xfId="0" applyFont="1" applyAlignment="1">
      <alignment horizontal="center"/>
    </xf>
    <xf numFmtId="0" fontId="26" fillId="0" borderId="0" xfId="0" applyFont="1"/>
    <xf numFmtId="0" fontId="25" fillId="0" borderId="0" xfId="0" applyFont="1"/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 wrapText="1"/>
    </xf>
    <xf numFmtId="0" fontId="27" fillId="0" borderId="0" xfId="1" applyFont="1" applyAlignment="1">
      <alignment horizontal="center"/>
    </xf>
    <xf numFmtId="0" fontId="27" fillId="0" borderId="0" xfId="1" applyFont="1" applyAlignment="1">
      <alignment wrapText="1"/>
    </xf>
    <xf numFmtId="0" fontId="27" fillId="0" borderId="0" xfId="1" applyFont="1"/>
    <xf numFmtId="0" fontId="29" fillId="0" borderId="0" xfId="0" applyFont="1"/>
    <xf numFmtId="0" fontId="28" fillId="0" borderId="1" xfId="0" applyFont="1" applyBorder="1" applyAlignment="1">
      <alignment horizontal="center" vertical="center" wrapText="1"/>
    </xf>
    <xf numFmtId="49" fontId="28" fillId="0" borderId="1" xfId="0" applyNumberFormat="1" applyFont="1" applyBorder="1" applyAlignment="1">
      <alignment horizontal="center" vertical="center" wrapText="1"/>
    </xf>
    <xf numFmtId="0" fontId="28" fillId="0" borderId="1" xfId="0" applyFont="1" applyBorder="1"/>
    <xf numFmtId="4" fontId="28" fillId="0" borderId="1" xfId="0" applyNumberFormat="1" applyFont="1" applyBorder="1"/>
    <xf numFmtId="0" fontId="29" fillId="0" borderId="1" xfId="0" applyFont="1" applyBorder="1"/>
    <xf numFmtId="0" fontId="29" fillId="0" borderId="1" xfId="0" applyFont="1" applyBorder="1" applyAlignment="1">
      <alignment wrapText="1"/>
    </xf>
    <xf numFmtId="4" fontId="29" fillId="0" borderId="1" xfId="0" applyNumberFormat="1" applyFont="1" applyBorder="1"/>
    <xf numFmtId="0" fontId="28" fillId="0" borderId="1" xfId="0" applyFont="1" applyBorder="1" applyAlignment="1">
      <alignment wrapText="1"/>
    </xf>
    <xf numFmtId="4" fontId="28" fillId="2" borderId="1" xfId="0" applyNumberFormat="1" applyFont="1" applyFill="1" applyBorder="1"/>
    <xf numFmtId="0" fontId="30" fillId="0" borderId="0" xfId="1" applyFont="1"/>
    <xf numFmtId="0" fontId="30" fillId="0" borderId="0" xfId="1" applyFont="1" applyAlignment="1">
      <alignment horizontal="center"/>
    </xf>
    <xf numFmtId="0" fontId="31" fillId="0" borderId="0" xfId="1" applyFont="1" applyAlignment="1">
      <alignment horizontal="center"/>
    </xf>
    <xf numFmtId="0" fontId="31" fillId="0" borderId="0" xfId="1" applyFont="1" applyAlignment="1">
      <alignment wrapText="1"/>
    </xf>
    <xf numFmtId="0" fontId="31" fillId="0" borderId="0" xfId="1" applyFont="1"/>
    <xf numFmtId="0" fontId="31" fillId="0" borderId="0" xfId="1" applyFont="1" applyAlignment="1">
      <alignment horizontal="right"/>
    </xf>
    <xf numFmtId="0" fontId="30" fillId="0" borderId="1" xfId="1" applyFont="1" applyBorder="1" applyAlignment="1">
      <alignment horizontal="center" vertical="center" wrapText="1"/>
    </xf>
    <xf numFmtId="0" fontId="31" fillId="0" borderId="1" xfId="1" applyFont="1" applyBorder="1" applyAlignment="1">
      <alignment horizontal="center" vertical="center"/>
    </xf>
    <xf numFmtId="0" fontId="31" fillId="0" borderId="1" xfId="1" applyFont="1" applyBorder="1" applyAlignment="1">
      <alignment vertical="center" wrapText="1"/>
    </xf>
    <xf numFmtId="4" fontId="31" fillId="0" borderId="1" xfId="1" applyNumberFormat="1" applyFont="1" applyBorder="1" applyAlignment="1">
      <alignment vertical="center"/>
    </xf>
    <xf numFmtId="0" fontId="31" fillId="0" borderId="1" xfId="1" applyFont="1" applyBorder="1" applyAlignment="1">
      <alignment horizontal="center"/>
    </xf>
    <xf numFmtId="0" fontId="31" fillId="0" borderId="1" xfId="1" applyFont="1" applyBorder="1" applyAlignment="1">
      <alignment wrapText="1"/>
    </xf>
    <xf numFmtId="4" fontId="31" fillId="0" borderId="1" xfId="1" applyNumberFormat="1" applyFont="1" applyBorder="1"/>
    <xf numFmtId="4" fontId="30" fillId="2" borderId="1" xfId="1" applyNumberFormat="1" applyFont="1" applyFill="1" applyBorder="1"/>
    <xf numFmtId="0" fontId="28" fillId="0" borderId="0" xfId="0" applyFont="1" applyAlignment="1">
      <alignment horizontal="center"/>
    </xf>
    <xf numFmtId="4" fontId="28" fillId="2" borderId="13" xfId="0" applyNumberFormat="1" applyFont="1" applyFill="1" applyBorder="1" applyAlignment="1">
      <alignment horizontal="left"/>
    </xf>
    <xf numFmtId="4" fontId="28" fillId="2" borderId="12" xfId="0" applyNumberFormat="1" applyFont="1" applyFill="1" applyBorder="1" applyAlignment="1">
      <alignment horizontal="left"/>
    </xf>
    <xf numFmtId="0" fontId="28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29" fillId="0" borderId="13" xfId="0" applyFont="1" applyBorder="1" applyAlignment="1">
      <alignment horizontal="center" vertical="center"/>
    </xf>
    <xf numFmtId="0" fontId="29" fillId="0" borderId="11" xfId="0" applyFont="1" applyBorder="1" applyAlignment="1">
      <alignment horizontal="center" vertical="center"/>
    </xf>
    <xf numFmtId="0" fontId="29" fillId="0" borderId="12" xfId="0" applyFont="1" applyBorder="1" applyAlignment="1">
      <alignment horizontal="center" vertical="center"/>
    </xf>
    <xf numFmtId="0" fontId="29" fillId="0" borderId="1" xfId="0" applyFont="1" applyBorder="1" applyAlignment="1">
      <alignment vertical="center" wrapText="1"/>
    </xf>
  </cellXfs>
  <cellStyles count="67">
    <cellStyle name="20% — акцент1" xfId="2" xr:uid="{00000000-0005-0000-0000-000000000000}"/>
    <cellStyle name="20% — акцент2" xfId="3" xr:uid="{00000000-0005-0000-0000-000001000000}"/>
    <cellStyle name="20% — акцент3" xfId="4" xr:uid="{00000000-0005-0000-0000-000002000000}"/>
    <cellStyle name="20% — акцент4" xfId="5" xr:uid="{00000000-0005-0000-0000-000003000000}"/>
    <cellStyle name="20% — акцент5" xfId="6" xr:uid="{00000000-0005-0000-0000-000004000000}"/>
    <cellStyle name="20% — акцент6" xfId="7" xr:uid="{00000000-0005-0000-0000-000005000000}"/>
    <cellStyle name="20% – Акцентування1" xfId="8" xr:uid="{00000000-0005-0000-0000-000006000000}"/>
    <cellStyle name="20% – Акцентування2" xfId="9" xr:uid="{00000000-0005-0000-0000-000007000000}"/>
    <cellStyle name="20% – Акцентування3" xfId="10" xr:uid="{00000000-0005-0000-0000-000008000000}"/>
    <cellStyle name="20% – Акцентування4" xfId="11" xr:uid="{00000000-0005-0000-0000-000009000000}"/>
    <cellStyle name="20% – Акцентування5" xfId="12" xr:uid="{00000000-0005-0000-0000-00000A000000}"/>
    <cellStyle name="20% – Акцентування6" xfId="13" xr:uid="{00000000-0005-0000-0000-00000B000000}"/>
    <cellStyle name="40% — акцент1" xfId="14" xr:uid="{00000000-0005-0000-0000-00000C000000}"/>
    <cellStyle name="40% — акцент2" xfId="15" xr:uid="{00000000-0005-0000-0000-00000D000000}"/>
    <cellStyle name="40% — акцент3" xfId="16" xr:uid="{00000000-0005-0000-0000-00000E000000}"/>
    <cellStyle name="40% — акцент4" xfId="17" xr:uid="{00000000-0005-0000-0000-00000F000000}"/>
    <cellStyle name="40% — акцент5" xfId="18" xr:uid="{00000000-0005-0000-0000-000010000000}"/>
    <cellStyle name="40% — акцент6" xfId="19" xr:uid="{00000000-0005-0000-0000-000011000000}"/>
    <cellStyle name="40% – Акцентування1" xfId="20" xr:uid="{00000000-0005-0000-0000-000012000000}"/>
    <cellStyle name="40% – Акцентування2" xfId="21" xr:uid="{00000000-0005-0000-0000-000013000000}"/>
    <cellStyle name="40% – Акцентування3" xfId="22" xr:uid="{00000000-0005-0000-0000-000014000000}"/>
    <cellStyle name="40% – Акцентування4" xfId="23" xr:uid="{00000000-0005-0000-0000-000015000000}"/>
    <cellStyle name="40% – Акцентування5" xfId="24" xr:uid="{00000000-0005-0000-0000-000016000000}"/>
    <cellStyle name="40% – Акцентування6" xfId="25" xr:uid="{00000000-0005-0000-0000-000017000000}"/>
    <cellStyle name="60% — акцент1" xfId="26" xr:uid="{00000000-0005-0000-0000-000018000000}"/>
    <cellStyle name="60% — акцент2" xfId="27" xr:uid="{00000000-0005-0000-0000-000019000000}"/>
    <cellStyle name="60% — акцент3" xfId="28" xr:uid="{00000000-0005-0000-0000-00001A000000}"/>
    <cellStyle name="60% — акцент4" xfId="29" xr:uid="{00000000-0005-0000-0000-00001B000000}"/>
    <cellStyle name="60% — акцент5" xfId="30" xr:uid="{00000000-0005-0000-0000-00001C000000}"/>
    <cellStyle name="60% — акцент6" xfId="31" xr:uid="{00000000-0005-0000-0000-00001D000000}"/>
    <cellStyle name="60% – Акцентування1" xfId="32" xr:uid="{00000000-0005-0000-0000-00001E000000}"/>
    <cellStyle name="60% – Акцентування2" xfId="33" xr:uid="{00000000-0005-0000-0000-00001F000000}"/>
    <cellStyle name="60% – Акцентування3" xfId="34" xr:uid="{00000000-0005-0000-0000-000020000000}"/>
    <cellStyle name="60% – Акцентування4" xfId="35" xr:uid="{00000000-0005-0000-0000-000021000000}"/>
    <cellStyle name="60% – Акцентування5" xfId="36" xr:uid="{00000000-0005-0000-0000-000022000000}"/>
    <cellStyle name="60% – Акцентування6" xfId="37" xr:uid="{00000000-0005-0000-0000-000023000000}"/>
    <cellStyle name="Normal_Доходи" xfId="38" xr:uid="{00000000-0005-0000-0000-000024000000}"/>
    <cellStyle name="Акцентування1" xfId="39" xr:uid="{00000000-0005-0000-0000-000025000000}"/>
    <cellStyle name="Акцентування2" xfId="40" xr:uid="{00000000-0005-0000-0000-000026000000}"/>
    <cellStyle name="Акцентування3" xfId="41" xr:uid="{00000000-0005-0000-0000-000027000000}"/>
    <cellStyle name="Акцентування4" xfId="42" xr:uid="{00000000-0005-0000-0000-000028000000}"/>
    <cellStyle name="Акцентування5" xfId="43" xr:uid="{00000000-0005-0000-0000-000029000000}"/>
    <cellStyle name="Акцентування6" xfId="44" xr:uid="{00000000-0005-0000-0000-00002A000000}"/>
    <cellStyle name="Ввід" xfId="45" xr:uid="{00000000-0005-0000-0000-00002B000000}"/>
    <cellStyle name="Добре" xfId="46" xr:uid="{00000000-0005-0000-0000-00002C000000}"/>
    <cellStyle name="Заголовок 1 2" xfId="47" xr:uid="{00000000-0005-0000-0000-00002D000000}"/>
    <cellStyle name="Заголовок 2 2" xfId="48" xr:uid="{00000000-0005-0000-0000-00002E000000}"/>
    <cellStyle name="Заголовок 3 2" xfId="49" xr:uid="{00000000-0005-0000-0000-00002F000000}"/>
    <cellStyle name="Заголовок 4 2" xfId="50" xr:uid="{00000000-0005-0000-0000-000030000000}"/>
    <cellStyle name="Звичайний 2" xfId="51" xr:uid="{00000000-0005-0000-0000-000031000000}"/>
    <cellStyle name="Звичайний 3" xfId="52" xr:uid="{00000000-0005-0000-0000-000032000000}"/>
    <cellStyle name="Зв'язана клітинка" xfId="53" xr:uid="{00000000-0005-0000-0000-000033000000}"/>
    <cellStyle name="Контрольна клітинка" xfId="54" xr:uid="{00000000-0005-0000-0000-000034000000}"/>
    <cellStyle name="Назва" xfId="55" xr:uid="{00000000-0005-0000-0000-000035000000}"/>
    <cellStyle name="Обчислення" xfId="56" xr:uid="{00000000-0005-0000-0000-000036000000}"/>
    <cellStyle name="Обычный" xfId="0" builtinId="0"/>
    <cellStyle name="Обычный 2" xfId="1" xr:uid="{00000000-0005-0000-0000-000038000000}"/>
    <cellStyle name="Обычный 3" xfId="57" xr:uid="{00000000-0005-0000-0000-000039000000}"/>
    <cellStyle name="Підсумок" xfId="58" xr:uid="{00000000-0005-0000-0000-00003A000000}"/>
    <cellStyle name="Поганий" xfId="59" xr:uid="{00000000-0005-0000-0000-00003B000000}"/>
    <cellStyle name="Примечание 2" xfId="60" xr:uid="{00000000-0005-0000-0000-00003C000000}"/>
    <cellStyle name="Примітка" xfId="61" xr:uid="{00000000-0005-0000-0000-00003D000000}"/>
    <cellStyle name="Результат" xfId="62" xr:uid="{00000000-0005-0000-0000-00003E000000}"/>
    <cellStyle name="Середній" xfId="63" xr:uid="{00000000-0005-0000-0000-00003F000000}"/>
    <cellStyle name="Стиль 1" xfId="64" xr:uid="{00000000-0005-0000-0000-000040000000}"/>
    <cellStyle name="Текст попередження" xfId="65" xr:uid="{00000000-0005-0000-0000-000041000000}"/>
    <cellStyle name="Текст пояснення" xfId="66" xr:uid="{00000000-0005-0000-0000-000042000000}"/>
  </cellStyles>
  <dxfs count="51"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3"/>
  <sheetViews>
    <sheetView tabSelected="1" topLeftCell="A28" workbookViewId="0">
      <selection activeCell="C42" sqref="C42"/>
    </sheetView>
  </sheetViews>
  <sheetFormatPr defaultRowHeight="12.75" x14ac:dyDescent="0.2"/>
  <cols>
    <col min="1" max="1" width="10.140625" style="12" bestFit="1" customWidth="1"/>
    <col min="2" max="2" width="52.28515625" style="12" customWidth="1"/>
    <col min="3" max="4" width="14.42578125" style="12" customWidth="1"/>
    <col min="5" max="5" width="14.140625" style="12" customWidth="1"/>
    <col min="6" max="6" width="12.28515625" style="12" customWidth="1"/>
    <col min="7" max="7" width="14.7109375" style="12" customWidth="1"/>
    <col min="8" max="16384" width="9.140625" style="12"/>
  </cols>
  <sheetData>
    <row r="1" spans="1:13" x14ac:dyDescent="0.2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14.25" x14ac:dyDescent="0.2">
      <c r="A2" s="43" t="s">
        <v>84</v>
      </c>
      <c r="B2" s="43"/>
      <c r="C2" s="43"/>
      <c r="D2" s="43"/>
      <c r="E2" s="43"/>
      <c r="F2" s="43"/>
      <c r="G2" s="43"/>
      <c r="H2" s="13"/>
      <c r="I2" s="13"/>
      <c r="J2" s="13"/>
      <c r="K2" s="13"/>
      <c r="L2" s="13"/>
      <c r="M2" s="13"/>
    </row>
    <row r="3" spans="1:13" ht="14.25" x14ac:dyDescent="0.2">
      <c r="A3" s="43" t="s">
        <v>85</v>
      </c>
      <c r="B3" s="43"/>
      <c r="C3" s="43"/>
      <c r="D3" s="43"/>
      <c r="E3" s="43"/>
      <c r="F3" s="43"/>
      <c r="G3" s="43"/>
      <c r="H3" s="13"/>
      <c r="I3" s="13"/>
      <c r="J3" s="11"/>
      <c r="K3" s="11"/>
      <c r="L3" s="11"/>
      <c r="M3" s="11"/>
    </row>
    <row r="4" spans="1:13" ht="14.25" x14ac:dyDescent="0.2">
      <c r="A4" s="43" t="s">
        <v>86</v>
      </c>
      <c r="B4" s="43"/>
      <c r="C4" s="43"/>
      <c r="D4" s="43"/>
      <c r="E4" s="43"/>
      <c r="F4" s="43"/>
      <c r="G4" s="43"/>
      <c r="H4" s="13"/>
      <c r="I4" s="13"/>
      <c r="J4" s="13"/>
      <c r="K4" s="13"/>
      <c r="L4" s="13"/>
      <c r="M4" s="13"/>
    </row>
    <row r="5" spans="1:13" ht="14.25" x14ac:dyDescent="0.2">
      <c r="A5" s="43" t="s">
        <v>87</v>
      </c>
      <c r="B5" s="43"/>
      <c r="C5" s="43"/>
      <c r="D5" s="43"/>
      <c r="E5" s="43"/>
      <c r="F5" s="43"/>
      <c r="G5" s="43"/>
      <c r="H5" s="13"/>
      <c r="I5" s="13"/>
      <c r="J5" s="13"/>
      <c r="K5" s="13"/>
      <c r="L5" s="13"/>
      <c r="M5" s="13"/>
    </row>
    <row r="6" spans="1:13" ht="15" x14ac:dyDescent="0.25">
      <c r="A6" s="19"/>
      <c r="B6" s="19"/>
      <c r="C6" s="19"/>
      <c r="D6" s="19"/>
      <c r="E6" s="19"/>
      <c r="F6" s="19" t="s">
        <v>82</v>
      </c>
      <c r="G6" s="19"/>
    </row>
    <row r="7" spans="1:13" ht="17.25" customHeight="1" x14ac:dyDescent="0.2">
      <c r="A7" s="46" t="s">
        <v>88</v>
      </c>
      <c r="B7" s="46" t="s">
        <v>89</v>
      </c>
      <c r="C7" s="48" t="s">
        <v>120</v>
      </c>
      <c r="D7" s="49"/>
      <c r="E7" s="49"/>
      <c r="F7" s="49"/>
      <c r="G7" s="50"/>
      <c r="H7" s="14"/>
      <c r="I7" s="14"/>
      <c r="J7" s="14"/>
      <c r="K7" s="14"/>
      <c r="L7" s="14"/>
      <c r="M7" s="14"/>
    </row>
    <row r="8" spans="1:13" ht="31.5" customHeight="1" x14ac:dyDescent="0.2">
      <c r="A8" s="47"/>
      <c r="B8" s="47"/>
      <c r="C8" s="20" t="s">
        <v>90</v>
      </c>
      <c r="D8" s="20" t="s">
        <v>91</v>
      </c>
      <c r="E8" s="20" t="s">
        <v>92</v>
      </c>
      <c r="F8" s="21" t="s">
        <v>93</v>
      </c>
      <c r="G8" s="20" t="s">
        <v>94</v>
      </c>
      <c r="H8" s="15"/>
      <c r="I8" s="15"/>
      <c r="J8" s="15"/>
      <c r="K8" s="15"/>
      <c r="L8" s="15"/>
      <c r="M8" s="15"/>
    </row>
    <row r="9" spans="1:13" ht="14.25" x14ac:dyDescent="0.2">
      <c r="A9" s="22">
        <v>10000000</v>
      </c>
      <c r="B9" s="22" t="s">
        <v>95</v>
      </c>
      <c r="C9" s="23">
        <v>158162.4</v>
      </c>
      <c r="D9" s="23">
        <v>132186.57500000001</v>
      </c>
      <c r="E9" s="23">
        <v>139636.71902999998</v>
      </c>
      <c r="F9" s="23">
        <v>7450.1440299999667</v>
      </c>
      <c r="G9" s="23">
        <v>105.63608220426315</v>
      </c>
    </row>
    <row r="10" spans="1:13" ht="35.25" customHeight="1" x14ac:dyDescent="0.25">
      <c r="A10" s="24">
        <v>11000000</v>
      </c>
      <c r="B10" s="25" t="s">
        <v>96</v>
      </c>
      <c r="C10" s="26">
        <v>67656.3</v>
      </c>
      <c r="D10" s="26">
        <v>54022.597999999998</v>
      </c>
      <c r="E10" s="26">
        <v>57748.388489999998</v>
      </c>
      <c r="F10" s="26">
        <v>3725.7904899999994</v>
      </c>
      <c r="G10" s="26">
        <v>106.89672586646056</v>
      </c>
    </row>
    <row r="11" spans="1:13" ht="19.5" customHeight="1" x14ac:dyDescent="0.25">
      <c r="A11" s="24">
        <v>11010000</v>
      </c>
      <c r="B11" s="25" t="s">
        <v>97</v>
      </c>
      <c r="C11" s="26">
        <v>67442.600000000006</v>
      </c>
      <c r="D11" s="26">
        <v>53833.898000000001</v>
      </c>
      <c r="E11" s="26">
        <v>57561.125889999996</v>
      </c>
      <c r="F11" s="26">
        <v>3727.2278899999947</v>
      </c>
      <c r="G11" s="26">
        <v>106.92357051685167</v>
      </c>
    </row>
    <row r="12" spans="1:13" ht="22.5" customHeight="1" x14ac:dyDescent="0.25">
      <c r="A12" s="24">
        <v>11020000</v>
      </c>
      <c r="B12" s="25" t="s">
        <v>98</v>
      </c>
      <c r="C12" s="26">
        <v>213.70000000000002</v>
      </c>
      <c r="D12" s="26">
        <v>188.70000000000002</v>
      </c>
      <c r="E12" s="26">
        <v>187.26260000000002</v>
      </c>
      <c r="F12" s="26">
        <v>-1.4373999999999967</v>
      </c>
      <c r="G12" s="26">
        <v>99.238261791202959</v>
      </c>
    </row>
    <row r="13" spans="1:13" ht="34.5" customHeight="1" x14ac:dyDescent="0.25">
      <c r="A13" s="24">
        <v>13000000</v>
      </c>
      <c r="B13" s="25" t="s">
        <v>99</v>
      </c>
      <c r="C13" s="26">
        <v>3</v>
      </c>
      <c r="D13" s="26">
        <v>1.927</v>
      </c>
      <c r="E13" s="26">
        <v>1.36527</v>
      </c>
      <c r="F13" s="26">
        <v>-0.56173000000000006</v>
      </c>
      <c r="G13" s="26">
        <v>70.849507005708361</v>
      </c>
    </row>
    <row r="14" spans="1:13" ht="18.75" customHeight="1" x14ac:dyDescent="0.25">
      <c r="A14" s="24">
        <v>14000000</v>
      </c>
      <c r="B14" s="25" t="s">
        <v>100</v>
      </c>
      <c r="C14" s="26">
        <v>30222.400000000001</v>
      </c>
      <c r="D14" s="26">
        <v>25222.600000000002</v>
      </c>
      <c r="E14" s="26">
        <v>26798.661469999999</v>
      </c>
      <c r="F14" s="26">
        <v>1576.0614699999969</v>
      </c>
      <c r="G14" s="26">
        <v>106.24860827194658</v>
      </c>
    </row>
    <row r="15" spans="1:13" ht="47.25" customHeight="1" x14ac:dyDescent="0.2">
      <c r="A15" s="22">
        <v>18000000</v>
      </c>
      <c r="B15" s="27" t="s">
        <v>101</v>
      </c>
      <c r="C15" s="23">
        <v>60280.700000000004</v>
      </c>
      <c r="D15" s="23">
        <v>52939.450000000004</v>
      </c>
      <c r="E15" s="23">
        <v>55088.303800000009</v>
      </c>
      <c r="F15" s="23">
        <v>2148.8538000000044</v>
      </c>
      <c r="G15" s="23">
        <v>104.05907843772462</v>
      </c>
    </row>
    <row r="16" spans="1:13" ht="19.5" customHeight="1" x14ac:dyDescent="0.25">
      <c r="A16" s="24">
        <v>18010000</v>
      </c>
      <c r="B16" s="25" t="s">
        <v>102</v>
      </c>
      <c r="C16" s="26">
        <v>20274.8</v>
      </c>
      <c r="D16" s="26">
        <v>18157.55</v>
      </c>
      <c r="E16" s="26">
        <v>18689.395270000001</v>
      </c>
      <c r="F16" s="26">
        <v>531.84527000000162</v>
      </c>
      <c r="G16" s="26">
        <v>102.92905854589414</v>
      </c>
    </row>
    <row r="17" spans="1:7" ht="17.25" customHeight="1" x14ac:dyDescent="0.25">
      <c r="A17" s="24">
        <v>18050000</v>
      </c>
      <c r="B17" s="25" t="s">
        <v>103</v>
      </c>
      <c r="C17" s="26">
        <v>40005.9</v>
      </c>
      <c r="D17" s="26">
        <v>34781.9</v>
      </c>
      <c r="E17" s="26">
        <v>36398.908530000001</v>
      </c>
      <c r="F17" s="26">
        <v>1617.0085299999992</v>
      </c>
      <c r="G17" s="26">
        <v>104.64899424700778</v>
      </c>
    </row>
    <row r="18" spans="1:7" ht="18" customHeight="1" x14ac:dyDescent="0.2">
      <c r="A18" s="22">
        <v>20000000</v>
      </c>
      <c r="B18" s="27" t="s">
        <v>104</v>
      </c>
      <c r="C18" s="23">
        <v>5601.8</v>
      </c>
      <c r="D18" s="23">
        <v>5196.0600000000004</v>
      </c>
      <c r="E18" s="23">
        <v>5093.2046</v>
      </c>
      <c r="F18" s="23">
        <v>-102.85540000000037</v>
      </c>
      <c r="G18" s="23">
        <v>98.020511695399975</v>
      </c>
    </row>
    <row r="19" spans="1:7" ht="18.75" customHeight="1" x14ac:dyDescent="0.2">
      <c r="A19" s="22">
        <v>40000000</v>
      </c>
      <c r="B19" s="27" t="s">
        <v>105</v>
      </c>
      <c r="C19" s="23">
        <v>108841.516</v>
      </c>
      <c r="D19" s="23">
        <v>91160.915999999997</v>
      </c>
      <c r="E19" s="23">
        <v>90837.911000000007</v>
      </c>
      <c r="F19" s="23">
        <v>-323.0049999999901</v>
      </c>
      <c r="G19" s="23">
        <v>99.645676004396449</v>
      </c>
    </row>
    <row r="20" spans="1:7" ht="20.25" customHeight="1" x14ac:dyDescent="0.25">
      <c r="A20" s="24">
        <v>41020100</v>
      </c>
      <c r="B20" s="25" t="s">
        <v>106</v>
      </c>
      <c r="C20" s="26">
        <v>17634.2</v>
      </c>
      <c r="D20" s="26">
        <v>14695</v>
      </c>
      <c r="E20" s="26">
        <v>14695</v>
      </c>
      <c r="F20" s="26">
        <v>0</v>
      </c>
      <c r="G20" s="26">
        <v>100</v>
      </c>
    </row>
    <row r="21" spans="1:7" ht="83.25" customHeight="1" x14ac:dyDescent="0.25">
      <c r="A21" s="24">
        <v>41021400</v>
      </c>
      <c r="B21" s="51" t="s">
        <v>107</v>
      </c>
      <c r="C21" s="26">
        <v>19759.7</v>
      </c>
      <c r="D21" s="26">
        <v>15554</v>
      </c>
      <c r="E21" s="26">
        <v>15554</v>
      </c>
      <c r="F21" s="26">
        <v>0</v>
      </c>
      <c r="G21" s="26">
        <v>100</v>
      </c>
    </row>
    <row r="22" spans="1:7" ht="51.75" customHeight="1" x14ac:dyDescent="0.25">
      <c r="A22" s="24">
        <v>41031100</v>
      </c>
      <c r="B22" s="51" t="s">
        <v>108</v>
      </c>
      <c r="C22" s="26">
        <v>549.9</v>
      </c>
      <c r="D22" s="26">
        <v>183.3</v>
      </c>
      <c r="E22" s="26">
        <v>183.3</v>
      </c>
      <c r="F22" s="26">
        <v>0</v>
      </c>
      <c r="G22" s="26">
        <v>100</v>
      </c>
    </row>
    <row r="23" spans="1:7" ht="85.5" customHeight="1" x14ac:dyDescent="0.25">
      <c r="A23" s="24">
        <v>41032800</v>
      </c>
      <c r="B23" s="51" t="s">
        <v>109</v>
      </c>
      <c r="C23" s="26">
        <v>15032.1</v>
      </c>
      <c r="D23" s="26">
        <v>15032.1</v>
      </c>
      <c r="E23" s="26">
        <v>15032.1</v>
      </c>
      <c r="F23" s="26">
        <v>0</v>
      </c>
      <c r="G23" s="26">
        <v>100</v>
      </c>
    </row>
    <row r="24" spans="1:7" ht="33.75" customHeight="1" x14ac:dyDescent="0.25">
      <c r="A24" s="24">
        <v>41033900</v>
      </c>
      <c r="B24" s="25" t="s">
        <v>110</v>
      </c>
      <c r="C24" s="26">
        <v>47438.9</v>
      </c>
      <c r="D24" s="26">
        <v>39544.400000000001</v>
      </c>
      <c r="E24" s="26">
        <v>39544.400000000001</v>
      </c>
      <c r="F24" s="26">
        <v>0</v>
      </c>
      <c r="G24" s="26">
        <v>100</v>
      </c>
    </row>
    <row r="25" spans="1:7" ht="52.5" customHeight="1" x14ac:dyDescent="0.25">
      <c r="A25" s="24">
        <v>41035400</v>
      </c>
      <c r="B25" s="25" t="s">
        <v>111</v>
      </c>
      <c r="C25" s="26">
        <v>205.4</v>
      </c>
      <c r="D25" s="26">
        <v>164</v>
      </c>
      <c r="E25" s="26">
        <v>164</v>
      </c>
      <c r="F25" s="26">
        <v>0</v>
      </c>
      <c r="G25" s="26">
        <v>100</v>
      </c>
    </row>
    <row r="26" spans="1:7" ht="67.5" customHeight="1" x14ac:dyDescent="0.25">
      <c r="A26" s="24">
        <v>41036000</v>
      </c>
      <c r="B26" s="51" t="s">
        <v>112</v>
      </c>
      <c r="C26" s="26">
        <v>253.6</v>
      </c>
      <c r="D26" s="26">
        <v>253.6</v>
      </c>
      <c r="E26" s="26">
        <v>253.6</v>
      </c>
      <c r="F26" s="26">
        <v>0</v>
      </c>
      <c r="G26" s="26">
        <v>100</v>
      </c>
    </row>
    <row r="27" spans="1:7" ht="45" x14ac:dyDescent="0.25">
      <c r="A27" s="24">
        <v>41036300</v>
      </c>
      <c r="B27" s="25" t="s">
        <v>113</v>
      </c>
      <c r="C27" s="26">
        <v>5608.1</v>
      </c>
      <c r="D27" s="26">
        <v>3774.9</v>
      </c>
      <c r="E27" s="26">
        <v>3774.9</v>
      </c>
      <c r="F27" s="26">
        <v>0</v>
      </c>
      <c r="G27" s="26">
        <v>100</v>
      </c>
    </row>
    <row r="28" spans="1:7" ht="45" x14ac:dyDescent="0.25">
      <c r="A28" s="24">
        <v>41051000</v>
      </c>
      <c r="B28" s="25" t="s">
        <v>114</v>
      </c>
      <c r="C28" s="26">
        <v>327.488</v>
      </c>
      <c r="D28" s="26">
        <v>327.488</v>
      </c>
      <c r="E28" s="26">
        <v>327.488</v>
      </c>
      <c r="F28" s="26">
        <v>0</v>
      </c>
      <c r="G28" s="26">
        <v>100</v>
      </c>
    </row>
    <row r="29" spans="1:7" ht="15" x14ac:dyDescent="0.25">
      <c r="A29" s="24">
        <v>41053900</v>
      </c>
      <c r="B29" s="25" t="s">
        <v>115</v>
      </c>
      <c r="C29" s="26">
        <v>508</v>
      </c>
      <c r="D29" s="26">
        <v>108</v>
      </c>
      <c r="E29" s="26">
        <v>0</v>
      </c>
      <c r="F29" s="26">
        <v>-108</v>
      </c>
      <c r="G29" s="26">
        <v>0</v>
      </c>
    </row>
    <row r="30" spans="1:7" ht="87.75" customHeight="1" x14ac:dyDescent="0.25">
      <c r="A30" s="24">
        <v>41057900</v>
      </c>
      <c r="B30" s="51" t="s">
        <v>116</v>
      </c>
      <c r="C30" s="26">
        <v>883.30000000000007</v>
      </c>
      <c r="D30" s="26">
        <v>883.30000000000007</v>
      </c>
      <c r="E30" s="26">
        <v>883.30000000000007</v>
      </c>
      <c r="F30" s="26">
        <v>0</v>
      </c>
      <c r="G30" s="26">
        <v>100</v>
      </c>
    </row>
    <row r="31" spans="1:7" ht="95.25" customHeight="1" x14ac:dyDescent="0.25">
      <c r="A31" s="24">
        <v>41059300</v>
      </c>
      <c r="B31" s="51" t="s">
        <v>121</v>
      </c>
      <c r="C31" s="26">
        <v>640.82799999999997</v>
      </c>
      <c r="D31" s="26">
        <v>640.82799999999997</v>
      </c>
      <c r="E31" s="26">
        <v>425.82300000000004</v>
      </c>
      <c r="F31" s="26">
        <v>-215.00499999999994</v>
      </c>
      <c r="G31" s="26">
        <v>66.448875517299498</v>
      </c>
    </row>
    <row r="32" spans="1:7" ht="18" customHeight="1" x14ac:dyDescent="0.2">
      <c r="A32" s="44" t="s">
        <v>117</v>
      </c>
      <c r="B32" s="45"/>
      <c r="C32" s="28">
        <v>163764.20000000001</v>
      </c>
      <c r="D32" s="28">
        <v>137382.63500000001</v>
      </c>
      <c r="E32" s="28">
        <v>144729.92362999998</v>
      </c>
      <c r="F32" s="28">
        <v>7347.2886299999664</v>
      </c>
      <c r="G32" s="28">
        <v>105.34804753890472</v>
      </c>
    </row>
    <row r="33" spans="1:7" ht="19.5" customHeight="1" x14ac:dyDescent="0.2">
      <c r="A33" s="44" t="s">
        <v>118</v>
      </c>
      <c r="B33" s="45"/>
      <c r="C33" s="28">
        <v>272605.71600000001</v>
      </c>
      <c r="D33" s="28">
        <v>228543.55100000001</v>
      </c>
      <c r="E33" s="28">
        <v>235567.83462999997</v>
      </c>
      <c r="F33" s="28">
        <v>7024.2836299999617</v>
      </c>
      <c r="G33" s="28">
        <v>103.07349894550293</v>
      </c>
    </row>
  </sheetData>
  <mergeCells count="9">
    <mergeCell ref="A33:B33"/>
    <mergeCell ref="A7:A8"/>
    <mergeCell ref="C7:G7"/>
    <mergeCell ref="B7:B8"/>
    <mergeCell ref="A2:G2"/>
    <mergeCell ref="A3:G3"/>
    <mergeCell ref="A4:G4"/>
    <mergeCell ref="A5:G5"/>
    <mergeCell ref="A32:B32"/>
  </mergeCells>
  <pageMargins left="0.78740157480314965" right="0.31496062992125984" top="0.35433070866141736" bottom="0.55118110236220474" header="0.31496062992125984" footer="0.31496062992125984"/>
  <pageSetup paperSize="9" scale="65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57"/>
  <sheetViews>
    <sheetView topLeftCell="B1" workbookViewId="0">
      <selection activeCell="N12" sqref="N12"/>
    </sheetView>
  </sheetViews>
  <sheetFormatPr defaultRowHeight="12.75" x14ac:dyDescent="0.2"/>
  <cols>
    <col min="1" max="1" width="0" style="1" hidden="1" customWidth="1"/>
    <col min="2" max="2" width="12.7109375" style="6" customWidth="1"/>
    <col min="3" max="3" width="53.5703125" style="4" customWidth="1"/>
    <col min="4" max="4" width="14.42578125" style="1" customWidth="1"/>
    <col min="5" max="5" width="15.5703125" style="1" customWidth="1"/>
    <col min="6" max="6" width="13.140625" style="1" customWidth="1"/>
    <col min="7" max="7" width="15.7109375" style="1" customWidth="1"/>
    <col min="8" max="8" width="13.85546875" style="1" customWidth="1"/>
    <col min="9" max="9" width="12.85546875" style="1" customWidth="1"/>
    <col min="10" max="16384" width="9.140625" style="1"/>
  </cols>
  <sheetData>
    <row r="1" spans="1:10" x14ac:dyDescent="0.2">
      <c r="B1" s="16"/>
      <c r="C1" s="17"/>
      <c r="D1" s="18"/>
      <c r="E1" s="18"/>
      <c r="F1" s="18"/>
      <c r="G1" s="18"/>
      <c r="H1" s="18"/>
      <c r="I1" s="18"/>
    </row>
    <row r="2" spans="1:10" ht="14.25" x14ac:dyDescent="0.2">
      <c r="B2" s="29"/>
      <c r="C2" s="43" t="s">
        <v>84</v>
      </c>
      <c r="D2" s="43"/>
      <c r="E2" s="43"/>
      <c r="F2" s="43"/>
      <c r="G2" s="43"/>
      <c r="H2" s="43"/>
      <c r="I2" s="43"/>
    </row>
    <row r="3" spans="1:10" ht="14.25" x14ac:dyDescent="0.2">
      <c r="B3" s="30"/>
      <c r="C3" s="43" t="s">
        <v>119</v>
      </c>
      <c r="D3" s="43"/>
      <c r="E3" s="43"/>
      <c r="F3" s="43"/>
      <c r="G3" s="43"/>
      <c r="H3" s="43"/>
      <c r="I3" s="43"/>
    </row>
    <row r="4" spans="1:10" ht="14.25" x14ac:dyDescent="0.2">
      <c r="B4" s="30"/>
      <c r="C4" s="43" t="s">
        <v>86</v>
      </c>
      <c r="D4" s="43"/>
      <c r="E4" s="43"/>
      <c r="F4" s="43"/>
      <c r="G4" s="43"/>
      <c r="H4" s="43"/>
      <c r="I4" s="43"/>
    </row>
    <row r="5" spans="1:10" ht="14.25" x14ac:dyDescent="0.2">
      <c r="B5" s="29"/>
      <c r="C5" s="43" t="s">
        <v>87</v>
      </c>
      <c r="D5" s="43"/>
      <c r="E5" s="43"/>
      <c r="F5" s="43"/>
      <c r="G5" s="43"/>
      <c r="H5" s="43"/>
      <c r="I5" s="43"/>
    </row>
    <row r="6" spans="1:10" ht="15" x14ac:dyDescent="0.25">
      <c r="B6" s="31"/>
      <c r="C6" s="32"/>
      <c r="D6" s="33"/>
      <c r="E6" s="33"/>
      <c r="F6" s="33"/>
      <c r="G6" s="33"/>
      <c r="H6" s="33"/>
      <c r="I6" s="34" t="s">
        <v>82</v>
      </c>
    </row>
    <row r="7" spans="1:10" s="2" customFormat="1" ht="80.25" customHeight="1" x14ac:dyDescent="0.2">
      <c r="A7" s="8"/>
      <c r="B7" s="35" t="s">
        <v>0</v>
      </c>
      <c r="C7" s="35" t="s">
        <v>1</v>
      </c>
      <c r="D7" s="35" t="s">
        <v>2</v>
      </c>
      <c r="E7" s="35" t="s">
        <v>3</v>
      </c>
      <c r="F7" s="35" t="s">
        <v>4</v>
      </c>
      <c r="G7" s="35" t="s">
        <v>5</v>
      </c>
      <c r="H7" s="35" t="s">
        <v>6</v>
      </c>
      <c r="I7" s="35" t="s">
        <v>83</v>
      </c>
    </row>
    <row r="8" spans="1:10" ht="14.25" x14ac:dyDescent="0.2">
      <c r="A8" s="9"/>
      <c r="B8" s="35">
        <v>1</v>
      </c>
      <c r="C8" s="35">
        <v>2</v>
      </c>
      <c r="D8" s="35">
        <v>3</v>
      </c>
      <c r="E8" s="35">
        <v>4</v>
      </c>
      <c r="F8" s="35">
        <v>5</v>
      </c>
      <c r="G8" s="35">
        <v>6</v>
      </c>
      <c r="H8" s="35">
        <v>7</v>
      </c>
      <c r="I8" s="35">
        <v>8</v>
      </c>
    </row>
    <row r="9" spans="1:10" ht="60" x14ac:dyDescent="0.2">
      <c r="A9" s="10">
        <v>0</v>
      </c>
      <c r="B9" s="36" t="s">
        <v>7</v>
      </c>
      <c r="C9" s="37" t="s">
        <v>8</v>
      </c>
      <c r="D9" s="38">
        <v>40119.162000000004</v>
      </c>
      <c r="E9" s="38">
        <v>29487.331999999999</v>
      </c>
      <c r="F9" s="38">
        <v>25512.355020000006</v>
      </c>
      <c r="G9" s="38">
        <f t="shared" ref="G9:G47" si="0">D9-F9</f>
        <v>14606.806979999998</v>
      </c>
      <c r="H9" s="38">
        <f t="shared" ref="H9:H47" si="1">E9-F9</f>
        <v>3974.9769799999922</v>
      </c>
      <c r="I9" s="38">
        <f t="shared" ref="I9:I47" si="2">IF(E9=0,0,(F9/E9)*100)</f>
        <v>86.519713007606143</v>
      </c>
      <c r="J9" s="3"/>
    </row>
    <row r="10" spans="1:10" ht="30" x14ac:dyDescent="0.2">
      <c r="A10" s="10">
        <v>0</v>
      </c>
      <c r="B10" s="36" t="s">
        <v>9</v>
      </c>
      <c r="C10" s="37" t="s">
        <v>10</v>
      </c>
      <c r="D10" s="38">
        <v>22033.195</v>
      </c>
      <c r="E10" s="38">
        <v>17991.761999999999</v>
      </c>
      <c r="F10" s="38">
        <v>15268.434810000001</v>
      </c>
      <c r="G10" s="38">
        <f t="shared" si="0"/>
        <v>6764.7601899999991</v>
      </c>
      <c r="H10" s="38">
        <f t="shared" si="1"/>
        <v>2723.3271899999982</v>
      </c>
      <c r="I10" s="38">
        <f t="shared" si="2"/>
        <v>84.863477017981907</v>
      </c>
      <c r="J10" s="3"/>
    </row>
    <row r="11" spans="1:10" ht="30" x14ac:dyDescent="0.2">
      <c r="A11" s="10">
        <v>0</v>
      </c>
      <c r="B11" s="36" t="s">
        <v>11</v>
      </c>
      <c r="C11" s="37" t="s">
        <v>12</v>
      </c>
      <c r="D11" s="38">
        <v>47766.388000000006</v>
      </c>
      <c r="E11" s="38">
        <v>39871.887999999999</v>
      </c>
      <c r="F11" s="38">
        <v>38946.999660000001</v>
      </c>
      <c r="G11" s="38">
        <f t="shared" si="0"/>
        <v>8819.388340000005</v>
      </c>
      <c r="H11" s="38">
        <f t="shared" si="1"/>
        <v>924.8883399999977</v>
      </c>
      <c r="I11" s="38">
        <f t="shared" si="2"/>
        <v>97.680349774256996</v>
      </c>
      <c r="J11" s="3"/>
    </row>
    <row r="12" spans="1:10" ht="75" x14ac:dyDescent="0.2">
      <c r="A12" s="10">
        <v>0</v>
      </c>
      <c r="B12" s="36" t="s">
        <v>13</v>
      </c>
      <c r="C12" s="37" t="s">
        <v>14</v>
      </c>
      <c r="D12" s="38">
        <v>41.698</v>
      </c>
      <c r="E12" s="38">
        <v>41.698</v>
      </c>
      <c r="F12" s="38">
        <v>41.681550000000001</v>
      </c>
      <c r="G12" s="38">
        <f t="shared" si="0"/>
        <v>1.6449999999998965E-2</v>
      </c>
      <c r="H12" s="38">
        <f t="shared" si="1"/>
        <v>1.6449999999998965E-2</v>
      </c>
      <c r="I12" s="38">
        <f t="shared" si="2"/>
        <v>99.960549666650678</v>
      </c>
      <c r="J12" s="3"/>
    </row>
    <row r="13" spans="1:10" ht="80.25" customHeight="1" x14ac:dyDescent="0.2">
      <c r="A13" s="10">
        <v>0</v>
      </c>
      <c r="B13" s="36" t="s">
        <v>15</v>
      </c>
      <c r="C13" s="37" t="s">
        <v>16</v>
      </c>
      <c r="D13" s="38">
        <v>253.60000000000002</v>
      </c>
      <c r="E13" s="38">
        <v>253.60000000000002</v>
      </c>
      <c r="F13" s="38">
        <v>253.60000000000002</v>
      </c>
      <c r="G13" s="38">
        <f t="shared" si="0"/>
        <v>0</v>
      </c>
      <c r="H13" s="38">
        <f t="shared" si="1"/>
        <v>0</v>
      </c>
      <c r="I13" s="38">
        <f t="shared" si="2"/>
        <v>100</v>
      </c>
      <c r="J13" s="3"/>
    </row>
    <row r="14" spans="1:10" ht="82.5" customHeight="1" x14ac:dyDescent="0.2">
      <c r="A14" s="10">
        <v>0</v>
      </c>
      <c r="B14" s="36" t="s">
        <v>17</v>
      </c>
      <c r="C14" s="37" t="s">
        <v>18</v>
      </c>
      <c r="D14" s="38">
        <v>205.4</v>
      </c>
      <c r="E14" s="38">
        <v>164</v>
      </c>
      <c r="F14" s="38">
        <v>163.01509999999999</v>
      </c>
      <c r="G14" s="38">
        <f t="shared" si="0"/>
        <v>42.384900000000016</v>
      </c>
      <c r="H14" s="38">
        <f t="shared" si="1"/>
        <v>0.98490000000001032</v>
      </c>
      <c r="I14" s="38">
        <f t="shared" si="2"/>
        <v>99.399451219512187</v>
      </c>
      <c r="J14" s="3"/>
    </row>
    <row r="15" spans="1:10" ht="48.75" customHeight="1" x14ac:dyDescent="0.2">
      <c r="A15" s="10">
        <v>0</v>
      </c>
      <c r="B15" s="36" t="s">
        <v>19</v>
      </c>
      <c r="C15" s="37" t="s">
        <v>20</v>
      </c>
      <c r="D15" s="38">
        <v>5608.1</v>
      </c>
      <c r="E15" s="38">
        <v>3774.9</v>
      </c>
      <c r="F15" s="38">
        <v>3591.8262000000004</v>
      </c>
      <c r="G15" s="38">
        <f t="shared" si="0"/>
        <v>2016.2737999999999</v>
      </c>
      <c r="H15" s="38">
        <f t="shared" si="1"/>
        <v>183.07379999999966</v>
      </c>
      <c r="I15" s="38">
        <f t="shared" si="2"/>
        <v>95.150234443296526</v>
      </c>
      <c r="J15" s="3"/>
    </row>
    <row r="16" spans="1:10" ht="51" customHeight="1" x14ac:dyDescent="0.2">
      <c r="A16" s="10">
        <v>0</v>
      </c>
      <c r="B16" s="36" t="s">
        <v>21</v>
      </c>
      <c r="C16" s="37" t="s">
        <v>22</v>
      </c>
      <c r="D16" s="38">
        <v>549.9</v>
      </c>
      <c r="E16" s="38">
        <v>183.3</v>
      </c>
      <c r="F16" s="38">
        <v>91.51</v>
      </c>
      <c r="G16" s="38">
        <f t="shared" si="0"/>
        <v>458.39</v>
      </c>
      <c r="H16" s="38">
        <f t="shared" si="1"/>
        <v>91.79</v>
      </c>
      <c r="I16" s="38">
        <f t="shared" si="2"/>
        <v>49.923622476813968</v>
      </c>
      <c r="J16" s="3"/>
    </row>
    <row r="17" spans="1:10" ht="30" x14ac:dyDescent="0.2">
      <c r="A17" s="10">
        <v>0</v>
      </c>
      <c r="B17" s="36" t="s">
        <v>23</v>
      </c>
      <c r="C17" s="37" t="s">
        <v>24</v>
      </c>
      <c r="D17" s="38">
        <v>2235.3360000000002</v>
      </c>
      <c r="E17" s="38">
        <v>2235.3360000000002</v>
      </c>
      <c r="F17" s="38">
        <v>2234.4180000000001</v>
      </c>
      <c r="G17" s="38">
        <f t="shared" si="0"/>
        <v>0.91800000000012005</v>
      </c>
      <c r="H17" s="38">
        <f t="shared" si="1"/>
        <v>0.91800000000012005</v>
      </c>
      <c r="I17" s="38">
        <f t="shared" si="2"/>
        <v>99.958932348425463</v>
      </c>
      <c r="J17" s="3"/>
    </row>
    <row r="18" spans="1:10" ht="30" x14ac:dyDescent="0.2">
      <c r="A18" s="10">
        <v>0</v>
      </c>
      <c r="B18" s="36" t="s">
        <v>25</v>
      </c>
      <c r="C18" s="37" t="s">
        <v>26</v>
      </c>
      <c r="D18" s="38">
        <v>1310.2850000000001</v>
      </c>
      <c r="E18" s="38">
        <v>1310.2850000000001</v>
      </c>
      <c r="F18" s="38">
        <v>1277.1045100000001</v>
      </c>
      <c r="G18" s="38">
        <f t="shared" si="0"/>
        <v>33.180489999999963</v>
      </c>
      <c r="H18" s="38">
        <f t="shared" si="1"/>
        <v>33.180489999999963</v>
      </c>
      <c r="I18" s="38">
        <f t="shared" si="2"/>
        <v>97.46768909054137</v>
      </c>
      <c r="J18" s="3"/>
    </row>
    <row r="19" spans="1:10" ht="30" x14ac:dyDescent="0.2">
      <c r="A19" s="10">
        <v>0</v>
      </c>
      <c r="B19" s="36" t="s">
        <v>27</v>
      </c>
      <c r="C19" s="37" t="s">
        <v>28</v>
      </c>
      <c r="D19" s="38">
        <v>60</v>
      </c>
      <c r="E19" s="38">
        <v>50</v>
      </c>
      <c r="F19" s="38">
        <v>0</v>
      </c>
      <c r="G19" s="38">
        <f t="shared" si="0"/>
        <v>60</v>
      </c>
      <c r="H19" s="38">
        <f t="shared" si="1"/>
        <v>50</v>
      </c>
      <c r="I19" s="38">
        <f t="shared" si="2"/>
        <v>0</v>
      </c>
      <c r="J19" s="3"/>
    </row>
    <row r="20" spans="1:10" ht="30" x14ac:dyDescent="0.2">
      <c r="A20" s="10">
        <v>0</v>
      </c>
      <c r="B20" s="36" t="s">
        <v>29</v>
      </c>
      <c r="C20" s="37" t="s">
        <v>30</v>
      </c>
      <c r="D20" s="38">
        <v>1.62</v>
      </c>
      <c r="E20" s="38">
        <v>1.35</v>
      </c>
      <c r="F20" s="38">
        <v>0</v>
      </c>
      <c r="G20" s="38">
        <f t="shared" si="0"/>
        <v>1.62</v>
      </c>
      <c r="H20" s="38">
        <f t="shared" si="1"/>
        <v>1.35</v>
      </c>
      <c r="I20" s="38">
        <f t="shared" si="2"/>
        <v>0</v>
      </c>
      <c r="J20" s="3"/>
    </row>
    <row r="21" spans="1:10" ht="30" x14ac:dyDescent="0.2">
      <c r="A21" s="10">
        <v>0</v>
      </c>
      <c r="B21" s="36" t="s">
        <v>31</v>
      </c>
      <c r="C21" s="37" t="s">
        <v>32</v>
      </c>
      <c r="D21" s="38">
        <v>0</v>
      </c>
      <c r="E21" s="38">
        <v>0</v>
      </c>
      <c r="F21" s="38">
        <v>0</v>
      </c>
      <c r="G21" s="38">
        <f t="shared" si="0"/>
        <v>0</v>
      </c>
      <c r="H21" s="38">
        <f t="shared" si="1"/>
        <v>0</v>
      </c>
      <c r="I21" s="38">
        <f t="shared" si="2"/>
        <v>0</v>
      </c>
      <c r="J21" s="3"/>
    </row>
    <row r="22" spans="1:10" ht="30" x14ac:dyDescent="0.2">
      <c r="A22" s="10">
        <v>0</v>
      </c>
      <c r="B22" s="36" t="s">
        <v>33</v>
      </c>
      <c r="C22" s="37" t="s">
        <v>34</v>
      </c>
      <c r="D22" s="38">
        <v>28.8</v>
      </c>
      <c r="E22" s="38">
        <v>28.8</v>
      </c>
      <c r="F22" s="38">
        <v>0</v>
      </c>
      <c r="G22" s="38">
        <f t="shared" si="0"/>
        <v>28.8</v>
      </c>
      <c r="H22" s="38">
        <f t="shared" si="1"/>
        <v>28.8</v>
      </c>
      <c r="I22" s="38">
        <f t="shared" si="2"/>
        <v>0</v>
      </c>
      <c r="J22" s="3"/>
    </row>
    <row r="23" spans="1:10" ht="60" x14ac:dyDescent="0.2">
      <c r="A23" s="10">
        <v>0</v>
      </c>
      <c r="B23" s="36" t="s">
        <v>35</v>
      </c>
      <c r="C23" s="37" t="s">
        <v>36</v>
      </c>
      <c r="D23" s="38">
        <v>320</v>
      </c>
      <c r="E23" s="38">
        <v>320</v>
      </c>
      <c r="F23" s="38">
        <v>17</v>
      </c>
      <c r="G23" s="38">
        <f t="shared" si="0"/>
        <v>303</v>
      </c>
      <c r="H23" s="38">
        <f t="shared" si="1"/>
        <v>303</v>
      </c>
      <c r="I23" s="38">
        <f t="shared" si="2"/>
        <v>5.3125</v>
      </c>
      <c r="J23" s="3"/>
    </row>
    <row r="24" spans="1:10" ht="75" x14ac:dyDescent="0.2">
      <c r="A24" s="10">
        <v>0</v>
      </c>
      <c r="B24" s="36" t="s">
        <v>37</v>
      </c>
      <c r="C24" s="37" t="s">
        <v>38</v>
      </c>
      <c r="D24" s="38">
        <v>824.00200000000007</v>
      </c>
      <c r="E24" s="38">
        <v>667</v>
      </c>
      <c r="F24" s="38">
        <v>253.69086999999999</v>
      </c>
      <c r="G24" s="38">
        <f t="shared" si="0"/>
        <v>570.31113000000005</v>
      </c>
      <c r="H24" s="38">
        <f t="shared" si="1"/>
        <v>413.30912999999998</v>
      </c>
      <c r="I24" s="38">
        <f t="shared" si="2"/>
        <v>38.034613193403302</v>
      </c>
      <c r="J24" s="3"/>
    </row>
    <row r="25" spans="1:10" ht="65.25" customHeight="1" x14ac:dyDescent="0.2">
      <c r="A25" s="10">
        <v>0</v>
      </c>
      <c r="B25" s="36" t="s">
        <v>39</v>
      </c>
      <c r="C25" s="37" t="s">
        <v>40</v>
      </c>
      <c r="D25" s="38">
        <v>640.82799999999997</v>
      </c>
      <c r="E25" s="38">
        <v>640.82799999999997</v>
      </c>
      <c r="F25" s="38">
        <v>366.74833000000001</v>
      </c>
      <c r="G25" s="38">
        <f t="shared" si="0"/>
        <v>274.07966999999996</v>
      </c>
      <c r="H25" s="38">
        <f t="shared" si="1"/>
        <v>274.07966999999996</v>
      </c>
      <c r="I25" s="38">
        <f t="shared" si="2"/>
        <v>57.230384752226811</v>
      </c>
      <c r="J25" s="3"/>
    </row>
    <row r="26" spans="1:10" ht="49.5" customHeight="1" x14ac:dyDescent="0.2">
      <c r="A26" s="10">
        <v>0</v>
      </c>
      <c r="B26" s="36" t="s">
        <v>41</v>
      </c>
      <c r="C26" s="37" t="s">
        <v>42</v>
      </c>
      <c r="D26" s="38">
        <v>1194</v>
      </c>
      <c r="E26" s="38">
        <v>1194</v>
      </c>
      <c r="F26" s="38">
        <v>1187.4773200000002</v>
      </c>
      <c r="G26" s="38">
        <f t="shared" si="0"/>
        <v>6.5226799999998093</v>
      </c>
      <c r="H26" s="38">
        <f t="shared" si="1"/>
        <v>6.5226799999998093</v>
      </c>
      <c r="I26" s="38">
        <f t="shared" si="2"/>
        <v>99.45371189279733</v>
      </c>
      <c r="J26" s="3"/>
    </row>
    <row r="27" spans="1:10" ht="53.25" customHeight="1" x14ac:dyDescent="0.2">
      <c r="A27" s="10">
        <v>0</v>
      </c>
      <c r="B27" s="36" t="s">
        <v>43</v>
      </c>
      <c r="C27" s="37" t="s">
        <v>44</v>
      </c>
      <c r="D27" s="38">
        <v>9741.6730000000007</v>
      </c>
      <c r="E27" s="38">
        <v>7820.9070000000011</v>
      </c>
      <c r="F27" s="38">
        <v>6968.2145999999993</v>
      </c>
      <c r="G27" s="38">
        <f t="shared" si="0"/>
        <v>2773.4584000000013</v>
      </c>
      <c r="H27" s="38">
        <f t="shared" si="1"/>
        <v>852.69240000000173</v>
      </c>
      <c r="I27" s="38">
        <f t="shared" si="2"/>
        <v>89.097269664503088</v>
      </c>
      <c r="J27" s="3"/>
    </row>
    <row r="28" spans="1:10" ht="34.5" customHeight="1" x14ac:dyDescent="0.2">
      <c r="A28" s="10">
        <v>0</v>
      </c>
      <c r="B28" s="36" t="s">
        <v>45</v>
      </c>
      <c r="C28" s="37" t="s">
        <v>46</v>
      </c>
      <c r="D28" s="38">
        <v>3376.17</v>
      </c>
      <c r="E28" s="38">
        <v>2831.6</v>
      </c>
      <c r="F28" s="38">
        <v>633.18772999999999</v>
      </c>
      <c r="G28" s="38">
        <f t="shared" si="0"/>
        <v>2742.98227</v>
      </c>
      <c r="H28" s="38">
        <f t="shared" si="1"/>
        <v>2198.4122699999998</v>
      </c>
      <c r="I28" s="38">
        <f t="shared" si="2"/>
        <v>22.36148220087583</v>
      </c>
      <c r="J28" s="3"/>
    </row>
    <row r="29" spans="1:10" ht="35.25" customHeight="1" x14ac:dyDescent="0.2">
      <c r="A29" s="10">
        <v>0</v>
      </c>
      <c r="B29" s="36" t="s">
        <v>47</v>
      </c>
      <c r="C29" s="37" t="s">
        <v>48</v>
      </c>
      <c r="D29" s="38">
        <v>10476.731</v>
      </c>
      <c r="E29" s="38">
        <v>8406.1089999999986</v>
      </c>
      <c r="F29" s="38">
        <v>7633.6855600000026</v>
      </c>
      <c r="G29" s="38">
        <f t="shared" si="0"/>
        <v>2843.0454399999971</v>
      </c>
      <c r="H29" s="38">
        <f t="shared" si="1"/>
        <v>772.42343999999594</v>
      </c>
      <c r="I29" s="38">
        <f t="shared" si="2"/>
        <v>90.811165546390185</v>
      </c>
      <c r="J29" s="3"/>
    </row>
    <row r="30" spans="1:10" ht="33.75" customHeight="1" x14ac:dyDescent="0.2">
      <c r="A30" s="10">
        <v>0</v>
      </c>
      <c r="B30" s="36" t="s">
        <v>49</v>
      </c>
      <c r="C30" s="37" t="s">
        <v>50</v>
      </c>
      <c r="D30" s="38">
        <v>100</v>
      </c>
      <c r="E30" s="38">
        <v>100</v>
      </c>
      <c r="F30" s="38">
        <v>99.984999999999999</v>
      </c>
      <c r="G30" s="38">
        <f t="shared" si="0"/>
        <v>1.5000000000000568E-2</v>
      </c>
      <c r="H30" s="38">
        <f t="shared" si="1"/>
        <v>1.5000000000000568E-2</v>
      </c>
      <c r="I30" s="38">
        <f t="shared" si="2"/>
        <v>99.984999999999999</v>
      </c>
      <c r="J30" s="3"/>
    </row>
    <row r="31" spans="1:10" ht="49.5" customHeight="1" x14ac:dyDescent="0.2">
      <c r="A31" s="10">
        <v>0</v>
      </c>
      <c r="B31" s="36" t="s">
        <v>51</v>
      </c>
      <c r="C31" s="37" t="s">
        <v>52</v>
      </c>
      <c r="D31" s="38">
        <v>39113.682999999997</v>
      </c>
      <c r="E31" s="38">
        <v>39113.682999999997</v>
      </c>
      <c r="F31" s="38">
        <v>38843.70966</v>
      </c>
      <c r="G31" s="38">
        <f t="shared" si="0"/>
        <v>269.97333999999682</v>
      </c>
      <c r="H31" s="38">
        <f t="shared" si="1"/>
        <v>269.97333999999682</v>
      </c>
      <c r="I31" s="38">
        <f t="shared" si="2"/>
        <v>99.309772644013108</v>
      </c>
      <c r="J31" s="3"/>
    </row>
    <row r="32" spans="1:10" ht="15" x14ac:dyDescent="0.2">
      <c r="A32" s="10">
        <v>0</v>
      </c>
      <c r="B32" s="36" t="s">
        <v>53</v>
      </c>
      <c r="C32" s="37" t="s">
        <v>54</v>
      </c>
      <c r="D32" s="38">
        <v>28709.984000000004</v>
      </c>
      <c r="E32" s="38">
        <v>26005.037000000004</v>
      </c>
      <c r="F32" s="38">
        <v>24467.47667</v>
      </c>
      <c r="G32" s="38">
        <f t="shared" si="0"/>
        <v>4242.507330000004</v>
      </c>
      <c r="H32" s="38">
        <f t="shared" si="1"/>
        <v>1537.5603300000039</v>
      </c>
      <c r="I32" s="38">
        <f t="shared" si="2"/>
        <v>94.087451865575105</v>
      </c>
      <c r="J32" s="3"/>
    </row>
    <row r="33" spans="1:10" ht="15" x14ac:dyDescent="0.2">
      <c r="A33" s="10">
        <v>0</v>
      </c>
      <c r="B33" s="36" t="s">
        <v>55</v>
      </c>
      <c r="C33" s="37" t="s">
        <v>56</v>
      </c>
      <c r="D33" s="38">
        <v>597.99599999999998</v>
      </c>
      <c r="E33" s="38">
        <v>597.99599999999998</v>
      </c>
      <c r="F33" s="38">
        <v>597.99599999999998</v>
      </c>
      <c r="G33" s="38">
        <f t="shared" si="0"/>
        <v>0</v>
      </c>
      <c r="H33" s="38">
        <f t="shared" si="1"/>
        <v>0</v>
      </c>
      <c r="I33" s="38">
        <f t="shared" si="2"/>
        <v>100</v>
      </c>
      <c r="J33" s="3"/>
    </row>
    <row r="34" spans="1:10" ht="30" x14ac:dyDescent="0.2">
      <c r="A34" s="10">
        <v>0</v>
      </c>
      <c r="B34" s="36" t="s">
        <v>57</v>
      </c>
      <c r="C34" s="37" t="s">
        <v>58</v>
      </c>
      <c r="D34" s="38">
        <v>133.892</v>
      </c>
      <c r="E34" s="38">
        <v>133.892</v>
      </c>
      <c r="F34" s="38">
        <v>114.8045</v>
      </c>
      <c r="G34" s="38">
        <f t="shared" si="0"/>
        <v>19.087499999999991</v>
      </c>
      <c r="H34" s="38">
        <f t="shared" si="1"/>
        <v>19.087499999999991</v>
      </c>
      <c r="I34" s="38">
        <f t="shared" si="2"/>
        <v>85.744107190870253</v>
      </c>
      <c r="J34" s="3"/>
    </row>
    <row r="35" spans="1:10" ht="15" x14ac:dyDescent="0.2">
      <c r="A35" s="10">
        <v>0</v>
      </c>
      <c r="B35" s="36" t="s">
        <v>59</v>
      </c>
      <c r="C35" s="37" t="s">
        <v>60</v>
      </c>
      <c r="D35" s="38">
        <v>5661.8730000000005</v>
      </c>
      <c r="E35" s="38">
        <v>5027.6639999999998</v>
      </c>
      <c r="F35" s="38">
        <v>4472.6192800000008</v>
      </c>
      <c r="G35" s="38">
        <f t="shared" si="0"/>
        <v>1189.2537199999997</v>
      </c>
      <c r="H35" s="38">
        <f t="shared" si="1"/>
        <v>555.04471999999896</v>
      </c>
      <c r="I35" s="38">
        <f t="shared" si="2"/>
        <v>88.960186679141657</v>
      </c>
      <c r="J35" s="3"/>
    </row>
    <row r="36" spans="1:10" ht="30" x14ac:dyDescent="0.2">
      <c r="A36" s="10">
        <v>0</v>
      </c>
      <c r="B36" s="36" t="s">
        <v>61</v>
      </c>
      <c r="C36" s="37" t="s">
        <v>62</v>
      </c>
      <c r="D36" s="38">
        <v>399.90000000000003</v>
      </c>
      <c r="E36" s="38">
        <v>399.90000000000003</v>
      </c>
      <c r="F36" s="38">
        <v>279.36602000000005</v>
      </c>
      <c r="G36" s="38">
        <f t="shared" si="0"/>
        <v>120.53397999999999</v>
      </c>
      <c r="H36" s="38">
        <f t="shared" si="1"/>
        <v>120.53397999999999</v>
      </c>
      <c r="I36" s="38">
        <f t="shared" si="2"/>
        <v>69.858969742435619</v>
      </c>
      <c r="J36" s="3"/>
    </row>
    <row r="37" spans="1:10" ht="30" x14ac:dyDescent="0.2">
      <c r="A37" s="10">
        <v>0</v>
      </c>
      <c r="B37" s="36" t="s">
        <v>63</v>
      </c>
      <c r="C37" s="37" t="s">
        <v>64</v>
      </c>
      <c r="D37" s="38">
        <v>7930.6090000000004</v>
      </c>
      <c r="E37" s="38">
        <v>6921.652</v>
      </c>
      <c r="F37" s="38">
        <v>5573.03755</v>
      </c>
      <c r="G37" s="38">
        <f t="shared" si="0"/>
        <v>2357.5714500000004</v>
      </c>
      <c r="H37" s="38">
        <f t="shared" si="1"/>
        <v>1348.61445</v>
      </c>
      <c r="I37" s="38">
        <f t="shared" si="2"/>
        <v>80.516003260493306</v>
      </c>
      <c r="J37" s="3"/>
    </row>
    <row r="38" spans="1:10" ht="15" x14ac:dyDescent="0.2">
      <c r="A38" s="10">
        <v>0</v>
      </c>
      <c r="B38" s="36" t="s">
        <v>65</v>
      </c>
      <c r="C38" s="37" t="s">
        <v>66</v>
      </c>
      <c r="D38" s="38">
        <v>100</v>
      </c>
      <c r="E38" s="38">
        <v>100</v>
      </c>
      <c r="F38" s="38">
        <v>0</v>
      </c>
      <c r="G38" s="38">
        <f t="shared" si="0"/>
        <v>100</v>
      </c>
      <c r="H38" s="38">
        <f t="shared" si="1"/>
        <v>100</v>
      </c>
      <c r="I38" s="38">
        <f t="shared" si="2"/>
        <v>0</v>
      </c>
      <c r="J38" s="3"/>
    </row>
    <row r="39" spans="1:10" ht="15" x14ac:dyDescent="0.2">
      <c r="A39" s="10">
        <v>0</v>
      </c>
      <c r="B39" s="36" t="s">
        <v>67</v>
      </c>
      <c r="C39" s="37" t="s">
        <v>68</v>
      </c>
      <c r="D39" s="38">
        <v>428.93799999999999</v>
      </c>
      <c r="E39" s="38">
        <v>382.202</v>
      </c>
      <c r="F39" s="38">
        <v>275.69470000000001</v>
      </c>
      <c r="G39" s="38">
        <f t="shared" si="0"/>
        <v>153.24329999999998</v>
      </c>
      <c r="H39" s="38">
        <f t="shared" si="1"/>
        <v>106.50729999999999</v>
      </c>
      <c r="I39" s="38">
        <f t="shared" si="2"/>
        <v>72.133243677427132</v>
      </c>
      <c r="J39" s="3"/>
    </row>
    <row r="40" spans="1:10" ht="15" x14ac:dyDescent="0.2">
      <c r="A40" s="10">
        <v>0</v>
      </c>
      <c r="B40" s="36" t="s">
        <v>69</v>
      </c>
      <c r="C40" s="37" t="s">
        <v>70</v>
      </c>
      <c r="D40" s="38">
        <v>3000</v>
      </c>
      <c r="E40" s="38">
        <v>3000</v>
      </c>
      <c r="F40" s="38">
        <v>3000</v>
      </c>
      <c r="G40" s="38">
        <f t="shared" si="0"/>
        <v>0</v>
      </c>
      <c r="H40" s="38">
        <f t="shared" si="1"/>
        <v>0</v>
      </c>
      <c r="I40" s="38">
        <f t="shared" si="2"/>
        <v>100</v>
      </c>
      <c r="J40" s="3"/>
    </row>
    <row r="41" spans="1:10" ht="45" x14ac:dyDescent="0.2">
      <c r="A41" s="10">
        <v>0</v>
      </c>
      <c r="B41" s="36" t="s">
        <v>71</v>
      </c>
      <c r="C41" s="37" t="s">
        <v>72</v>
      </c>
      <c r="D41" s="38">
        <v>634.08100000000002</v>
      </c>
      <c r="E41" s="38">
        <v>634.08100000000002</v>
      </c>
      <c r="F41" s="38">
        <v>633.92130000000009</v>
      </c>
      <c r="G41" s="38">
        <f t="shared" si="0"/>
        <v>0.15969999999992979</v>
      </c>
      <c r="H41" s="38">
        <f t="shared" si="1"/>
        <v>0.15969999999992979</v>
      </c>
      <c r="I41" s="38">
        <f t="shared" si="2"/>
        <v>99.974813943329025</v>
      </c>
      <c r="J41" s="3"/>
    </row>
    <row r="42" spans="1:10" ht="30" x14ac:dyDescent="0.2">
      <c r="A42" s="10">
        <v>0</v>
      </c>
      <c r="B42" s="36" t="s">
        <v>73</v>
      </c>
      <c r="C42" s="37" t="s">
        <v>74</v>
      </c>
      <c r="D42" s="38">
        <v>1710.5629999999999</v>
      </c>
      <c r="E42" s="38">
        <v>1436.2369999999999</v>
      </c>
      <c r="F42" s="38">
        <v>1105.2945299999999</v>
      </c>
      <c r="G42" s="38">
        <f t="shared" si="0"/>
        <v>605.26846999999998</v>
      </c>
      <c r="H42" s="38">
        <f t="shared" si="1"/>
        <v>330.94246999999996</v>
      </c>
      <c r="I42" s="38">
        <f t="shared" si="2"/>
        <v>76.957669938875</v>
      </c>
      <c r="J42" s="3"/>
    </row>
    <row r="43" spans="1:10" ht="30" x14ac:dyDescent="0.2">
      <c r="A43" s="10">
        <v>0</v>
      </c>
      <c r="B43" s="36" t="s">
        <v>75</v>
      </c>
      <c r="C43" s="37" t="s">
        <v>74</v>
      </c>
      <c r="D43" s="38">
        <v>8429.3690000000006</v>
      </c>
      <c r="E43" s="38">
        <v>7313.1240000000016</v>
      </c>
      <c r="F43" s="38">
        <v>6764.3475099999996</v>
      </c>
      <c r="G43" s="38">
        <f t="shared" si="0"/>
        <v>1665.021490000001</v>
      </c>
      <c r="H43" s="38">
        <f t="shared" si="1"/>
        <v>548.77649000000201</v>
      </c>
      <c r="I43" s="38">
        <f t="shared" si="2"/>
        <v>92.496004580258699</v>
      </c>
      <c r="J43" s="3"/>
    </row>
    <row r="44" spans="1:10" ht="15" x14ac:dyDescent="0.2">
      <c r="A44" s="10">
        <v>0</v>
      </c>
      <c r="B44" s="36" t="s">
        <v>76</v>
      </c>
      <c r="C44" s="37" t="s">
        <v>54</v>
      </c>
      <c r="D44" s="38">
        <v>2297</v>
      </c>
      <c r="E44" s="38">
        <v>2297</v>
      </c>
      <c r="F44" s="38">
        <v>2293.16</v>
      </c>
      <c r="G44" s="38">
        <f t="shared" si="0"/>
        <v>3.8400000000001455</v>
      </c>
      <c r="H44" s="38">
        <f t="shared" si="1"/>
        <v>3.8400000000001455</v>
      </c>
      <c r="I44" s="38">
        <f t="shared" si="2"/>
        <v>99.832825424466691</v>
      </c>
      <c r="J44" s="3"/>
    </row>
    <row r="45" spans="1:10" ht="30" x14ac:dyDescent="0.2">
      <c r="A45" s="10">
        <v>0</v>
      </c>
      <c r="B45" s="36" t="s">
        <v>77</v>
      </c>
      <c r="C45" s="37" t="s">
        <v>74</v>
      </c>
      <c r="D45" s="38">
        <v>2380.7290000000003</v>
      </c>
      <c r="E45" s="38">
        <v>2019.5319999999999</v>
      </c>
      <c r="F45" s="38">
        <v>1533.8431600000001</v>
      </c>
      <c r="G45" s="38">
        <f t="shared" si="0"/>
        <v>846.88584000000014</v>
      </c>
      <c r="H45" s="38">
        <f t="shared" si="1"/>
        <v>485.6888399999998</v>
      </c>
      <c r="I45" s="38">
        <f t="shared" si="2"/>
        <v>75.950426138333043</v>
      </c>
      <c r="J45" s="3"/>
    </row>
    <row r="46" spans="1:10" ht="15" x14ac:dyDescent="0.2">
      <c r="A46" s="10">
        <v>0</v>
      </c>
      <c r="B46" s="36" t="s">
        <v>78</v>
      </c>
      <c r="C46" s="37" t="s">
        <v>79</v>
      </c>
      <c r="D46" s="38">
        <v>100</v>
      </c>
      <c r="E46" s="38">
        <v>100</v>
      </c>
      <c r="F46" s="38">
        <v>0</v>
      </c>
      <c r="G46" s="38">
        <f t="shared" si="0"/>
        <v>100</v>
      </c>
      <c r="H46" s="38">
        <f t="shared" si="1"/>
        <v>100</v>
      </c>
      <c r="I46" s="38">
        <f t="shared" si="2"/>
        <v>0</v>
      </c>
      <c r="J46" s="3"/>
    </row>
    <row r="47" spans="1:10" ht="21.75" customHeight="1" x14ac:dyDescent="0.25">
      <c r="A47" s="10">
        <v>1</v>
      </c>
      <c r="B47" s="39" t="s">
        <v>80</v>
      </c>
      <c r="C47" s="40" t="s">
        <v>81</v>
      </c>
      <c r="D47" s="41">
        <v>248515.505</v>
      </c>
      <c r="E47" s="41">
        <v>212856.69500000001</v>
      </c>
      <c r="F47" s="41">
        <v>194496.20514000003</v>
      </c>
      <c r="G47" s="42">
        <f t="shared" si="0"/>
        <v>54019.29985999997</v>
      </c>
      <c r="H47" s="42">
        <f t="shared" si="1"/>
        <v>18360.489859999972</v>
      </c>
      <c r="I47" s="42">
        <f t="shared" si="2"/>
        <v>91.374248359911832</v>
      </c>
      <c r="J47" s="3"/>
    </row>
    <row r="49" spans="2:9" x14ac:dyDescent="0.2">
      <c r="B49" s="7"/>
      <c r="C49" s="5"/>
      <c r="D49" s="3"/>
      <c r="E49" s="3"/>
      <c r="F49" s="3"/>
      <c r="G49" s="3"/>
      <c r="H49" s="3"/>
      <c r="I49" s="3"/>
    </row>
    <row r="57" spans="2:9" hidden="1" x14ac:dyDescent="0.2"/>
  </sheetData>
  <mergeCells count="4">
    <mergeCell ref="C2:I2"/>
    <mergeCell ref="C3:I3"/>
    <mergeCell ref="C4:I4"/>
    <mergeCell ref="C5:I5"/>
  </mergeCells>
  <conditionalFormatting sqref="B9:B47">
    <cfRule type="expression" dxfId="50" priority="52" stopIfTrue="1">
      <formula>A9=1</formula>
    </cfRule>
    <cfRule type="expression" dxfId="49" priority="53" stopIfTrue="1">
      <formula>A9=2</formula>
    </cfRule>
    <cfRule type="expression" dxfId="48" priority="54" stopIfTrue="1">
      <formula>A9=3</formula>
    </cfRule>
  </conditionalFormatting>
  <conditionalFormatting sqref="C9:C47">
    <cfRule type="expression" dxfId="47" priority="55" stopIfTrue="1">
      <formula>A9=1</formula>
    </cfRule>
    <cfRule type="expression" dxfId="46" priority="56" stopIfTrue="1">
      <formula>A9=2</formula>
    </cfRule>
    <cfRule type="expression" dxfId="45" priority="57" stopIfTrue="1">
      <formula>A9=3</formula>
    </cfRule>
  </conditionalFormatting>
  <conditionalFormatting sqref="D9:D47">
    <cfRule type="expression" dxfId="44" priority="61" stopIfTrue="1">
      <formula>A9=1</formula>
    </cfRule>
    <cfRule type="expression" dxfId="43" priority="62" stopIfTrue="1">
      <formula>A9=2</formula>
    </cfRule>
    <cfRule type="expression" dxfId="42" priority="63" stopIfTrue="1">
      <formula>A9=3</formula>
    </cfRule>
  </conditionalFormatting>
  <conditionalFormatting sqref="E9:E47">
    <cfRule type="expression" dxfId="41" priority="64" stopIfTrue="1">
      <formula>A9=1</formula>
    </cfRule>
    <cfRule type="expression" dxfId="40" priority="65" stopIfTrue="1">
      <formula>A9=2</formula>
    </cfRule>
    <cfRule type="expression" dxfId="39" priority="66" stopIfTrue="1">
      <formula>A9=3</formula>
    </cfRule>
  </conditionalFormatting>
  <conditionalFormatting sqref="F9:F47">
    <cfRule type="expression" dxfId="38" priority="73" stopIfTrue="1">
      <formula>A9=1</formula>
    </cfRule>
    <cfRule type="expression" dxfId="37" priority="74" stopIfTrue="1">
      <formula>A9=2</formula>
    </cfRule>
    <cfRule type="expression" dxfId="36" priority="75" stopIfTrue="1">
      <formula>A9=3</formula>
    </cfRule>
  </conditionalFormatting>
  <conditionalFormatting sqref="G47">
    <cfRule type="expression" dxfId="35" priority="91" stopIfTrue="1">
      <formula>A47=1</formula>
    </cfRule>
    <cfRule type="expression" dxfId="34" priority="92" stopIfTrue="1">
      <formula>A47=2</formula>
    </cfRule>
    <cfRule type="expression" dxfId="33" priority="93" stopIfTrue="1">
      <formula>A47=3</formula>
    </cfRule>
  </conditionalFormatting>
  <conditionalFormatting sqref="H47">
    <cfRule type="expression" dxfId="32" priority="94" stopIfTrue="1">
      <formula>A47=1</formula>
    </cfRule>
    <cfRule type="expression" dxfId="31" priority="95" stopIfTrue="1">
      <formula>A47=2</formula>
    </cfRule>
    <cfRule type="expression" dxfId="30" priority="96" stopIfTrue="1">
      <formula>A47=3</formula>
    </cfRule>
  </conditionalFormatting>
  <conditionalFormatting sqref="I47">
    <cfRule type="expression" dxfId="29" priority="97" stopIfTrue="1">
      <formula>A47=1</formula>
    </cfRule>
    <cfRule type="expression" dxfId="28" priority="98" stopIfTrue="1">
      <formula>A47=2</formula>
    </cfRule>
    <cfRule type="expression" dxfId="27" priority="99" stopIfTrue="1">
      <formula>A47=3</formula>
    </cfRule>
  </conditionalFormatting>
  <conditionalFormatting sqref="B49:B58">
    <cfRule type="expression" dxfId="26" priority="4" stopIfTrue="1">
      <formula>A49=1</formula>
    </cfRule>
    <cfRule type="expression" dxfId="25" priority="5" stopIfTrue="1">
      <formula>A49=2</formula>
    </cfRule>
    <cfRule type="expression" dxfId="24" priority="6" stopIfTrue="1">
      <formula>A49=3</formula>
    </cfRule>
  </conditionalFormatting>
  <conditionalFormatting sqref="C49:C58">
    <cfRule type="expression" dxfId="23" priority="7" stopIfTrue="1">
      <formula>A49=1</formula>
    </cfRule>
    <cfRule type="expression" dxfId="22" priority="8" stopIfTrue="1">
      <formula>A49=2</formula>
    </cfRule>
    <cfRule type="expression" dxfId="21" priority="9" stopIfTrue="1">
      <formula>A49=3</formula>
    </cfRule>
  </conditionalFormatting>
  <conditionalFormatting sqref="D49:D58">
    <cfRule type="expression" dxfId="20" priority="13" stopIfTrue="1">
      <formula>A49=1</formula>
    </cfRule>
    <cfRule type="expression" dxfId="19" priority="14" stopIfTrue="1">
      <formula>A49=2</formula>
    </cfRule>
    <cfRule type="expression" dxfId="18" priority="15" stopIfTrue="1">
      <formula>A49=3</formula>
    </cfRule>
  </conditionalFormatting>
  <conditionalFormatting sqref="E49:E58">
    <cfRule type="expression" dxfId="17" priority="16" stopIfTrue="1">
      <formula>A49=1</formula>
    </cfRule>
    <cfRule type="expression" dxfId="16" priority="17" stopIfTrue="1">
      <formula>A49=2</formula>
    </cfRule>
    <cfRule type="expression" dxfId="15" priority="18" stopIfTrue="1">
      <formula>A49=3</formula>
    </cfRule>
  </conditionalFormatting>
  <conditionalFormatting sqref="F49:F58">
    <cfRule type="expression" dxfId="14" priority="25" stopIfTrue="1">
      <formula>A49=1</formula>
    </cfRule>
    <cfRule type="expression" dxfId="13" priority="26" stopIfTrue="1">
      <formula>A49=2</formula>
    </cfRule>
    <cfRule type="expression" dxfId="12" priority="27" stopIfTrue="1">
      <formula>A49=3</formula>
    </cfRule>
  </conditionalFormatting>
  <conditionalFormatting sqref="G49:G58">
    <cfRule type="expression" dxfId="11" priority="43" stopIfTrue="1">
      <formula>A49=1</formula>
    </cfRule>
    <cfRule type="expression" dxfId="10" priority="44" stopIfTrue="1">
      <formula>A49=2</formula>
    </cfRule>
    <cfRule type="expression" dxfId="9" priority="45" stopIfTrue="1">
      <formula>A49=3</formula>
    </cfRule>
  </conditionalFormatting>
  <conditionalFormatting sqref="H49:H58">
    <cfRule type="expression" dxfId="8" priority="46" stopIfTrue="1">
      <formula>A49=1</formula>
    </cfRule>
    <cfRule type="expression" dxfId="7" priority="47" stopIfTrue="1">
      <formula>A49=2</formula>
    </cfRule>
    <cfRule type="expression" dxfId="6" priority="48" stopIfTrue="1">
      <formula>A49=3</formula>
    </cfRule>
  </conditionalFormatting>
  <conditionalFormatting sqref="I49:I58">
    <cfRule type="expression" dxfId="5" priority="49" stopIfTrue="1">
      <formula>A49=1</formula>
    </cfRule>
    <cfRule type="expression" dxfId="4" priority="50" stopIfTrue="1">
      <formula>A49=2</formula>
    </cfRule>
    <cfRule type="expression" dxfId="3" priority="51" stopIfTrue="1">
      <formula>A49=3</formula>
    </cfRule>
  </conditionalFormatting>
  <conditionalFormatting sqref="G9:I46">
    <cfRule type="expression" dxfId="2" priority="1" stopIfTrue="1">
      <formula>B9=1</formula>
    </cfRule>
    <cfRule type="expression" dxfId="1" priority="2" stopIfTrue="1">
      <formula>B9=2</formula>
    </cfRule>
    <cfRule type="expression" dxfId="0" priority="3" stopIfTrue="1">
      <formula>B9=3</formula>
    </cfRule>
  </conditionalFormatting>
  <pageMargins left="0.59055118110236227" right="0.31496062992125984" top="0.39370078740157483" bottom="0.39370078740157483" header="0" footer="0"/>
  <pageSetup paperSize="9" scale="69" fitToHeight="50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Доходи</vt:lpstr>
      <vt:lpstr>Видатки</vt:lpstr>
      <vt:lpstr>Видатки!Заголовки_для_печати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Пользователь</cp:lastModifiedBy>
  <cp:lastPrinted>2025-11-21T09:17:47Z</cp:lastPrinted>
  <dcterms:created xsi:type="dcterms:W3CDTF">2025-11-19T08:12:20Z</dcterms:created>
  <dcterms:modified xsi:type="dcterms:W3CDTF">2025-11-21T09:20:36Z</dcterms:modified>
</cp:coreProperties>
</file>