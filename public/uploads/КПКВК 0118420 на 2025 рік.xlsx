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CEAC80C0-DD86-4325-9CBA-39502E52C6C2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8420" sheetId="6" r:id="rId1"/>
  </sheets>
  <definedNames>
    <definedName name="_xlnm.Print_Area" localSheetId="0">'Додаток2 КПК0118420'!$A$1:$BY$209</definedName>
  </definedNames>
  <calcPr calcId="191029"/>
</workbook>
</file>

<file path=xl/calcChain.xml><?xml version="1.0" encoding="utf-8"?>
<calcChain xmlns="http://schemas.openxmlformats.org/spreadsheetml/2006/main">
  <c r="BH190" i="6" l="1"/>
  <c r="AT190" i="6"/>
  <c r="AJ190" i="6"/>
  <c r="BH189" i="6"/>
  <c r="AT189" i="6"/>
  <c r="AJ189" i="6"/>
  <c r="BG180" i="6"/>
  <c r="AQ180" i="6"/>
  <c r="AZ160" i="6"/>
  <c r="AK160" i="6"/>
  <c r="AZ159" i="6"/>
  <c r="AK159" i="6"/>
  <c r="BO151" i="6"/>
  <c r="AZ151" i="6"/>
  <c r="AK151" i="6"/>
  <c r="BO150" i="6"/>
  <c r="AZ150" i="6"/>
  <c r="AK150" i="6"/>
  <c r="BD94" i="6"/>
  <c r="AJ94" i="6"/>
  <c r="BD93" i="6"/>
  <c r="AJ93" i="6"/>
  <c r="BU85" i="6"/>
  <c r="BB85" i="6"/>
  <c r="AI85" i="6"/>
  <c r="BU84" i="6"/>
  <c r="BB84" i="6"/>
  <c r="AI84" i="6"/>
  <c r="BG75" i="6"/>
  <c r="AM75" i="6"/>
  <c r="BG67" i="6"/>
  <c r="AM67" i="6"/>
  <c r="BG66" i="6"/>
  <c r="AM66" i="6"/>
  <c r="BU58" i="6"/>
  <c r="BB58" i="6"/>
  <c r="AI58" i="6"/>
  <c r="BU50" i="6"/>
  <c r="BB50" i="6"/>
  <c r="AI50" i="6"/>
  <c r="BU49" i="6"/>
  <c r="BB49" i="6"/>
  <c r="AI49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<sst xmlns="http://schemas.openxmlformats.org/spreadsheetml/2006/main" count="683" uniqueCount="250">
  <si>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</si>
  <si>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</si>
  <si>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</si>
  <si>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</si>
  <si>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</si>
  <si>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</si>
  <si>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</si>
  <si>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</si>
  <si>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</si>
  <si>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</si>
  <si>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</si>
  <si>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</si>
  <si>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</si>
  <si>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</si>
  <si>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</si>
  <si>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</si>
  <si>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</si>
  <si>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</si>
  <si>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</si>
  <si>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</si>
  <si>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</si>
  <si>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</si>
  <si>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</si>
  <si>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</si>
  <si>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</si>
  <si>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</si>
  <si>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</si>
  <si>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</si>
  <si>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</si>
  <si>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</si>
  <si>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</si>
  <si>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</si>
  <si>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</si>
  <si>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</si>
  <si>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</si>
  <si>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</si>
  <si>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</si>
  <si>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</si>
  <si>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</si>
  <si>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</si>
  <si>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</si>
  <si>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</si>
  <si>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</si>
  <si>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</si>
  <si>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</si>
  <si>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</si>
  <si>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</si>
  <si>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</si>
  <si>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</si>
  <si>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</si>
  <si>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</si>
  <si>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</si>
  <si>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</si>
  <si>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</si>
  <si>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</si>
  <si>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</si>
  <si>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</si>
  <si>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</si>
  <si>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</si>
  <si>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</si>
  <si>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</si>
  <si>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</si>
  <si>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</si>
  <si>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</si>
  <si>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</si>
  <si>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</si>
  <si>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</si>
  <si>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</si>
  <si>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</si>
  <si>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</si>
  <si>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</si>
  <si>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</si>
  <si>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</si>
  <si>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</si>
  <si>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</si>
  <si>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</si>
  <si>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</si>
  <si>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</si>
  <si>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</si>
  <si>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</si>
  <si>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</si>
  <si>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</si>
  <si>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</si>
  <si>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</si>
  <si>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</si>
  <si>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</si>
  <si>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</si>
  <si>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</si>
  <si>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</si>
  <si>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</si>
  <si>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</si>
  <si>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</si>
  <si>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</si>
  <si>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</si>
  <si>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</si>
  <si>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</si>
  <si>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</si>
  <si>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</si>
  <si>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</si>
  <si>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</si>
  <si>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</si>
  <si>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</si>
  <si>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</si>
  <si>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</si>
  <si>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</si>
  <si>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</si>
  <si>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</si>
  <si>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</si>
  <si>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</si>
  <si>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</si>
  <si>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</si>
  <si>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</si>
  <si>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</si>
  <si>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</si>
  <si>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</si>
  <si>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</si>
  <si>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</si>
  <si>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</si>
  <si>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</si>
  <si>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</si>
  <si>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</si>
  <si>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</si>
  <si>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</si>
  <si>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</si>
  <si>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</si>
  <si>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</si>
  <si>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</si>
  <si>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</si>
  <si>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</si>
  <si>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</si>
  <si>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</si>
  <si>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</si>
  <si>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</si>
  <si>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</si>
  <si>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</si>
  <si>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</si>
  <si>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</si>
  <si>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</si>
  <si>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</si>
  <si>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</si>
  <si>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</si>
  <si>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</si>
  <si>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</si>
  <si>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</si>
  <si>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</si>
  <si>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</si>
  <si>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</si>
  <si>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</si>
  <si>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</si>
  <si>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</si>
  <si>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</si>
  <si>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</si>
  <si>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</si>
  <si>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</si>
  <si>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</si>
  <si>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</si>
  <si>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</si>
  <si>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</si>
  <si>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</si>
  <si>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</si>
  <si>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</si>
  <si>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</si>
  <si>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</si>
  <si>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</si>
  <si>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</si>
  <si>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</si>
  <si>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</si>
  <si>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</si>
  <si>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</si>
  <si>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</si>
  <si>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</si>
  <si>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</si>
  <si>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</si>
  <si>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</si>
  <si>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Субсидії та поточні трансферти підприємствам (установам, організаціям)</t>
  </si>
  <si>
    <t>Придбання періодичних видань (Друк газети "Широківська громада інформує")</t>
  </si>
  <si>
    <t>затрат</t>
  </si>
  <si>
    <t xml:space="preserve">formula=RC[-16]+RC[-8]                          </t>
  </si>
  <si>
    <t>підготовка номерів газети</t>
  </si>
  <si>
    <t>грн.</t>
  </si>
  <si>
    <t>план роботи</t>
  </si>
  <si>
    <t>продукту</t>
  </si>
  <si>
    <t>кількість номерів газети</t>
  </si>
  <si>
    <t>од.</t>
  </si>
  <si>
    <t>ефективності</t>
  </si>
  <si>
    <t>середні видатки на одиницю тиражу</t>
  </si>
  <si>
    <t>розрахунковий показник</t>
  </si>
  <si>
    <t>якості</t>
  </si>
  <si>
    <t>динаміка кількості тиражу, порівняно з попереднім роком</t>
  </si>
  <si>
    <t>відс.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</si>
  <si>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</si>
  <si>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</si>
  <si>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</si>
  <si>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Програма висвітлення діяльності Широківської сільської ради Запорізького району Запорізької області та її виконавчих органів друкованими засобами масової інформації на 2022-2024 роки</t>
  </si>
  <si>
    <t>рішення сільської ради від 21.12.2021 №10</t>
  </si>
  <si>
    <t>Розробка та здійснення комплексу заходів організаційного, фінансового, економічного характеру щодо розвитку громади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</si>
  <si>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</si>
  <si>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Газета "Широківська громада інформує" заснована з метою висвітлення роботи сільської ради, ознайомлення з рішеннями депутатського корпусу та виконавчого комітету; інформування про життя громади, проблеми, досягнення._x000D_
_x000D_
У 2024 році за бюджетною програмою передбачено придбання періодичних видань (друк газети "Широківська громада інформує") у кількості 11 випусків (тиражем 6 500 од. кожен)._x000D_
_x000D_
У 2025 році за бюджетною програмою планується придбання періодичних видань (друк газети "Широківська громада інформує") у кількості 17 випусків, в т.ч. два спеціальних випуски (тиражем 6 500 од. кожен).</t>
  </si>
  <si>
    <t>Станом на 01.01.2024 кредиторська заборгованість відсутня._x000D_
_x000D_
Відповідно до положень статті 48 Бюджетного кодексу України із змінами КУ "Агенція розвитку Широківської громади" реєструються бюджетні зобов’язання та здійснюються платежі тільки в межах бюджетних асигнувань, затверджених планом використання на 2024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</si>
  <si>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</si>
  <si>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</si>
  <si>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</si>
  <si>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</si>
  <si>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</si>
  <si>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</si>
  <si>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</si>
  <si>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</si>
  <si>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</si>
  <si>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</si>
  <si>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</si>
  <si>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</si>
  <si>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</si>
  <si>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</si>
  <si>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</si>
  <si>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</si>
  <si>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</si>
  <si>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</si>
  <si>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</si>
  <si>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</si>
  <si>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</si>
  <si>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</si>
  <si>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</si>
  <si>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</si>
  <si>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</si>
  <si>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</si>
  <si>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</si>
  <si>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</si>
  <si>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</si>
  <si>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</si>
  <si>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</si>
  <si>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</si>
  <si>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</si>
  <si>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</si>
  <si>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</si>
  <si>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</si>
  <si>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</si>
  <si>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</si>
  <si>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</si>
  <si>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</si>
  <si>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</si>
  <si>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(0)(1)(1)(8)(4)(2)(0)</t>
  </si>
  <si>
    <t>(8)(4)(2)(0)</t>
  </si>
  <si>
    <t>(0)(8)(3)(0)</t>
  </si>
  <si>
    <t>Інші заходи у сфері медіа (засобів масової інформації)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</si>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</sst>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10"/>
  <sheetViews>
    <sheetView tabSelected="1" topLeftCell="A186" zoomScaleNormal="100" workbookViewId="0">
      <selection activeCell="AU210" sqref="AU210:BF210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20" t="s">
        <v>115</v>
      </c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0"/>
      <c r="BZ1" s="120"/>
    </row>
    <row r="2" spans="1:79" ht="14.25" customHeight="1" x14ac:dyDescent="0.2">
      <c r="A2" s="121" t="s">
        <v>227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  <c r="BP2" s="121"/>
      <c r="BQ2" s="121"/>
      <c r="BR2" s="121"/>
      <c r="BS2" s="121"/>
      <c r="BT2" s="121"/>
      <c r="BU2" s="121"/>
      <c r="BV2" s="121"/>
      <c r="BW2" s="121"/>
      <c r="BX2" s="121"/>
      <c r="BY2" s="121"/>
      <c r="BZ2" s="121"/>
    </row>
    <row r="4" spans="1:79" ht="15" customHeight="1" x14ac:dyDescent="0.2">
      <c r="A4" s="10" t="s">
        <v>159</v>
      </c>
      <c r="B4" s="118" t="s">
        <v>200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7"/>
      <c r="AH4" s="112" t="s">
        <v>199</v>
      </c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7"/>
      <c r="AT4" s="114" t="s">
        <v>201</v>
      </c>
      <c r="AU4" s="112"/>
      <c r="AV4" s="112"/>
      <c r="AW4" s="112"/>
      <c r="AX4" s="112"/>
      <c r="AY4" s="112"/>
      <c r="AZ4" s="112"/>
      <c r="BA4" s="112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19" t="s">
        <v>0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6"/>
      <c r="AH5" s="115" t="s">
        <v>160</v>
      </c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6"/>
      <c r="AT5" s="115" t="s">
        <v>157</v>
      </c>
      <c r="AU5" s="115"/>
      <c r="AV5" s="115"/>
      <c r="AW5" s="115"/>
      <c r="AX5" s="115"/>
      <c r="AY5" s="115"/>
      <c r="AZ5" s="115"/>
      <c r="BA5" s="115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8" t="s">
        <v>244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7"/>
      <c r="AH7" s="112" t="s">
        <v>245</v>
      </c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4"/>
      <c r="BC7" s="114" t="s">
        <v>201</v>
      </c>
      <c r="BD7" s="112"/>
      <c r="BE7" s="112"/>
      <c r="BF7" s="112"/>
      <c r="BG7" s="112"/>
      <c r="BH7" s="112"/>
      <c r="BI7" s="112"/>
      <c r="BJ7" s="112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19" t="s">
        <v>155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6"/>
      <c r="AH8" s="115" t="s">
        <v>162</v>
      </c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2"/>
      <c r="BC8" s="115" t="s">
        <v>157</v>
      </c>
      <c r="BD8" s="115"/>
      <c r="BE8" s="115"/>
      <c r="BF8" s="115"/>
      <c r="BG8" s="115"/>
      <c r="BH8" s="115"/>
      <c r="BI8" s="115"/>
      <c r="BJ8" s="115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14.25" customHeight="1" x14ac:dyDescent="0.2">
      <c r="A10" s="10" t="s">
        <v>163</v>
      </c>
      <c r="B10" s="112" t="s">
        <v>240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N10" s="112" t="s">
        <v>241</v>
      </c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4"/>
      <c r="AA10" s="112" t="s">
        <v>242</v>
      </c>
      <c r="AB10" s="112"/>
      <c r="AC10" s="112"/>
      <c r="AD10" s="112"/>
      <c r="AE10" s="112"/>
      <c r="AF10" s="112"/>
      <c r="AG10" s="112"/>
      <c r="AH10" s="112"/>
      <c r="AI10" s="112"/>
      <c r="AJ10" s="14"/>
      <c r="AK10" s="113" t="s">
        <v>243</v>
      </c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16"/>
      <c r="BL10" s="114" t="s">
        <v>202</v>
      </c>
      <c r="BM10" s="112"/>
      <c r="BN10" s="112"/>
      <c r="BO10" s="112"/>
      <c r="BP10" s="112"/>
      <c r="BQ10" s="112"/>
      <c r="BR10" s="112"/>
      <c r="BS10" s="112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5" t="s">
        <v>164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N11" s="115" t="s">
        <v>166</v>
      </c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2"/>
      <c r="AA11" s="116" t="s">
        <v>167</v>
      </c>
      <c r="AB11" s="116"/>
      <c r="AC11" s="116"/>
      <c r="AD11" s="116"/>
      <c r="AE11" s="116"/>
      <c r="AF11" s="116"/>
      <c r="AG11" s="116"/>
      <c r="AH11" s="116"/>
      <c r="AI11" s="116"/>
      <c r="AJ11" s="12"/>
      <c r="AK11" s="117" t="s">
        <v>165</v>
      </c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5"/>
      <c r="BL11" s="115" t="s">
        <v>158</v>
      </c>
      <c r="BM11" s="115"/>
      <c r="BN11" s="115"/>
      <c r="BO11" s="115"/>
      <c r="BP11" s="115"/>
      <c r="BQ11" s="115"/>
      <c r="BR11" s="115"/>
      <c r="BS11" s="115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55" t="s">
        <v>228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</row>
    <row r="14" spans="1:79" ht="14.25" customHeight="1" x14ac:dyDescent="0.2">
      <c r="A14" s="55" t="s">
        <v>148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</row>
    <row r="15" spans="1:79" ht="15" customHeight="1" x14ac:dyDescent="0.2">
      <c r="A15" s="56" t="s">
        <v>195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1" t="s">
        <v>149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</row>
    <row r="18" spans="1:79" ht="15" customHeight="1" x14ac:dyDescent="0.2">
      <c r="A18" s="56" t="s">
        <v>195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55" t="s">
        <v>150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</row>
    <row r="21" spans="1:79" ht="120" customHeight="1" x14ac:dyDescent="0.2">
      <c r="A21" s="56" t="s">
        <v>196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55" t="s">
        <v>151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</row>
    <row r="24" spans="1:79" ht="14.25" customHeight="1" x14ac:dyDescent="0.2">
      <c r="A24" s="55" t="s">
        <v>214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</row>
    <row r="25" spans="1:79" ht="15" customHeight="1" x14ac:dyDescent="0.2">
      <c r="A25" s="60" t="s">
        <v>203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</row>
    <row r="26" spans="1:79" ht="23.1" customHeight="1" x14ac:dyDescent="0.2">
      <c r="A26" s="72" t="s">
        <v>2</v>
      </c>
      <c r="B26" s="73"/>
      <c r="C26" s="73"/>
      <c r="D26" s="74"/>
      <c r="E26" s="72" t="s">
        <v>19</v>
      </c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35" t="s">
        <v>204</v>
      </c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 t="s">
        <v>207</v>
      </c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 t="s">
        <v>215</v>
      </c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</row>
    <row r="27" spans="1:79" ht="54.75" customHeight="1" x14ac:dyDescent="0.2">
      <c r="A27" s="75"/>
      <c r="B27" s="76"/>
      <c r="C27" s="76"/>
      <c r="D27" s="77"/>
      <c r="E27" s="75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68" t="s">
        <v>4</v>
      </c>
      <c r="V27" s="69"/>
      <c r="W27" s="69"/>
      <c r="X27" s="69"/>
      <c r="Y27" s="70"/>
      <c r="Z27" s="68" t="s">
        <v>3</v>
      </c>
      <c r="AA27" s="69"/>
      <c r="AB27" s="69"/>
      <c r="AC27" s="69"/>
      <c r="AD27" s="70"/>
      <c r="AE27" s="95" t="s">
        <v>116</v>
      </c>
      <c r="AF27" s="96"/>
      <c r="AG27" s="96"/>
      <c r="AH27" s="97"/>
      <c r="AI27" s="68" t="s">
        <v>5</v>
      </c>
      <c r="AJ27" s="69"/>
      <c r="AK27" s="69"/>
      <c r="AL27" s="69"/>
      <c r="AM27" s="70"/>
      <c r="AN27" s="68" t="s">
        <v>4</v>
      </c>
      <c r="AO27" s="69"/>
      <c r="AP27" s="69"/>
      <c r="AQ27" s="69"/>
      <c r="AR27" s="70"/>
      <c r="AS27" s="68" t="s">
        <v>3</v>
      </c>
      <c r="AT27" s="69"/>
      <c r="AU27" s="69"/>
      <c r="AV27" s="69"/>
      <c r="AW27" s="70"/>
      <c r="AX27" s="95" t="s">
        <v>116</v>
      </c>
      <c r="AY27" s="96"/>
      <c r="AZ27" s="96"/>
      <c r="BA27" s="97"/>
      <c r="BB27" s="68" t="s">
        <v>96</v>
      </c>
      <c r="BC27" s="69"/>
      <c r="BD27" s="69"/>
      <c r="BE27" s="69"/>
      <c r="BF27" s="70"/>
      <c r="BG27" s="68" t="s">
        <v>4</v>
      </c>
      <c r="BH27" s="69"/>
      <c r="BI27" s="69"/>
      <c r="BJ27" s="69"/>
      <c r="BK27" s="70"/>
      <c r="BL27" s="68" t="s">
        <v>3</v>
      </c>
      <c r="BM27" s="69"/>
      <c r="BN27" s="69"/>
      <c r="BO27" s="69"/>
      <c r="BP27" s="70"/>
      <c r="BQ27" s="95" t="s">
        <v>116</v>
      </c>
      <c r="BR27" s="96"/>
      <c r="BS27" s="96"/>
      <c r="BT27" s="97"/>
      <c r="BU27" s="68" t="s">
        <v>97</v>
      </c>
      <c r="BV27" s="69"/>
      <c r="BW27" s="69"/>
      <c r="BX27" s="69"/>
      <c r="BY27" s="70"/>
    </row>
    <row r="28" spans="1:79" ht="15" customHeight="1" x14ac:dyDescent="0.2">
      <c r="A28" s="68">
        <v>1</v>
      </c>
      <c r="B28" s="69"/>
      <c r="C28" s="69"/>
      <c r="D28" s="70"/>
      <c r="E28" s="68">
        <v>2</v>
      </c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8">
        <v>3</v>
      </c>
      <c r="V28" s="69"/>
      <c r="W28" s="69"/>
      <c r="X28" s="69"/>
      <c r="Y28" s="70"/>
      <c r="Z28" s="68">
        <v>4</v>
      </c>
      <c r="AA28" s="69"/>
      <c r="AB28" s="69"/>
      <c r="AC28" s="69"/>
      <c r="AD28" s="70"/>
      <c r="AE28" s="68">
        <v>5</v>
      </c>
      <c r="AF28" s="69"/>
      <c r="AG28" s="69"/>
      <c r="AH28" s="70"/>
      <c r="AI28" s="68">
        <v>6</v>
      </c>
      <c r="AJ28" s="69"/>
      <c r="AK28" s="69"/>
      <c r="AL28" s="69"/>
      <c r="AM28" s="70"/>
      <c r="AN28" s="68">
        <v>7</v>
      </c>
      <c r="AO28" s="69"/>
      <c r="AP28" s="69"/>
      <c r="AQ28" s="69"/>
      <c r="AR28" s="70"/>
      <c r="AS28" s="68">
        <v>8</v>
      </c>
      <c r="AT28" s="69"/>
      <c r="AU28" s="69"/>
      <c r="AV28" s="69"/>
      <c r="AW28" s="70"/>
      <c r="AX28" s="68">
        <v>9</v>
      </c>
      <c r="AY28" s="69"/>
      <c r="AZ28" s="69"/>
      <c r="BA28" s="70"/>
      <c r="BB28" s="68">
        <v>10</v>
      </c>
      <c r="BC28" s="69"/>
      <c r="BD28" s="69"/>
      <c r="BE28" s="69"/>
      <c r="BF28" s="70"/>
      <c r="BG28" s="68">
        <v>11</v>
      </c>
      <c r="BH28" s="69"/>
      <c r="BI28" s="69"/>
      <c r="BJ28" s="69"/>
      <c r="BK28" s="70"/>
      <c r="BL28" s="68">
        <v>12</v>
      </c>
      <c r="BM28" s="69"/>
      <c r="BN28" s="69"/>
      <c r="BO28" s="69"/>
      <c r="BP28" s="70"/>
      <c r="BQ28" s="68">
        <v>13</v>
      </c>
      <c r="BR28" s="69"/>
      <c r="BS28" s="69"/>
      <c r="BT28" s="70"/>
      <c r="BU28" s="68">
        <v>14</v>
      </c>
      <c r="BV28" s="69"/>
      <c r="BW28" s="69"/>
      <c r="BX28" s="69"/>
      <c r="BY28" s="70"/>
    </row>
    <row r="29" spans="1:79" ht="13.5" hidden="1" customHeight="1" x14ac:dyDescent="0.2">
      <c r="A29" s="82" t="s">
        <v>56</v>
      </c>
      <c r="B29" s="83"/>
      <c r="C29" s="83"/>
      <c r="D29" s="84"/>
      <c r="E29" s="82" t="s">
        <v>57</v>
      </c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2" t="s">
        <v>65</v>
      </c>
      <c r="V29" s="83"/>
      <c r="W29" s="83"/>
      <c r="X29" s="83"/>
      <c r="Y29" s="84"/>
      <c r="Z29" s="82" t="s">
        <v>66</v>
      </c>
      <c r="AA29" s="83"/>
      <c r="AB29" s="83"/>
      <c r="AC29" s="83"/>
      <c r="AD29" s="84"/>
      <c r="AE29" s="82" t="s">
        <v>91</v>
      </c>
      <c r="AF29" s="83"/>
      <c r="AG29" s="83"/>
      <c r="AH29" s="84"/>
      <c r="AI29" s="92" t="s">
        <v>169</v>
      </c>
      <c r="AJ29" s="93"/>
      <c r="AK29" s="93"/>
      <c r="AL29" s="93"/>
      <c r="AM29" s="94"/>
      <c r="AN29" s="82" t="s">
        <v>67</v>
      </c>
      <c r="AO29" s="83"/>
      <c r="AP29" s="83"/>
      <c r="AQ29" s="83"/>
      <c r="AR29" s="84"/>
      <c r="AS29" s="82" t="s">
        <v>68</v>
      </c>
      <c r="AT29" s="83"/>
      <c r="AU29" s="83"/>
      <c r="AV29" s="83"/>
      <c r="AW29" s="84"/>
      <c r="AX29" s="82" t="s">
        <v>92</v>
      </c>
      <c r="AY29" s="83"/>
      <c r="AZ29" s="83"/>
      <c r="BA29" s="84"/>
      <c r="BB29" s="92" t="s">
        <v>169</v>
      </c>
      <c r="BC29" s="93"/>
      <c r="BD29" s="93"/>
      <c r="BE29" s="93"/>
      <c r="BF29" s="94"/>
      <c r="BG29" s="82" t="s">
        <v>58</v>
      </c>
      <c r="BH29" s="83"/>
      <c r="BI29" s="83"/>
      <c r="BJ29" s="83"/>
      <c r="BK29" s="84"/>
      <c r="BL29" s="82" t="s">
        <v>59</v>
      </c>
      <c r="BM29" s="83"/>
      <c r="BN29" s="83"/>
      <c r="BO29" s="83"/>
      <c r="BP29" s="84"/>
      <c r="BQ29" s="82" t="s">
        <v>93</v>
      </c>
      <c r="BR29" s="83"/>
      <c r="BS29" s="83"/>
      <c r="BT29" s="84"/>
      <c r="BU29" s="92" t="s">
        <v>169</v>
      </c>
      <c r="BV29" s="93"/>
      <c r="BW29" s="93"/>
      <c r="BX29" s="93"/>
      <c r="BY29" s="94"/>
      <c r="CA29" t="s">
        <v>21</v>
      </c>
    </row>
    <row r="30" spans="1:79" s="4" customFormat="1" ht="12.75" customHeight="1" x14ac:dyDescent="0.2">
      <c r="A30" s="27"/>
      <c r="B30" s="28"/>
      <c r="C30" s="28"/>
      <c r="D30" s="107"/>
      <c r="E30" s="29" t="s">
        <v>172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88">
        <v>0</v>
      </c>
      <c r="V30" s="88"/>
      <c r="W30" s="88"/>
      <c r="X30" s="88"/>
      <c r="Y30" s="88"/>
      <c r="Z30" s="88" t="s">
        <v>173</v>
      </c>
      <c r="AA30" s="88"/>
      <c r="AB30" s="88"/>
      <c r="AC30" s="88"/>
      <c r="AD30" s="88"/>
      <c r="AE30" s="89" t="s">
        <v>173</v>
      </c>
      <c r="AF30" s="90"/>
      <c r="AG30" s="90"/>
      <c r="AH30" s="91"/>
      <c r="AI30" s="89">
        <f>IF(ISNUMBER(U30),U30,0)+IF(ISNUMBER(Z30),Z30,0)</f>
        <v>0</v>
      </c>
      <c r="AJ30" s="90"/>
      <c r="AK30" s="90"/>
      <c r="AL30" s="90"/>
      <c r="AM30" s="91"/>
      <c r="AN30" s="89">
        <v>271466</v>
      </c>
      <c r="AO30" s="90"/>
      <c r="AP30" s="90"/>
      <c r="AQ30" s="90"/>
      <c r="AR30" s="91"/>
      <c r="AS30" s="89" t="s">
        <v>173</v>
      </c>
      <c r="AT30" s="90"/>
      <c r="AU30" s="90"/>
      <c r="AV30" s="90"/>
      <c r="AW30" s="91"/>
      <c r="AX30" s="89" t="s">
        <v>173</v>
      </c>
      <c r="AY30" s="90"/>
      <c r="AZ30" s="90"/>
      <c r="BA30" s="91"/>
      <c r="BB30" s="89">
        <f>IF(ISNUMBER(AN30),AN30,0)+IF(ISNUMBER(AS30),AS30,0)</f>
        <v>271466</v>
      </c>
      <c r="BC30" s="90"/>
      <c r="BD30" s="90"/>
      <c r="BE30" s="90"/>
      <c r="BF30" s="91"/>
      <c r="BG30" s="89">
        <v>428938</v>
      </c>
      <c r="BH30" s="90"/>
      <c r="BI30" s="90"/>
      <c r="BJ30" s="90"/>
      <c r="BK30" s="91"/>
      <c r="BL30" s="89" t="s">
        <v>173</v>
      </c>
      <c r="BM30" s="90"/>
      <c r="BN30" s="90"/>
      <c r="BO30" s="90"/>
      <c r="BP30" s="91"/>
      <c r="BQ30" s="89" t="s">
        <v>173</v>
      </c>
      <c r="BR30" s="90"/>
      <c r="BS30" s="90"/>
      <c r="BT30" s="91"/>
      <c r="BU30" s="89">
        <f>IF(ISNUMBER(BG30),BG30,0)+IF(ISNUMBER(BL30),BL30,0)</f>
        <v>428938</v>
      </c>
      <c r="BV30" s="90"/>
      <c r="BW30" s="90"/>
      <c r="BX30" s="90"/>
      <c r="BY30" s="91"/>
      <c r="CA30" s="4" t="s">
        <v>22</v>
      </c>
    </row>
    <row r="31" spans="1:79" s="5" customFormat="1" ht="12.75" customHeight="1" x14ac:dyDescent="0.2">
      <c r="A31" s="36"/>
      <c r="B31" s="37"/>
      <c r="C31" s="37"/>
      <c r="D31" s="44"/>
      <c r="E31" s="22" t="s">
        <v>147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4"/>
      <c r="U31" s="43">
        <v>0</v>
      </c>
      <c r="V31" s="43"/>
      <c r="W31" s="43"/>
      <c r="X31" s="43"/>
      <c r="Y31" s="43"/>
      <c r="Z31" s="43">
        <v>0</v>
      </c>
      <c r="AA31" s="43"/>
      <c r="AB31" s="43"/>
      <c r="AC31" s="43"/>
      <c r="AD31" s="43"/>
      <c r="AE31" s="40">
        <v>0</v>
      </c>
      <c r="AF31" s="41"/>
      <c r="AG31" s="41"/>
      <c r="AH31" s="42"/>
      <c r="AI31" s="40">
        <f>IF(ISNUMBER(U31),U31,0)+IF(ISNUMBER(Z31),Z31,0)</f>
        <v>0</v>
      </c>
      <c r="AJ31" s="41"/>
      <c r="AK31" s="41"/>
      <c r="AL31" s="41"/>
      <c r="AM31" s="42"/>
      <c r="AN31" s="40">
        <v>271466</v>
      </c>
      <c r="AO31" s="41"/>
      <c r="AP31" s="41"/>
      <c r="AQ31" s="41"/>
      <c r="AR31" s="42"/>
      <c r="AS31" s="40">
        <v>0</v>
      </c>
      <c r="AT31" s="41"/>
      <c r="AU31" s="41"/>
      <c r="AV31" s="41"/>
      <c r="AW31" s="42"/>
      <c r="AX31" s="40">
        <v>0</v>
      </c>
      <c r="AY31" s="41"/>
      <c r="AZ31" s="41"/>
      <c r="BA31" s="42"/>
      <c r="BB31" s="40">
        <f>IF(ISNUMBER(AN31),AN31,0)+IF(ISNUMBER(AS31),AS31,0)</f>
        <v>271466</v>
      </c>
      <c r="BC31" s="41"/>
      <c r="BD31" s="41"/>
      <c r="BE31" s="41"/>
      <c r="BF31" s="42"/>
      <c r="BG31" s="40">
        <v>428938</v>
      </c>
      <c r="BH31" s="41"/>
      <c r="BI31" s="41"/>
      <c r="BJ31" s="41"/>
      <c r="BK31" s="42"/>
      <c r="BL31" s="40">
        <v>0</v>
      </c>
      <c r="BM31" s="41"/>
      <c r="BN31" s="41"/>
      <c r="BO31" s="41"/>
      <c r="BP31" s="42"/>
      <c r="BQ31" s="40">
        <v>0</v>
      </c>
      <c r="BR31" s="41"/>
      <c r="BS31" s="41"/>
      <c r="BT31" s="42"/>
      <c r="BU31" s="40">
        <f>IF(ISNUMBER(BG31),BG31,0)+IF(ISNUMBER(BL31),BL31,0)</f>
        <v>428938</v>
      </c>
      <c r="BV31" s="41"/>
      <c r="BW31" s="41"/>
      <c r="BX31" s="41"/>
      <c r="BY31" s="42"/>
    </row>
    <row r="33" spans="1:79" ht="14.25" customHeight="1" x14ac:dyDescent="0.2">
      <c r="A33" s="55" t="s">
        <v>229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</row>
    <row r="34" spans="1:79" ht="15" customHeight="1" x14ac:dyDescent="0.2">
      <c r="A34" s="71" t="s">
        <v>203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</row>
    <row r="35" spans="1:79" ht="22.5" customHeight="1" x14ac:dyDescent="0.2">
      <c r="A35" s="72" t="s">
        <v>2</v>
      </c>
      <c r="B35" s="73"/>
      <c r="C35" s="73"/>
      <c r="D35" s="74"/>
      <c r="E35" s="72" t="s">
        <v>19</v>
      </c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4"/>
      <c r="X35" s="68" t="s">
        <v>225</v>
      </c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70"/>
      <c r="AR35" s="35" t="s">
        <v>230</v>
      </c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</row>
    <row r="36" spans="1:79" ht="36" customHeight="1" x14ac:dyDescent="0.2">
      <c r="A36" s="75"/>
      <c r="B36" s="76"/>
      <c r="C36" s="76"/>
      <c r="D36" s="77"/>
      <c r="E36" s="75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7"/>
      <c r="X36" s="35" t="s">
        <v>4</v>
      </c>
      <c r="Y36" s="35"/>
      <c r="Z36" s="35"/>
      <c r="AA36" s="35"/>
      <c r="AB36" s="35"/>
      <c r="AC36" s="35" t="s">
        <v>3</v>
      </c>
      <c r="AD36" s="35"/>
      <c r="AE36" s="35"/>
      <c r="AF36" s="35"/>
      <c r="AG36" s="35"/>
      <c r="AH36" s="95" t="s">
        <v>116</v>
      </c>
      <c r="AI36" s="96"/>
      <c r="AJ36" s="96"/>
      <c r="AK36" s="96"/>
      <c r="AL36" s="97"/>
      <c r="AM36" s="68" t="s">
        <v>5</v>
      </c>
      <c r="AN36" s="69"/>
      <c r="AO36" s="69"/>
      <c r="AP36" s="69"/>
      <c r="AQ36" s="70"/>
      <c r="AR36" s="68" t="s">
        <v>4</v>
      </c>
      <c r="AS36" s="69"/>
      <c r="AT36" s="69"/>
      <c r="AU36" s="69"/>
      <c r="AV36" s="70"/>
      <c r="AW36" s="68" t="s">
        <v>3</v>
      </c>
      <c r="AX36" s="69"/>
      <c r="AY36" s="69"/>
      <c r="AZ36" s="69"/>
      <c r="BA36" s="70"/>
      <c r="BB36" s="95" t="s">
        <v>116</v>
      </c>
      <c r="BC36" s="96"/>
      <c r="BD36" s="96"/>
      <c r="BE36" s="96"/>
      <c r="BF36" s="97"/>
      <c r="BG36" s="68" t="s">
        <v>96</v>
      </c>
      <c r="BH36" s="69"/>
      <c r="BI36" s="69"/>
      <c r="BJ36" s="69"/>
      <c r="BK36" s="70"/>
    </row>
    <row r="37" spans="1:79" ht="15" customHeight="1" x14ac:dyDescent="0.2">
      <c r="A37" s="68">
        <v>1</v>
      </c>
      <c r="B37" s="69"/>
      <c r="C37" s="69"/>
      <c r="D37" s="70"/>
      <c r="E37" s="68">
        <v>2</v>
      </c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70"/>
      <c r="X37" s="35">
        <v>3</v>
      </c>
      <c r="Y37" s="35"/>
      <c r="Z37" s="35"/>
      <c r="AA37" s="35"/>
      <c r="AB37" s="35"/>
      <c r="AC37" s="35">
        <v>4</v>
      </c>
      <c r="AD37" s="35"/>
      <c r="AE37" s="35"/>
      <c r="AF37" s="35"/>
      <c r="AG37" s="35"/>
      <c r="AH37" s="35">
        <v>5</v>
      </c>
      <c r="AI37" s="35"/>
      <c r="AJ37" s="35"/>
      <c r="AK37" s="35"/>
      <c r="AL37" s="35"/>
      <c r="AM37" s="35">
        <v>6</v>
      </c>
      <c r="AN37" s="35"/>
      <c r="AO37" s="35"/>
      <c r="AP37" s="35"/>
      <c r="AQ37" s="35"/>
      <c r="AR37" s="68">
        <v>7</v>
      </c>
      <c r="AS37" s="69"/>
      <c r="AT37" s="69"/>
      <c r="AU37" s="69"/>
      <c r="AV37" s="70"/>
      <c r="AW37" s="68">
        <v>8</v>
      </c>
      <c r="AX37" s="69"/>
      <c r="AY37" s="69"/>
      <c r="AZ37" s="69"/>
      <c r="BA37" s="70"/>
      <c r="BB37" s="68">
        <v>9</v>
      </c>
      <c r="BC37" s="69"/>
      <c r="BD37" s="69"/>
      <c r="BE37" s="69"/>
      <c r="BF37" s="70"/>
      <c r="BG37" s="68">
        <v>10</v>
      </c>
      <c r="BH37" s="69"/>
      <c r="BI37" s="69"/>
      <c r="BJ37" s="69"/>
      <c r="BK37" s="70"/>
    </row>
    <row r="38" spans="1:79" ht="20.25" hidden="1" customHeight="1" x14ac:dyDescent="0.2">
      <c r="A38" s="82" t="s">
        <v>56</v>
      </c>
      <c r="B38" s="83"/>
      <c r="C38" s="83"/>
      <c r="D38" s="84"/>
      <c r="E38" s="82" t="s">
        <v>57</v>
      </c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4"/>
      <c r="X38" s="59" t="s">
        <v>60</v>
      </c>
      <c r="Y38" s="59"/>
      <c r="Z38" s="59"/>
      <c r="AA38" s="59"/>
      <c r="AB38" s="59"/>
      <c r="AC38" s="59" t="s">
        <v>61</v>
      </c>
      <c r="AD38" s="59"/>
      <c r="AE38" s="59"/>
      <c r="AF38" s="59"/>
      <c r="AG38" s="59"/>
      <c r="AH38" s="82" t="s">
        <v>94</v>
      </c>
      <c r="AI38" s="83"/>
      <c r="AJ38" s="83"/>
      <c r="AK38" s="83"/>
      <c r="AL38" s="84"/>
      <c r="AM38" s="92" t="s">
        <v>170</v>
      </c>
      <c r="AN38" s="93"/>
      <c r="AO38" s="93"/>
      <c r="AP38" s="93"/>
      <c r="AQ38" s="94"/>
      <c r="AR38" s="82" t="s">
        <v>62</v>
      </c>
      <c r="AS38" s="83"/>
      <c r="AT38" s="83"/>
      <c r="AU38" s="83"/>
      <c r="AV38" s="84"/>
      <c r="AW38" s="82" t="s">
        <v>63</v>
      </c>
      <c r="AX38" s="83"/>
      <c r="AY38" s="83"/>
      <c r="AZ38" s="83"/>
      <c r="BA38" s="84"/>
      <c r="BB38" s="82" t="s">
        <v>95</v>
      </c>
      <c r="BC38" s="83"/>
      <c r="BD38" s="83"/>
      <c r="BE38" s="83"/>
      <c r="BF38" s="84"/>
      <c r="BG38" s="92" t="s">
        <v>170</v>
      </c>
      <c r="BH38" s="93"/>
      <c r="BI38" s="93"/>
      <c r="BJ38" s="93"/>
      <c r="BK38" s="94"/>
      <c r="CA38" t="s">
        <v>23</v>
      </c>
    </row>
    <row r="39" spans="1:79" s="4" customFormat="1" ht="12.75" customHeight="1" x14ac:dyDescent="0.2">
      <c r="A39" s="27"/>
      <c r="B39" s="28"/>
      <c r="C39" s="28"/>
      <c r="D39" s="107"/>
      <c r="E39" s="29" t="s">
        <v>172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1"/>
      <c r="X39" s="89">
        <v>471403</v>
      </c>
      <c r="Y39" s="90"/>
      <c r="Z39" s="90"/>
      <c r="AA39" s="90"/>
      <c r="AB39" s="91"/>
      <c r="AC39" s="89" t="s">
        <v>173</v>
      </c>
      <c r="AD39" s="90"/>
      <c r="AE39" s="90"/>
      <c r="AF39" s="90"/>
      <c r="AG39" s="91"/>
      <c r="AH39" s="89" t="s">
        <v>173</v>
      </c>
      <c r="AI39" s="90"/>
      <c r="AJ39" s="90"/>
      <c r="AK39" s="90"/>
      <c r="AL39" s="91"/>
      <c r="AM39" s="89">
        <f>IF(ISNUMBER(X39),X39,0)+IF(ISNUMBER(AC39),AC39,0)</f>
        <v>471403</v>
      </c>
      <c r="AN39" s="90"/>
      <c r="AO39" s="90"/>
      <c r="AP39" s="90"/>
      <c r="AQ39" s="91"/>
      <c r="AR39" s="89">
        <v>509115</v>
      </c>
      <c r="AS39" s="90"/>
      <c r="AT39" s="90"/>
      <c r="AU39" s="90"/>
      <c r="AV39" s="91"/>
      <c r="AW39" s="89" t="s">
        <v>173</v>
      </c>
      <c r="AX39" s="90"/>
      <c r="AY39" s="90"/>
      <c r="AZ39" s="90"/>
      <c r="BA39" s="91"/>
      <c r="BB39" s="89" t="s">
        <v>173</v>
      </c>
      <c r="BC39" s="90"/>
      <c r="BD39" s="90"/>
      <c r="BE39" s="90"/>
      <c r="BF39" s="91"/>
      <c r="BG39" s="88">
        <f>IF(ISNUMBER(AR39),AR39,0)+IF(ISNUMBER(AW39),AW39,0)</f>
        <v>509115</v>
      </c>
      <c r="BH39" s="88"/>
      <c r="BI39" s="88"/>
      <c r="BJ39" s="88"/>
      <c r="BK39" s="88"/>
      <c r="CA39" s="4" t="s">
        <v>24</v>
      </c>
    </row>
    <row r="40" spans="1:79" s="5" customFormat="1" ht="12.75" customHeight="1" x14ac:dyDescent="0.2">
      <c r="A40" s="36"/>
      <c r="B40" s="37"/>
      <c r="C40" s="37"/>
      <c r="D40" s="44"/>
      <c r="E40" s="22" t="s">
        <v>147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40">
        <v>471403</v>
      </c>
      <c r="Y40" s="41"/>
      <c r="Z40" s="41"/>
      <c r="AA40" s="41"/>
      <c r="AB40" s="42"/>
      <c r="AC40" s="40">
        <v>0</v>
      </c>
      <c r="AD40" s="41"/>
      <c r="AE40" s="41"/>
      <c r="AF40" s="41"/>
      <c r="AG40" s="42"/>
      <c r="AH40" s="40">
        <v>0</v>
      </c>
      <c r="AI40" s="41"/>
      <c r="AJ40" s="41"/>
      <c r="AK40" s="41"/>
      <c r="AL40" s="42"/>
      <c r="AM40" s="40">
        <f>IF(ISNUMBER(X40),X40,0)+IF(ISNUMBER(AC40),AC40,0)</f>
        <v>471403</v>
      </c>
      <c r="AN40" s="41"/>
      <c r="AO40" s="41"/>
      <c r="AP40" s="41"/>
      <c r="AQ40" s="42"/>
      <c r="AR40" s="40">
        <v>509115</v>
      </c>
      <c r="AS40" s="41"/>
      <c r="AT40" s="41"/>
      <c r="AU40" s="41"/>
      <c r="AV40" s="42"/>
      <c r="AW40" s="40">
        <v>0</v>
      </c>
      <c r="AX40" s="41"/>
      <c r="AY40" s="41"/>
      <c r="AZ40" s="41"/>
      <c r="BA40" s="42"/>
      <c r="BB40" s="40">
        <v>0</v>
      </c>
      <c r="BC40" s="41"/>
      <c r="BD40" s="41"/>
      <c r="BE40" s="41"/>
      <c r="BF40" s="42"/>
      <c r="BG40" s="43">
        <f>IF(ISNUMBER(AR40),AR40,0)+IF(ISNUMBER(AW40),AW40,0)</f>
        <v>509115</v>
      </c>
      <c r="BH40" s="43"/>
      <c r="BI40" s="43"/>
      <c r="BJ40" s="43"/>
      <c r="BK40" s="43"/>
    </row>
    <row r="42" spans="1:79" s="3" customFormat="1" ht="14.25" customHeight="1" x14ac:dyDescent="0.2">
      <c r="A42" s="55" t="s">
        <v>117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8"/>
    </row>
    <row r="43" spans="1:79" ht="14.25" customHeight="1" x14ac:dyDescent="0.2">
      <c r="A43" s="55" t="s">
        <v>216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</row>
    <row r="44" spans="1:79" ht="15" customHeight="1" x14ac:dyDescent="0.2">
      <c r="A44" s="60" t="s">
        <v>203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</row>
    <row r="45" spans="1:79" ht="23.1" customHeight="1" x14ac:dyDescent="0.2">
      <c r="A45" s="101" t="s">
        <v>118</v>
      </c>
      <c r="B45" s="102"/>
      <c r="C45" s="102"/>
      <c r="D45" s="103"/>
      <c r="E45" s="35" t="s">
        <v>19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68" t="s">
        <v>204</v>
      </c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70"/>
      <c r="AN45" s="68" t="s">
        <v>207</v>
      </c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70"/>
      <c r="BG45" s="68" t="s">
        <v>215</v>
      </c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70"/>
    </row>
    <row r="46" spans="1:79" ht="48.75" customHeight="1" x14ac:dyDescent="0.2">
      <c r="A46" s="104"/>
      <c r="B46" s="105"/>
      <c r="C46" s="105"/>
      <c r="D46" s="106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68" t="s">
        <v>4</v>
      </c>
      <c r="V46" s="69"/>
      <c r="W46" s="69"/>
      <c r="X46" s="69"/>
      <c r="Y46" s="70"/>
      <c r="Z46" s="68" t="s">
        <v>3</v>
      </c>
      <c r="AA46" s="69"/>
      <c r="AB46" s="69"/>
      <c r="AC46" s="69"/>
      <c r="AD46" s="70"/>
      <c r="AE46" s="95" t="s">
        <v>116</v>
      </c>
      <c r="AF46" s="96"/>
      <c r="AG46" s="96"/>
      <c r="AH46" s="97"/>
      <c r="AI46" s="68" t="s">
        <v>5</v>
      </c>
      <c r="AJ46" s="69"/>
      <c r="AK46" s="69"/>
      <c r="AL46" s="69"/>
      <c r="AM46" s="70"/>
      <c r="AN46" s="68" t="s">
        <v>4</v>
      </c>
      <c r="AO46" s="69"/>
      <c r="AP46" s="69"/>
      <c r="AQ46" s="69"/>
      <c r="AR46" s="70"/>
      <c r="AS46" s="68" t="s">
        <v>3</v>
      </c>
      <c r="AT46" s="69"/>
      <c r="AU46" s="69"/>
      <c r="AV46" s="69"/>
      <c r="AW46" s="70"/>
      <c r="AX46" s="95" t="s">
        <v>116</v>
      </c>
      <c r="AY46" s="96"/>
      <c r="AZ46" s="96"/>
      <c r="BA46" s="97"/>
      <c r="BB46" s="68" t="s">
        <v>96</v>
      </c>
      <c r="BC46" s="69"/>
      <c r="BD46" s="69"/>
      <c r="BE46" s="69"/>
      <c r="BF46" s="70"/>
      <c r="BG46" s="68" t="s">
        <v>4</v>
      </c>
      <c r="BH46" s="69"/>
      <c r="BI46" s="69"/>
      <c r="BJ46" s="69"/>
      <c r="BK46" s="70"/>
      <c r="BL46" s="68" t="s">
        <v>3</v>
      </c>
      <c r="BM46" s="69"/>
      <c r="BN46" s="69"/>
      <c r="BO46" s="69"/>
      <c r="BP46" s="70"/>
      <c r="BQ46" s="95" t="s">
        <v>116</v>
      </c>
      <c r="BR46" s="96"/>
      <c r="BS46" s="96"/>
      <c r="BT46" s="97"/>
      <c r="BU46" s="68" t="s">
        <v>97</v>
      </c>
      <c r="BV46" s="69"/>
      <c r="BW46" s="69"/>
      <c r="BX46" s="69"/>
      <c r="BY46" s="70"/>
    </row>
    <row r="47" spans="1:79" ht="15" customHeight="1" x14ac:dyDescent="0.2">
      <c r="A47" s="68">
        <v>1</v>
      </c>
      <c r="B47" s="69"/>
      <c r="C47" s="69"/>
      <c r="D47" s="70"/>
      <c r="E47" s="68">
        <v>2</v>
      </c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70"/>
      <c r="U47" s="68">
        <v>3</v>
      </c>
      <c r="V47" s="69"/>
      <c r="W47" s="69"/>
      <c r="X47" s="69"/>
      <c r="Y47" s="70"/>
      <c r="Z47" s="68">
        <v>4</v>
      </c>
      <c r="AA47" s="69"/>
      <c r="AB47" s="69"/>
      <c r="AC47" s="69"/>
      <c r="AD47" s="70"/>
      <c r="AE47" s="68">
        <v>5</v>
      </c>
      <c r="AF47" s="69"/>
      <c r="AG47" s="69"/>
      <c r="AH47" s="70"/>
      <c r="AI47" s="68">
        <v>6</v>
      </c>
      <c r="AJ47" s="69"/>
      <c r="AK47" s="69"/>
      <c r="AL47" s="69"/>
      <c r="AM47" s="70"/>
      <c r="AN47" s="68">
        <v>7</v>
      </c>
      <c r="AO47" s="69"/>
      <c r="AP47" s="69"/>
      <c r="AQ47" s="69"/>
      <c r="AR47" s="70"/>
      <c r="AS47" s="68">
        <v>8</v>
      </c>
      <c r="AT47" s="69"/>
      <c r="AU47" s="69"/>
      <c r="AV47" s="69"/>
      <c r="AW47" s="70"/>
      <c r="AX47" s="68">
        <v>9</v>
      </c>
      <c r="AY47" s="69"/>
      <c r="AZ47" s="69"/>
      <c r="BA47" s="70"/>
      <c r="BB47" s="68">
        <v>10</v>
      </c>
      <c r="BC47" s="69"/>
      <c r="BD47" s="69"/>
      <c r="BE47" s="69"/>
      <c r="BF47" s="70"/>
      <c r="BG47" s="68">
        <v>11</v>
      </c>
      <c r="BH47" s="69"/>
      <c r="BI47" s="69"/>
      <c r="BJ47" s="69"/>
      <c r="BK47" s="70"/>
      <c r="BL47" s="68">
        <v>12</v>
      </c>
      <c r="BM47" s="69"/>
      <c r="BN47" s="69"/>
      <c r="BO47" s="69"/>
      <c r="BP47" s="70"/>
      <c r="BQ47" s="68">
        <v>13</v>
      </c>
      <c r="BR47" s="69"/>
      <c r="BS47" s="69"/>
      <c r="BT47" s="70"/>
      <c r="BU47" s="68">
        <v>14</v>
      </c>
      <c r="BV47" s="69"/>
      <c r="BW47" s="69"/>
      <c r="BX47" s="69"/>
      <c r="BY47" s="70"/>
    </row>
    <row r="48" spans="1:79" s="1" customFormat="1" ht="12.75" hidden="1" customHeight="1" x14ac:dyDescent="0.2">
      <c r="A48" s="82" t="s">
        <v>64</v>
      </c>
      <c r="B48" s="83"/>
      <c r="C48" s="83"/>
      <c r="D48" s="84"/>
      <c r="E48" s="82" t="s">
        <v>57</v>
      </c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4"/>
      <c r="U48" s="82" t="s">
        <v>65</v>
      </c>
      <c r="V48" s="83"/>
      <c r="W48" s="83"/>
      <c r="X48" s="83"/>
      <c r="Y48" s="84"/>
      <c r="Z48" s="82" t="s">
        <v>66</v>
      </c>
      <c r="AA48" s="83"/>
      <c r="AB48" s="83"/>
      <c r="AC48" s="83"/>
      <c r="AD48" s="84"/>
      <c r="AE48" s="82" t="s">
        <v>91</v>
      </c>
      <c r="AF48" s="83"/>
      <c r="AG48" s="83"/>
      <c r="AH48" s="84"/>
      <c r="AI48" s="92" t="s">
        <v>169</v>
      </c>
      <c r="AJ48" s="93"/>
      <c r="AK48" s="93"/>
      <c r="AL48" s="93"/>
      <c r="AM48" s="94"/>
      <c r="AN48" s="82" t="s">
        <v>67</v>
      </c>
      <c r="AO48" s="83"/>
      <c r="AP48" s="83"/>
      <c r="AQ48" s="83"/>
      <c r="AR48" s="84"/>
      <c r="AS48" s="82" t="s">
        <v>68</v>
      </c>
      <c r="AT48" s="83"/>
      <c r="AU48" s="83"/>
      <c r="AV48" s="83"/>
      <c r="AW48" s="84"/>
      <c r="AX48" s="82" t="s">
        <v>92</v>
      </c>
      <c r="AY48" s="83"/>
      <c r="AZ48" s="83"/>
      <c r="BA48" s="84"/>
      <c r="BB48" s="92" t="s">
        <v>169</v>
      </c>
      <c r="BC48" s="93"/>
      <c r="BD48" s="93"/>
      <c r="BE48" s="93"/>
      <c r="BF48" s="94"/>
      <c r="BG48" s="82" t="s">
        <v>58</v>
      </c>
      <c r="BH48" s="83"/>
      <c r="BI48" s="83"/>
      <c r="BJ48" s="83"/>
      <c r="BK48" s="84"/>
      <c r="BL48" s="82" t="s">
        <v>59</v>
      </c>
      <c r="BM48" s="83"/>
      <c r="BN48" s="83"/>
      <c r="BO48" s="83"/>
      <c r="BP48" s="84"/>
      <c r="BQ48" s="82" t="s">
        <v>93</v>
      </c>
      <c r="BR48" s="83"/>
      <c r="BS48" s="83"/>
      <c r="BT48" s="84"/>
      <c r="BU48" s="92" t="s">
        <v>169</v>
      </c>
      <c r="BV48" s="93"/>
      <c r="BW48" s="93"/>
      <c r="BX48" s="93"/>
      <c r="BY48" s="94"/>
      <c r="CA48" t="s">
        <v>25</v>
      </c>
    </row>
    <row r="49" spans="1:79" s="4" customFormat="1" ht="25.5" customHeight="1" x14ac:dyDescent="0.2">
      <c r="A49" s="27">
        <v>2610</v>
      </c>
      <c r="B49" s="28"/>
      <c r="C49" s="28"/>
      <c r="D49" s="107"/>
      <c r="E49" s="29" t="s">
        <v>174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1"/>
      <c r="U49" s="89">
        <v>0</v>
      </c>
      <c r="V49" s="90"/>
      <c r="W49" s="90"/>
      <c r="X49" s="90"/>
      <c r="Y49" s="91"/>
      <c r="Z49" s="89">
        <v>0</v>
      </c>
      <c r="AA49" s="90"/>
      <c r="AB49" s="90"/>
      <c r="AC49" s="90"/>
      <c r="AD49" s="91"/>
      <c r="AE49" s="89">
        <v>0</v>
      </c>
      <c r="AF49" s="90"/>
      <c r="AG49" s="90"/>
      <c r="AH49" s="91"/>
      <c r="AI49" s="89">
        <f>IF(ISNUMBER(U49),U49,0)+IF(ISNUMBER(Z49),Z49,0)</f>
        <v>0</v>
      </c>
      <c r="AJ49" s="90"/>
      <c r="AK49" s="90"/>
      <c r="AL49" s="90"/>
      <c r="AM49" s="91"/>
      <c r="AN49" s="89">
        <v>271466</v>
      </c>
      <c r="AO49" s="90"/>
      <c r="AP49" s="90"/>
      <c r="AQ49" s="90"/>
      <c r="AR49" s="91"/>
      <c r="AS49" s="89">
        <v>0</v>
      </c>
      <c r="AT49" s="90"/>
      <c r="AU49" s="90"/>
      <c r="AV49" s="90"/>
      <c r="AW49" s="91"/>
      <c r="AX49" s="89">
        <v>0</v>
      </c>
      <c r="AY49" s="90"/>
      <c r="AZ49" s="90"/>
      <c r="BA49" s="91"/>
      <c r="BB49" s="89">
        <f>IF(ISNUMBER(AN49),AN49,0)+IF(ISNUMBER(AS49),AS49,0)</f>
        <v>271466</v>
      </c>
      <c r="BC49" s="90"/>
      <c r="BD49" s="90"/>
      <c r="BE49" s="90"/>
      <c r="BF49" s="91"/>
      <c r="BG49" s="89">
        <v>428938</v>
      </c>
      <c r="BH49" s="90"/>
      <c r="BI49" s="90"/>
      <c r="BJ49" s="90"/>
      <c r="BK49" s="91"/>
      <c r="BL49" s="89">
        <v>0</v>
      </c>
      <c r="BM49" s="90"/>
      <c r="BN49" s="90"/>
      <c r="BO49" s="90"/>
      <c r="BP49" s="91"/>
      <c r="BQ49" s="89">
        <v>0</v>
      </c>
      <c r="BR49" s="90"/>
      <c r="BS49" s="90"/>
      <c r="BT49" s="91"/>
      <c r="BU49" s="89">
        <f>IF(ISNUMBER(BG49),BG49,0)+IF(ISNUMBER(BL49),BL49,0)</f>
        <v>428938</v>
      </c>
      <c r="BV49" s="90"/>
      <c r="BW49" s="90"/>
      <c r="BX49" s="90"/>
      <c r="BY49" s="91"/>
      <c r="CA49" s="4" t="s">
        <v>26</v>
      </c>
    </row>
    <row r="50" spans="1:79" s="5" customFormat="1" ht="12.75" customHeight="1" x14ac:dyDescent="0.2">
      <c r="A50" s="36"/>
      <c r="B50" s="37"/>
      <c r="C50" s="37"/>
      <c r="D50" s="44"/>
      <c r="E50" s="22" t="s">
        <v>147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  <c r="U50" s="40">
        <v>0</v>
      </c>
      <c r="V50" s="41"/>
      <c r="W50" s="41"/>
      <c r="X50" s="41"/>
      <c r="Y50" s="42"/>
      <c r="Z50" s="40">
        <v>0</v>
      </c>
      <c r="AA50" s="41"/>
      <c r="AB50" s="41"/>
      <c r="AC50" s="41"/>
      <c r="AD50" s="42"/>
      <c r="AE50" s="40">
        <v>0</v>
      </c>
      <c r="AF50" s="41"/>
      <c r="AG50" s="41"/>
      <c r="AH50" s="42"/>
      <c r="AI50" s="40">
        <f>IF(ISNUMBER(U50),U50,0)+IF(ISNUMBER(Z50),Z50,0)</f>
        <v>0</v>
      </c>
      <c r="AJ50" s="41"/>
      <c r="AK50" s="41"/>
      <c r="AL50" s="41"/>
      <c r="AM50" s="42"/>
      <c r="AN50" s="40">
        <v>271466</v>
      </c>
      <c r="AO50" s="41"/>
      <c r="AP50" s="41"/>
      <c r="AQ50" s="41"/>
      <c r="AR50" s="42"/>
      <c r="AS50" s="40">
        <v>0</v>
      </c>
      <c r="AT50" s="41"/>
      <c r="AU50" s="41"/>
      <c r="AV50" s="41"/>
      <c r="AW50" s="42"/>
      <c r="AX50" s="40">
        <v>0</v>
      </c>
      <c r="AY50" s="41"/>
      <c r="AZ50" s="41"/>
      <c r="BA50" s="42"/>
      <c r="BB50" s="40">
        <f>IF(ISNUMBER(AN50),AN50,0)+IF(ISNUMBER(AS50),AS50,0)</f>
        <v>271466</v>
      </c>
      <c r="BC50" s="41"/>
      <c r="BD50" s="41"/>
      <c r="BE50" s="41"/>
      <c r="BF50" s="42"/>
      <c r="BG50" s="40">
        <v>428938</v>
      </c>
      <c r="BH50" s="41"/>
      <c r="BI50" s="41"/>
      <c r="BJ50" s="41"/>
      <c r="BK50" s="42"/>
      <c r="BL50" s="40">
        <v>0</v>
      </c>
      <c r="BM50" s="41"/>
      <c r="BN50" s="41"/>
      <c r="BO50" s="41"/>
      <c r="BP50" s="42"/>
      <c r="BQ50" s="40">
        <v>0</v>
      </c>
      <c r="BR50" s="41"/>
      <c r="BS50" s="41"/>
      <c r="BT50" s="42"/>
      <c r="BU50" s="40">
        <f>IF(ISNUMBER(BG50),BG50,0)+IF(ISNUMBER(BL50),BL50,0)</f>
        <v>428938</v>
      </c>
      <c r="BV50" s="41"/>
      <c r="BW50" s="41"/>
      <c r="BX50" s="41"/>
      <c r="BY50" s="42"/>
    </row>
    <row r="52" spans="1:79" ht="14.25" customHeight="1" x14ac:dyDescent="0.2">
      <c r="A52" s="55" t="s">
        <v>217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</row>
    <row r="53" spans="1:79" ht="15" customHeight="1" x14ac:dyDescent="0.2">
      <c r="A53" s="71" t="s">
        <v>203</v>
      </c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</row>
    <row r="54" spans="1:79" ht="23.1" customHeight="1" x14ac:dyDescent="0.2">
      <c r="A54" s="101" t="s">
        <v>119</v>
      </c>
      <c r="B54" s="102"/>
      <c r="C54" s="102"/>
      <c r="D54" s="102"/>
      <c r="E54" s="103"/>
      <c r="F54" s="35" t="s">
        <v>19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68" t="s">
        <v>204</v>
      </c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70"/>
      <c r="AN54" s="68" t="s">
        <v>207</v>
      </c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70"/>
      <c r="BG54" s="68" t="s">
        <v>215</v>
      </c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70"/>
    </row>
    <row r="55" spans="1:79" ht="51.75" customHeight="1" x14ac:dyDescent="0.2">
      <c r="A55" s="104"/>
      <c r="B55" s="105"/>
      <c r="C55" s="105"/>
      <c r="D55" s="105"/>
      <c r="E55" s="106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68" t="s">
        <v>4</v>
      </c>
      <c r="V55" s="69"/>
      <c r="W55" s="69"/>
      <c r="X55" s="69"/>
      <c r="Y55" s="70"/>
      <c r="Z55" s="68" t="s">
        <v>3</v>
      </c>
      <c r="AA55" s="69"/>
      <c r="AB55" s="69"/>
      <c r="AC55" s="69"/>
      <c r="AD55" s="70"/>
      <c r="AE55" s="95" t="s">
        <v>116</v>
      </c>
      <c r="AF55" s="96"/>
      <c r="AG55" s="96"/>
      <c r="AH55" s="97"/>
      <c r="AI55" s="68" t="s">
        <v>5</v>
      </c>
      <c r="AJ55" s="69"/>
      <c r="AK55" s="69"/>
      <c r="AL55" s="69"/>
      <c r="AM55" s="70"/>
      <c r="AN55" s="68" t="s">
        <v>4</v>
      </c>
      <c r="AO55" s="69"/>
      <c r="AP55" s="69"/>
      <c r="AQ55" s="69"/>
      <c r="AR55" s="70"/>
      <c r="AS55" s="68" t="s">
        <v>3</v>
      </c>
      <c r="AT55" s="69"/>
      <c r="AU55" s="69"/>
      <c r="AV55" s="69"/>
      <c r="AW55" s="70"/>
      <c r="AX55" s="95" t="s">
        <v>116</v>
      </c>
      <c r="AY55" s="96"/>
      <c r="AZ55" s="96"/>
      <c r="BA55" s="97"/>
      <c r="BB55" s="68" t="s">
        <v>96</v>
      </c>
      <c r="BC55" s="69"/>
      <c r="BD55" s="69"/>
      <c r="BE55" s="69"/>
      <c r="BF55" s="70"/>
      <c r="BG55" s="68" t="s">
        <v>4</v>
      </c>
      <c r="BH55" s="69"/>
      <c r="BI55" s="69"/>
      <c r="BJ55" s="69"/>
      <c r="BK55" s="70"/>
      <c r="BL55" s="68" t="s">
        <v>3</v>
      </c>
      <c r="BM55" s="69"/>
      <c r="BN55" s="69"/>
      <c r="BO55" s="69"/>
      <c r="BP55" s="70"/>
      <c r="BQ55" s="95" t="s">
        <v>116</v>
      </c>
      <c r="BR55" s="96"/>
      <c r="BS55" s="96"/>
      <c r="BT55" s="97"/>
      <c r="BU55" s="35" t="s">
        <v>97</v>
      </c>
      <c r="BV55" s="35"/>
      <c r="BW55" s="35"/>
      <c r="BX55" s="35"/>
      <c r="BY55" s="35"/>
    </row>
    <row r="56" spans="1:79" ht="15" customHeight="1" x14ac:dyDescent="0.2">
      <c r="A56" s="68">
        <v>1</v>
      </c>
      <c r="B56" s="69"/>
      <c r="C56" s="69"/>
      <c r="D56" s="69"/>
      <c r="E56" s="70"/>
      <c r="F56" s="68">
        <v>2</v>
      </c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70"/>
      <c r="U56" s="68">
        <v>3</v>
      </c>
      <c r="V56" s="69"/>
      <c r="W56" s="69"/>
      <c r="X56" s="69"/>
      <c r="Y56" s="70"/>
      <c r="Z56" s="68">
        <v>4</v>
      </c>
      <c r="AA56" s="69"/>
      <c r="AB56" s="69"/>
      <c r="AC56" s="69"/>
      <c r="AD56" s="70"/>
      <c r="AE56" s="68">
        <v>5</v>
      </c>
      <c r="AF56" s="69"/>
      <c r="AG56" s="69"/>
      <c r="AH56" s="70"/>
      <c r="AI56" s="68">
        <v>6</v>
      </c>
      <c r="AJ56" s="69"/>
      <c r="AK56" s="69"/>
      <c r="AL56" s="69"/>
      <c r="AM56" s="70"/>
      <c r="AN56" s="68">
        <v>7</v>
      </c>
      <c r="AO56" s="69"/>
      <c r="AP56" s="69"/>
      <c r="AQ56" s="69"/>
      <c r="AR56" s="70"/>
      <c r="AS56" s="68">
        <v>8</v>
      </c>
      <c r="AT56" s="69"/>
      <c r="AU56" s="69"/>
      <c r="AV56" s="69"/>
      <c r="AW56" s="70"/>
      <c r="AX56" s="68">
        <v>9</v>
      </c>
      <c r="AY56" s="69"/>
      <c r="AZ56" s="69"/>
      <c r="BA56" s="70"/>
      <c r="BB56" s="68">
        <v>10</v>
      </c>
      <c r="BC56" s="69"/>
      <c r="BD56" s="69"/>
      <c r="BE56" s="69"/>
      <c r="BF56" s="70"/>
      <c r="BG56" s="68">
        <v>11</v>
      </c>
      <c r="BH56" s="69"/>
      <c r="BI56" s="69"/>
      <c r="BJ56" s="69"/>
      <c r="BK56" s="70"/>
      <c r="BL56" s="68">
        <v>12</v>
      </c>
      <c r="BM56" s="69"/>
      <c r="BN56" s="69"/>
      <c r="BO56" s="69"/>
      <c r="BP56" s="70"/>
      <c r="BQ56" s="68">
        <v>13</v>
      </c>
      <c r="BR56" s="69"/>
      <c r="BS56" s="69"/>
      <c r="BT56" s="70"/>
      <c r="BU56" s="35">
        <v>14</v>
      </c>
      <c r="BV56" s="35"/>
      <c r="BW56" s="35"/>
      <c r="BX56" s="35"/>
      <c r="BY56" s="35"/>
    </row>
    <row r="57" spans="1:79" s="1" customFormat="1" ht="13.5" hidden="1" customHeight="1" x14ac:dyDescent="0.2">
      <c r="A57" s="82" t="s">
        <v>64</v>
      </c>
      <c r="B57" s="83"/>
      <c r="C57" s="83"/>
      <c r="D57" s="83"/>
      <c r="E57" s="84"/>
      <c r="F57" s="82" t="s">
        <v>57</v>
      </c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4"/>
      <c r="U57" s="82" t="s">
        <v>65</v>
      </c>
      <c r="V57" s="83"/>
      <c r="W57" s="83"/>
      <c r="X57" s="83"/>
      <c r="Y57" s="84"/>
      <c r="Z57" s="82" t="s">
        <v>66</v>
      </c>
      <c r="AA57" s="83"/>
      <c r="AB57" s="83"/>
      <c r="AC57" s="83"/>
      <c r="AD57" s="84"/>
      <c r="AE57" s="82" t="s">
        <v>91</v>
      </c>
      <c r="AF57" s="83"/>
      <c r="AG57" s="83"/>
      <c r="AH57" s="84"/>
      <c r="AI57" s="92" t="s">
        <v>169</v>
      </c>
      <c r="AJ57" s="93"/>
      <c r="AK57" s="93"/>
      <c r="AL57" s="93"/>
      <c r="AM57" s="94"/>
      <c r="AN57" s="82" t="s">
        <v>67</v>
      </c>
      <c r="AO57" s="83"/>
      <c r="AP57" s="83"/>
      <c r="AQ57" s="83"/>
      <c r="AR57" s="84"/>
      <c r="AS57" s="82" t="s">
        <v>68</v>
      </c>
      <c r="AT57" s="83"/>
      <c r="AU57" s="83"/>
      <c r="AV57" s="83"/>
      <c r="AW57" s="84"/>
      <c r="AX57" s="82" t="s">
        <v>92</v>
      </c>
      <c r="AY57" s="83"/>
      <c r="AZ57" s="83"/>
      <c r="BA57" s="84"/>
      <c r="BB57" s="92" t="s">
        <v>169</v>
      </c>
      <c r="BC57" s="93"/>
      <c r="BD57" s="93"/>
      <c r="BE57" s="93"/>
      <c r="BF57" s="94"/>
      <c r="BG57" s="82" t="s">
        <v>58</v>
      </c>
      <c r="BH57" s="83"/>
      <c r="BI57" s="83"/>
      <c r="BJ57" s="83"/>
      <c r="BK57" s="84"/>
      <c r="BL57" s="82" t="s">
        <v>59</v>
      </c>
      <c r="BM57" s="83"/>
      <c r="BN57" s="83"/>
      <c r="BO57" s="83"/>
      <c r="BP57" s="84"/>
      <c r="BQ57" s="82" t="s">
        <v>93</v>
      </c>
      <c r="BR57" s="83"/>
      <c r="BS57" s="83"/>
      <c r="BT57" s="84"/>
      <c r="BU57" s="78" t="s">
        <v>169</v>
      </c>
      <c r="BV57" s="78"/>
      <c r="BW57" s="78"/>
      <c r="BX57" s="78"/>
      <c r="BY57" s="78"/>
      <c r="CA57" t="s">
        <v>27</v>
      </c>
    </row>
    <row r="58" spans="1:79" s="5" customFormat="1" ht="12.75" customHeight="1" x14ac:dyDescent="0.2">
      <c r="A58" s="36"/>
      <c r="B58" s="37"/>
      <c r="C58" s="37"/>
      <c r="D58" s="37"/>
      <c r="E58" s="44"/>
      <c r="F58" s="36" t="s">
        <v>147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44"/>
      <c r="U58" s="40"/>
      <c r="V58" s="41"/>
      <c r="W58" s="41"/>
      <c r="X58" s="41"/>
      <c r="Y58" s="42"/>
      <c r="Z58" s="40"/>
      <c r="AA58" s="41"/>
      <c r="AB58" s="41"/>
      <c r="AC58" s="41"/>
      <c r="AD58" s="42"/>
      <c r="AE58" s="40"/>
      <c r="AF58" s="41"/>
      <c r="AG58" s="41"/>
      <c r="AH58" s="42"/>
      <c r="AI58" s="40">
        <f>IF(ISNUMBER(U58),U58,0)+IF(ISNUMBER(Z58),Z58,0)</f>
        <v>0</v>
      </c>
      <c r="AJ58" s="41"/>
      <c r="AK58" s="41"/>
      <c r="AL58" s="41"/>
      <c r="AM58" s="42"/>
      <c r="AN58" s="40"/>
      <c r="AO58" s="41"/>
      <c r="AP58" s="41"/>
      <c r="AQ58" s="41"/>
      <c r="AR58" s="42"/>
      <c r="AS58" s="40"/>
      <c r="AT58" s="41"/>
      <c r="AU58" s="41"/>
      <c r="AV58" s="41"/>
      <c r="AW58" s="42"/>
      <c r="AX58" s="40"/>
      <c r="AY58" s="41"/>
      <c r="AZ58" s="41"/>
      <c r="BA58" s="42"/>
      <c r="BB58" s="40">
        <f>IF(ISNUMBER(AN58),AN58,0)+IF(ISNUMBER(AS58),AS58,0)</f>
        <v>0</v>
      </c>
      <c r="BC58" s="41"/>
      <c r="BD58" s="41"/>
      <c r="BE58" s="41"/>
      <c r="BF58" s="42"/>
      <c r="BG58" s="40"/>
      <c r="BH58" s="41"/>
      <c r="BI58" s="41"/>
      <c r="BJ58" s="41"/>
      <c r="BK58" s="42"/>
      <c r="BL58" s="40"/>
      <c r="BM58" s="41"/>
      <c r="BN58" s="41"/>
      <c r="BO58" s="41"/>
      <c r="BP58" s="42"/>
      <c r="BQ58" s="40"/>
      <c r="BR58" s="41"/>
      <c r="BS58" s="41"/>
      <c r="BT58" s="42"/>
      <c r="BU58" s="40">
        <f>IF(ISNUMBER(BG58),BG58,0)+IF(ISNUMBER(BL58),BL58,0)</f>
        <v>0</v>
      </c>
      <c r="BV58" s="41"/>
      <c r="BW58" s="41"/>
      <c r="BX58" s="41"/>
      <c r="BY58" s="42"/>
      <c r="CA58" s="5" t="s">
        <v>28</v>
      </c>
    </row>
    <row r="60" spans="1:79" ht="14.25" customHeight="1" x14ac:dyDescent="0.2">
      <c r="A60" s="55" t="s">
        <v>231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</row>
    <row r="61" spans="1:79" ht="15" customHeight="1" x14ac:dyDescent="0.2">
      <c r="A61" s="71" t="s">
        <v>203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</row>
    <row r="62" spans="1:79" ht="23.1" customHeight="1" x14ac:dyDescent="0.2">
      <c r="A62" s="101" t="s">
        <v>118</v>
      </c>
      <c r="B62" s="102"/>
      <c r="C62" s="102"/>
      <c r="D62" s="103"/>
      <c r="E62" s="72" t="s">
        <v>19</v>
      </c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4"/>
      <c r="X62" s="68" t="s">
        <v>225</v>
      </c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70"/>
      <c r="AR62" s="35" t="s">
        <v>230</v>
      </c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</row>
    <row r="63" spans="1:79" ht="48.75" customHeight="1" x14ac:dyDescent="0.2">
      <c r="A63" s="104"/>
      <c r="B63" s="105"/>
      <c r="C63" s="105"/>
      <c r="D63" s="106"/>
      <c r="E63" s="75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7"/>
      <c r="X63" s="72" t="s">
        <v>4</v>
      </c>
      <c r="Y63" s="73"/>
      <c r="Z63" s="73"/>
      <c r="AA63" s="73"/>
      <c r="AB63" s="74"/>
      <c r="AC63" s="72" t="s">
        <v>3</v>
      </c>
      <c r="AD63" s="73"/>
      <c r="AE63" s="73"/>
      <c r="AF63" s="73"/>
      <c r="AG63" s="74"/>
      <c r="AH63" s="95" t="s">
        <v>116</v>
      </c>
      <c r="AI63" s="96"/>
      <c r="AJ63" s="96"/>
      <c r="AK63" s="96"/>
      <c r="AL63" s="97"/>
      <c r="AM63" s="68" t="s">
        <v>5</v>
      </c>
      <c r="AN63" s="69"/>
      <c r="AO63" s="69"/>
      <c r="AP63" s="69"/>
      <c r="AQ63" s="70"/>
      <c r="AR63" s="68" t="s">
        <v>4</v>
      </c>
      <c r="AS63" s="69"/>
      <c r="AT63" s="69"/>
      <c r="AU63" s="69"/>
      <c r="AV63" s="70"/>
      <c r="AW63" s="68" t="s">
        <v>3</v>
      </c>
      <c r="AX63" s="69"/>
      <c r="AY63" s="69"/>
      <c r="AZ63" s="69"/>
      <c r="BA63" s="70"/>
      <c r="BB63" s="95" t="s">
        <v>116</v>
      </c>
      <c r="BC63" s="96"/>
      <c r="BD63" s="96"/>
      <c r="BE63" s="96"/>
      <c r="BF63" s="97"/>
      <c r="BG63" s="68" t="s">
        <v>96</v>
      </c>
      <c r="BH63" s="69"/>
      <c r="BI63" s="69"/>
      <c r="BJ63" s="69"/>
      <c r="BK63" s="70"/>
    </row>
    <row r="64" spans="1:79" ht="12.75" customHeight="1" x14ac:dyDescent="0.2">
      <c r="A64" s="68">
        <v>1</v>
      </c>
      <c r="B64" s="69"/>
      <c r="C64" s="69"/>
      <c r="D64" s="70"/>
      <c r="E64" s="68">
        <v>2</v>
      </c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70"/>
      <c r="X64" s="68">
        <v>3</v>
      </c>
      <c r="Y64" s="69"/>
      <c r="Z64" s="69"/>
      <c r="AA64" s="69"/>
      <c r="AB64" s="70"/>
      <c r="AC64" s="68">
        <v>4</v>
      </c>
      <c r="AD64" s="69"/>
      <c r="AE64" s="69"/>
      <c r="AF64" s="69"/>
      <c r="AG64" s="70"/>
      <c r="AH64" s="68">
        <v>5</v>
      </c>
      <c r="AI64" s="69"/>
      <c r="AJ64" s="69"/>
      <c r="AK64" s="69"/>
      <c r="AL64" s="70"/>
      <c r="AM64" s="68">
        <v>6</v>
      </c>
      <c r="AN64" s="69"/>
      <c r="AO64" s="69"/>
      <c r="AP64" s="69"/>
      <c r="AQ64" s="70"/>
      <c r="AR64" s="68">
        <v>7</v>
      </c>
      <c r="AS64" s="69"/>
      <c r="AT64" s="69"/>
      <c r="AU64" s="69"/>
      <c r="AV64" s="70"/>
      <c r="AW64" s="68">
        <v>8</v>
      </c>
      <c r="AX64" s="69"/>
      <c r="AY64" s="69"/>
      <c r="AZ64" s="69"/>
      <c r="BA64" s="70"/>
      <c r="BB64" s="68">
        <v>9</v>
      </c>
      <c r="BC64" s="69"/>
      <c r="BD64" s="69"/>
      <c r="BE64" s="69"/>
      <c r="BF64" s="70"/>
      <c r="BG64" s="68">
        <v>10</v>
      </c>
      <c r="BH64" s="69"/>
      <c r="BI64" s="69"/>
      <c r="BJ64" s="69"/>
      <c r="BK64" s="70"/>
    </row>
    <row r="65" spans="1:79" s="1" customFormat="1" ht="12.75" hidden="1" customHeight="1" x14ac:dyDescent="0.2">
      <c r="A65" s="82" t="s">
        <v>64</v>
      </c>
      <c r="B65" s="83"/>
      <c r="C65" s="83"/>
      <c r="D65" s="84"/>
      <c r="E65" s="82" t="s">
        <v>57</v>
      </c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4"/>
      <c r="X65" s="108" t="s">
        <v>60</v>
      </c>
      <c r="Y65" s="109"/>
      <c r="Z65" s="109"/>
      <c r="AA65" s="109"/>
      <c r="AB65" s="110"/>
      <c r="AC65" s="108" t="s">
        <v>61</v>
      </c>
      <c r="AD65" s="109"/>
      <c r="AE65" s="109"/>
      <c r="AF65" s="109"/>
      <c r="AG65" s="110"/>
      <c r="AH65" s="82" t="s">
        <v>94</v>
      </c>
      <c r="AI65" s="83"/>
      <c r="AJ65" s="83"/>
      <c r="AK65" s="83"/>
      <c r="AL65" s="84"/>
      <c r="AM65" s="92" t="s">
        <v>170</v>
      </c>
      <c r="AN65" s="93"/>
      <c r="AO65" s="93"/>
      <c r="AP65" s="93"/>
      <c r="AQ65" s="94"/>
      <c r="AR65" s="82" t="s">
        <v>62</v>
      </c>
      <c r="AS65" s="83"/>
      <c r="AT65" s="83"/>
      <c r="AU65" s="83"/>
      <c r="AV65" s="84"/>
      <c r="AW65" s="82" t="s">
        <v>63</v>
      </c>
      <c r="AX65" s="83"/>
      <c r="AY65" s="83"/>
      <c r="AZ65" s="83"/>
      <c r="BA65" s="84"/>
      <c r="BB65" s="82" t="s">
        <v>95</v>
      </c>
      <c r="BC65" s="83"/>
      <c r="BD65" s="83"/>
      <c r="BE65" s="83"/>
      <c r="BF65" s="84"/>
      <c r="BG65" s="92" t="s">
        <v>170</v>
      </c>
      <c r="BH65" s="93"/>
      <c r="BI65" s="93"/>
      <c r="BJ65" s="93"/>
      <c r="BK65" s="94"/>
      <c r="CA65" t="s">
        <v>29</v>
      </c>
    </row>
    <row r="66" spans="1:79" s="4" customFormat="1" ht="25.5" customHeight="1" x14ac:dyDescent="0.2">
      <c r="A66" s="27">
        <v>2610</v>
      </c>
      <c r="B66" s="28"/>
      <c r="C66" s="28"/>
      <c r="D66" s="107"/>
      <c r="E66" s="29" t="s">
        <v>174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1"/>
      <c r="X66" s="89">
        <v>471403</v>
      </c>
      <c r="Y66" s="90"/>
      <c r="Z66" s="90"/>
      <c r="AA66" s="90"/>
      <c r="AB66" s="91"/>
      <c r="AC66" s="89">
        <v>0</v>
      </c>
      <c r="AD66" s="90"/>
      <c r="AE66" s="90"/>
      <c r="AF66" s="90"/>
      <c r="AG66" s="91"/>
      <c r="AH66" s="89">
        <v>0</v>
      </c>
      <c r="AI66" s="90"/>
      <c r="AJ66" s="90"/>
      <c r="AK66" s="90"/>
      <c r="AL66" s="91"/>
      <c r="AM66" s="89">
        <f>IF(ISNUMBER(X66),X66,0)+IF(ISNUMBER(AC66),AC66,0)</f>
        <v>471403</v>
      </c>
      <c r="AN66" s="90"/>
      <c r="AO66" s="90"/>
      <c r="AP66" s="90"/>
      <c r="AQ66" s="91"/>
      <c r="AR66" s="89">
        <v>509115</v>
      </c>
      <c r="AS66" s="90"/>
      <c r="AT66" s="90"/>
      <c r="AU66" s="90"/>
      <c r="AV66" s="91"/>
      <c r="AW66" s="89">
        <v>0</v>
      </c>
      <c r="AX66" s="90"/>
      <c r="AY66" s="90"/>
      <c r="AZ66" s="90"/>
      <c r="BA66" s="91"/>
      <c r="BB66" s="89">
        <v>0</v>
      </c>
      <c r="BC66" s="90"/>
      <c r="BD66" s="90"/>
      <c r="BE66" s="90"/>
      <c r="BF66" s="91"/>
      <c r="BG66" s="88">
        <f>IF(ISNUMBER(AR66),AR66,0)+IF(ISNUMBER(AW66),AW66,0)</f>
        <v>509115</v>
      </c>
      <c r="BH66" s="88"/>
      <c r="BI66" s="88"/>
      <c r="BJ66" s="88"/>
      <c r="BK66" s="88"/>
      <c r="CA66" s="4" t="s">
        <v>30</v>
      </c>
    </row>
    <row r="67" spans="1:79" s="5" customFormat="1" ht="12.75" customHeight="1" x14ac:dyDescent="0.2">
      <c r="A67" s="36"/>
      <c r="B67" s="37"/>
      <c r="C67" s="37"/>
      <c r="D67" s="44"/>
      <c r="E67" s="22" t="s">
        <v>147</v>
      </c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4"/>
      <c r="X67" s="40">
        <v>471403</v>
      </c>
      <c r="Y67" s="41"/>
      <c r="Z67" s="41"/>
      <c r="AA67" s="41"/>
      <c r="AB67" s="42"/>
      <c r="AC67" s="40">
        <v>0</v>
      </c>
      <c r="AD67" s="41"/>
      <c r="AE67" s="41"/>
      <c r="AF67" s="41"/>
      <c r="AG67" s="42"/>
      <c r="AH67" s="40">
        <v>0</v>
      </c>
      <c r="AI67" s="41"/>
      <c r="AJ67" s="41"/>
      <c r="AK67" s="41"/>
      <c r="AL67" s="42"/>
      <c r="AM67" s="40">
        <f>IF(ISNUMBER(X67),X67,0)+IF(ISNUMBER(AC67),AC67,0)</f>
        <v>471403</v>
      </c>
      <c r="AN67" s="41"/>
      <c r="AO67" s="41"/>
      <c r="AP67" s="41"/>
      <c r="AQ67" s="42"/>
      <c r="AR67" s="40">
        <v>509115</v>
      </c>
      <c r="AS67" s="41"/>
      <c r="AT67" s="41"/>
      <c r="AU67" s="41"/>
      <c r="AV67" s="42"/>
      <c r="AW67" s="40">
        <v>0</v>
      </c>
      <c r="AX67" s="41"/>
      <c r="AY67" s="41"/>
      <c r="AZ67" s="41"/>
      <c r="BA67" s="42"/>
      <c r="BB67" s="40">
        <v>0</v>
      </c>
      <c r="BC67" s="41"/>
      <c r="BD67" s="41"/>
      <c r="BE67" s="41"/>
      <c r="BF67" s="42"/>
      <c r="BG67" s="43">
        <f>IF(ISNUMBER(AR67),AR67,0)+IF(ISNUMBER(AW67),AW67,0)</f>
        <v>509115</v>
      </c>
      <c r="BH67" s="43"/>
      <c r="BI67" s="43"/>
      <c r="BJ67" s="43"/>
      <c r="BK67" s="43"/>
    </row>
    <row r="69" spans="1:79" ht="14.25" customHeight="1" x14ac:dyDescent="0.2">
      <c r="A69" s="55" t="s">
        <v>232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</row>
    <row r="70" spans="1:79" ht="15" customHeight="1" x14ac:dyDescent="0.2">
      <c r="A70" s="71" t="s">
        <v>203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</row>
    <row r="71" spans="1:79" ht="23.1" customHeight="1" x14ac:dyDescent="0.2">
      <c r="A71" s="101" t="s">
        <v>119</v>
      </c>
      <c r="B71" s="102"/>
      <c r="C71" s="102"/>
      <c r="D71" s="102"/>
      <c r="E71" s="103"/>
      <c r="F71" s="72" t="s">
        <v>19</v>
      </c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4"/>
      <c r="X71" s="35" t="s">
        <v>225</v>
      </c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68" t="s">
        <v>230</v>
      </c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70"/>
    </row>
    <row r="72" spans="1:79" ht="53.25" customHeight="1" x14ac:dyDescent="0.2">
      <c r="A72" s="104"/>
      <c r="B72" s="105"/>
      <c r="C72" s="105"/>
      <c r="D72" s="105"/>
      <c r="E72" s="106"/>
      <c r="F72" s="75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7"/>
      <c r="X72" s="68" t="s">
        <v>4</v>
      </c>
      <c r="Y72" s="69"/>
      <c r="Z72" s="69"/>
      <c r="AA72" s="69"/>
      <c r="AB72" s="70"/>
      <c r="AC72" s="68" t="s">
        <v>3</v>
      </c>
      <c r="AD72" s="69"/>
      <c r="AE72" s="69"/>
      <c r="AF72" s="69"/>
      <c r="AG72" s="70"/>
      <c r="AH72" s="95" t="s">
        <v>116</v>
      </c>
      <c r="AI72" s="96"/>
      <c r="AJ72" s="96"/>
      <c r="AK72" s="96"/>
      <c r="AL72" s="97"/>
      <c r="AM72" s="68" t="s">
        <v>5</v>
      </c>
      <c r="AN72" s="69"/>
      <c r="AO72" s="69"/>
      <c r="AP72" s="69"/>
      <c r="AQ72" s="70"/>
      <c r="AR72" s="68" t="s">
        <v>4</v>
      </c>
      <c r="AS72" s="69"/>
      <c r="AT72" s="69"/>
      <c r="AU72" s="69"/>
      <c r="AV72" s="70"/>
      <c r="AW72" s="68" t="s">
        <v>3</v>
      </c>
      <c r="AX72" s="69"/>
      <c r="AY72" s="69"/>
      <c r="AZ72" s="69"/>
      <c r="BA72" s="70"/>
      <c r="BB72" s="61" t="s">
        <v>116</v>
      </c>
      <c r="BC72" s="61"/>
      <c r="BD72" s="61"/>
      <c r="BE72" s="61"/>
      <c r="BF72" s="61"/>
      <c r="BG72" s="68" t="s">
        <v>96</v>
      </c>
      <c r="BH72" s="69"/>
      <c r="BI72" s="69"/>
      <c r="BJ72" s="69"/>
      <c r="BK72" s="70"/>
    </row>
    <row r="73" spans="1:79" ht="15" customHeight="1" x14ac:dyDescent="0.2">
      <c r="A73" s="68">
        <v>1</v>
      </c>
      <c r="B73" s="69"/>
      <c r="C73" s="69"/>
      <c r="D73" s="69"/>
      <c r="E73" s="70"/>
      <c r="F73" s="68">
        <v>2</v>
      </c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70"/>
      <c r="X73" s="68">
        <v>3</v>
      </c>
      <c r="Y73" s="69"/>
      <c r="Z73" s="69"/>
      <c r="AA73" s="69"/>
      <c r="AB73" s="70"/>
      <c r="AC73" s="68">
        <v>4</v>
      </c>
      <c r="AD73" s="69"/>
      <c r="AE73" s="69"/>
      <c r="AF73" s="69"/>
      <c r="AG73" s="70"/>
      <c r="AH73" s="68">
        <v>5</v>
      </c>
      <c r="AI73" s="69"/>
      <c r="AJ73" s="69"/>
      <c r="AK73" s="69"/>
      <c r="AL73" s="70"/>
      <c r="AM73" s="68">
        <v>6</v>
      </c>
      <c r="AN73" s="69"/>
      <c r="AO73" s="69"/>
      <c r="AP73" s="69"/>
      <c r="AQ73" s="70"/>
      <c r="AR73" s="68">
        <v>7</v>
      </c>
      <c r="AS73" s="69"/>
      <c r="AT73" s="69"/>
      <c r="AU73" s="69"/>
      <c r="AV73" s="70"/>
      <c r="AW73" s="68">
        <v>8</v>
      </c>
      <c r="AX73" s="69"/>
      <c r="AY73" s="69"/>
      <c r="AZ73" s="69"/>
      <c r="BA73" s="70"/>
      <c r="BB73" s="68">
        <v>9</v>
      </c>
      <c r="BC73" s="69"/>
      <c r="BD73" s="69"/>
      <c r="BE73" s="69"/>
      <c r="BF73" s="70"/>
      <c r="BG73" s="68">
        <v>10</v>
      </c>
      <c r="BH73" s="69"/>
      <c r="BI73" s="69"/>
      <c r="BJ73" s="69"/>
      <c r="BK73" s="70"/>
    </row>
    <row r="74" spans="1:79" s="1" customFormat="1" ht="15" hidden="1" customHeight="1" x14ac:dyDescent="0.2">
      <c r="A74" s="82" t="s">
        <v>64</v>
      </c>
      <c r="B74" s="83"/>
      <c r="C74" s="83"/>
      <c r="D74" s="83"/>
      <c r="E74" s="84"/>
      <c r="F74" s="82" t="s">
        <v>57</v>
      </c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4"/>
      <c r="X74" s="82" t="s">
        <v>60</v>
      </c>
      <c r="Y74" s="83"/>
      <c r="Z74" s="83"/>
      <c r="AA74" s="83"/>
      <c r="AB74" s="84"/>
      <c r="AC74" s="82" t="s">
        <v>61</v>
      </c>
      <c r="AD74" s="83"/>
      <c r="AE74" s="83"/>
      <c r="AF74" s="83"/>
      <c r="AG74" s="84"/>
      <c r="AH74" s="82" t="s">
        <v>94</v>
      </c>
      <c r="AI74" s="83"/>
      <c r="AJ74" s="83"/>
      <c r="AK74" s="83"/>
      <c r="AL74" s="84"/>
      <c r="AM74" s="92" t="s">
        <v>170</v>
      </c>
      <c r="AN74" s="93"/>
      <c r="AO74" s="93"/>
      <c r="AP74" s="93"/>
      <c r="AQ74" s="94"/>
      <c r="AR74" s="82" t="s">
        <v>62</v>
      </c>
      <c r="AS74" s="83"/>
      <c r="AT74" s="83"/>
      <c r="AU74" s="83"/>
      <c r="AV74" s="84"/>
      <c r="AW74" s="82" t="s">
        <v>63</v>
      </c>
      <c r="AX74" s="83"/>
      <c r="AY74" s="83"/>
      <c r="AZ74" s="83"/>
      <c r="BA74" s="84"/>
      <c r="BB74" s="82" t="s">
        <v>95</v>
      </c>
      <c r="BC74" s="83"/>
      <c r="BD74" s="83"/>
      <c r="BE74" s="83"/>
      <c r="BF74" s="84"/>
      <c r="BG74" s="92" t="s">
        <v>170</v>
      </c>
      <c r="BH74" s="93"/>
      <c r="BI74" s="93"/>
      <c r="BJ74" s="93"/>
      <c r="BK74" s="94"/>
      <c r="CA74" t="s">
        <v>31</v>
      </c>
    </row>
    <row r="75" spans="1:79" s="5" customFormat="1" ht="12.75" customHeight="1" x14ac:dyDescent="0.2">
      <c r="A75" s="36"/>
      <c r="B75" s="37"/>
      <c r="C75" s="37"/>
      <c r="D75" s="37"/>
      <c r="E75" s="44"/>
      <c r="F75" s="36" t="s">
        <v>147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44"/>
      <c r="X75" s="98"/>
      <c r="Y75" s="99"/>
      <c r="Z75" s="99"/>
      <c r="AA75" s="99"/>
      <c r="AB75" s="100"/>
      <c r="AC75" s="98"/>
      <c r="AD75" s="99"/>
      <c r="AE75" s="99"/>
      <c r="AF75" s="99"/>
      <c r="AG75" s="100"/>
      <c r="AH75" s="43"/>
      <c r="AI75" s="43"/>
      <c r="AJ75" s="43"/>
      <c r="AK75" s="43"/>
      <c r="AL75" s="43"/>
      <c r="AM75" s="43">
        <f>IF(ISNUMBER(X75),X75,0)+IF(ISNUMBER(AC75),AC75,0)</f>
        <v>0</v>
      </c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>
        <f>IF(ISNUMBER(AR75),AR75,0)+IF(ISNUMBER(AW75),AW75,0)</f>
        <v>0</v>
      </c>
      <c r="BH75" s="43"/>
      <c r="BI75" s="43"/>
      <c r="BJ75" s="43"/>
      <c r="BK75" s="43"/>
      <c r="CA75" s="5" t="s">
        <v>32</v>
      </c>
    </row>
    <row r="77" spans="1:79" ht="14.25" customHeight="1" x14ac:dyDescent="0.2">
      <c r="A77" s="55" t="s">
        <v>120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</row>
    <row r="78" spans="1:79" ht="14.25" customHeight="1" x14ac:dyDescent="0.2">
      <c r="A78" s="55" t="s">
        <v>218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</row>
    <row r="79" spans="1:79" ht="15" customHeight="1" x14ac:dyDescent="0.2">
      <c r="A79" s="71" t="s">
        <v>203</v>
      </c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</row>
    <row r="80" spans="1:79" ht="23.1" customHeight="1" x14ac:dyDescent="0.2">
      <c r="A80" s="72" t="s">
        <v>6</v>
      </c>
      <c r="B80" s="73"/>
      <c r="C80" s="73"/>
      <c r="D80" s="72" t="s">
        <v>121</v>
      </c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4"/>
      <c r="U80" s="68" t="s">
        <v>204</v>
      </c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70"/>
      <c r="AN80" s="68" t="s">
        <v>207</v>
      </c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70"/>
      <c r="BG80" s="35" t="s">
        <v>215</v>
      </c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</row>
    <row r="81" spans="1:79" ht="52.5" customHeight="1" x14ac:dyDescent="0.2">
      <c r="A81" s="75"/>
      <c r="B81" s="76"/>
      <c r="C81" s="76"/>
      <c r="D81" s="75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7"/>
      <c r="U81" s="68" t="s">
        <v>4</v>
      </c>
      <c r="V81" s="69"/>
      <c r="W81" s="69"/>
      <c r="X81" s="69"/>
      <c r="Y81" s="70"/>
      <c r="Z81" s="68" t="s">
        <v>3</v>
      </c>
      <c r="AA81" s="69"/>
      <c r="AB81" s="69"/>
      <c r="AC81" s="69"/>
      <c r="AD81" s="70"/>
      <c r="AE81" s="95" t="s">
        <v>116</v>
      </c>
      <c r="AF81" s="96"/>
      <c r="AG81" s="96"/>
      <c r="AH81" s="97"/>
      <c r="AI81" s="68" t="s">
        <v>5</v>
      </c>
      <c r="AJ81" s="69"/>
      <c r="AK81" s="69"/>
      <c r="AL81" s="69"/>
      <c r="AM81" s="70"/>
      <c r="AN81" s="68" t="s">
        <v>4</v>
      </c>
      <c r="AO81" s="69"/>
      <c r="AP81" s="69"/>
      <c r="AQ81" s="69"/>
      <c r="AR81" s="70"/>
      <c r="AS81" s="68" t="s">
        <v>3</v>
      </c>
      <c r="AT81" s="69"/>
      <c r="AU81" s="69"/>
      <c r="AV81" s="69"/>
      <c r="AW81" s="70"/>
      <c r="AX81" s="95" t="s">
        <v>116</v>
      </c>
      <c r="AY81" s="96"/>
      <c r="AZ81" s="96"/>
      <c r="BA81" s="97"/>
      <c r="BB81" s="68" t="s">
        <v>96</v>
      </c>
      <c r="BC81" s="69"/>
      <c r="BD81" s="69"/>
      <c r="BE81" s="69"/>
      <c r="BF81" s="70"/>
      <c r="BG81" s="68" t="s">
        <v>4</v>
      </c>
      <c r="BH81" s="69"/>
      <c r="BI81" s="69"/>
      <c r="BJ81" s="69"/>
      <c r="BK81" s="70"/>
      <c r="BL81" s="35" t="s">
        <v>3</v>
      </c>
      <c r="BM81" s="35"/>
      <c r="BN81" s="35"/>
      <c r="BO81" s="35"/>
      <c r="BP81" s="35"/>
      <c r="BQ81" s="61" t="s">
        <v>116</v>
      </c>
      <c r="BR81" s="61"/>
      <c r="BS81" s="61"/>
      <c r="BT81" s="61"/>
      <c r="BU81" s="68" t="s">
        <v>97</v>
      </c>
      <c r="BV81" s="69"/>
      <c r="BW81" s="69"/>
      <c r="BX81" s="69"/>
      <c r="BY81" s="70"/>
    </row>
    <row r="82" spans="1:79" ht="15" customHeight="1" x14ac:dyDescent="0.2">
      <c r="A82" s="68">
        <v>1</v>
      </c>
      <c r="B82" s="69"/>
      <c r="C82" s="69"/>
      <c r="D82" s="68">
        <v>2</v>
      </c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70"/>
      <c r="U82" s="68">
        <v>3</v>
      </c>
      <c r="V82" s="69"/>
      <c r="W82" s="69"/>
      <c r="X82" s="69"/>
      <c r="Y82" s="70"/>
      <c r="Z82" s="68">
        <v>4</v>
      </c>
      <c r="AA82" s="69"/>
      <c r="AB82" s="69"/>
      <c r="AC82" s="69"/>
      <c r="AD82" s="70"/>
      <c r="AE82" s="68">
        <v>5</v>
      </c>
      <c r="AF82" s="69"/>
      <c r="AG82" s="69"/>
      <c r="AH82" s="70"/>
      <c r="AI82" s="68">
        <v>6</v>
      </c>
      <c r="AJ82" s="69"/>
      <c r="AK82" s="69"/>
      <c r="AL82" s="69"/>
      <c r="AM82" s="70"/>
      <c r="AN82" s="68">
        <v>7</v>
      </c>
      <c r="AO82" s="69"/>
      <c r="AP82" s="69"/>
      <c r="AQ82" s="69"/>
      <c r="AR82" s="70"/>
      <c r="AS82" s="68">
        <v>8</v>
      </c>
      <c r="AT82" s="69"/>
      <c r="AU82" s="69"/>
      <c r="AV82" s="69"/>
      <c r="AW82" s="70"/>
      <c r="AX82" s="35">
        <v>9</v>
      </c>
      <c r="AY82" s="35"/>
      <c r="AZ82" s="35"/>
      <c r="BA82" s="35"/>
      <c r="BB82" s="68">
        <v>10</v>
      </c>
      <c r="BC82" s="69"/>
      <c r="BD82" s="69"/>
      <c r="BE82" s="69"/>
      <c r="BF82" s="70"/>
      <c r="BG82" s="68">
        <v>11</v>
      </c>
      <c r="BH82" s="69"/>
      <c r="BI82" s="69"/>
      <c r="BJ82" s="69"/>
      <c r="BK82" s="70"/>
      <c r="BL82" s="35">
        <v>12</v>
      </c>
      <c r="BM82" s="35"/>
      <c r="BN82" s="35"/>
      <c r="BO82" s="35"/>
      <c r="BP82" s="35"/>
      <c r="BQ82" s="68">
        <v>13</v>
      </c>
      <c r="BR82" s="69"/>
      <c r="BS82" s="69"/>
      <c r="BT82" s="70"/>
      <c r="BU82" s="68">
        <v>14</v>
      </c>
      <c r="BV82" s="69"/>
      <c r="BW82" s="69"/>
      <c r="BX82" s="69"/>
      <c r="BY82" s="70"/>
    </row>
    <row r="83" spans="1:79" s="1" customFormat="1" ht="14.25" hidden="1" customHeight="1" x14ac:dyDescent="0.2">
      <c r="A83" s="82" t="s">
        <v>69</v>
      </c>
      <c r="B83" s="83"/>
      <c r="C83" s="83"/>
      <c r="D83" s="82" t="s">
        <v>57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4"/>
      <c r="U83" s="59" t="s">
        <v>65</v>
      </c>
      <c r="V83" s="59"/>
      <c r="W83" s="59"/>
      <c r="X83" s="59"/>
      <c r="Y83" s="59"/>
      <c r="Z83" s="59" t="s">
        <v>66</v>
      </c>
      <c r="AA83" s="59"/>
      <c r="AB83" s="59"/>
      <c r="AC83" s="59"/>
      <c r="AD83" s="59"/>
      <c r="AE83" s="59" t="s">
        <v>91</v>
      </c>
      <c r="AF83" s="59"/>
      <c r="AG83" s="59"/>
      <c r="AH83" s="59"/>
      <c r="AI83" s="78" t="s">
        <v>169</v>
      </c>
      <c r="AJ83" s="78"/>
      <c r="AK83" s="78"/>
      <c r="AL83" s="78"/>
      <c r="AM83" s="78"/>
      <c r="AN83" s="59" t="s">
        <v>67</v>
      </c>
      <c r="AO83" s="59"/>
      <c r="AP83" s="59"/>
      <c r="AQ83" s="59"/>
      <c r="AR83" s="59"/>
      <c r="AS83" s="59" t="s">
        <v>68</v>
      </c>
      <c r="AT83" s="59"/>
      <c r="AU83" s="59"/>
      <c r="AV83" s="59"/>
      <c r="AW83" s="59"/>
      <c r="AX83" s="59" t="s">
        <v>92</v>
      </c>
      <c r="AY83" s="59"/>
      <c r="AZ83" s="59"/>
      <c r="BA83" s="59"/>
      <c r="BB83" s="78" t="s">
        <v>169</v>
      </c>
      <c r="BC83" s="78"/>
      <c r="BD83" s="78"/>
      <c r="BE83" s="78"/>
      <c r="BF83" s="78"/>
      <c r="BG83" s="59" t="s">
        <v>58</v>
      </c>
      <c r="BH83" s="59"/>
      <c r="BI83" s="59"/>
      <c r="BJ83" s="59"/>
      <c r="BK83" s="59"/>
      <c r="BL83" s="59" t="s">
        <v>59</v>
      </c>
      <c r="BM83" s="59"/>
      <c r="BN83" s="59"/>
      <c r="BO83" s="59"/>
      <c r="BP83" s="59"/>
      <c r="BQ83" s="59" t="s">
        <v>93</v>
      </c>
      <c r="BR83" s="59"/>
      <c r="BS83" s="59"/>
      <c r="BT83" s="59"/>
      <c r="BU83" s="78" t="s">
        <v>169</v>
      </c>
      <c r="BV83" s="78"/>
      <c r="BW83" s="78"/>
      <c r="BX83" s="78"/>
      <c r="BY83" s="78"/>
      <c r="CA83" t="s">
        <v>33</v>
      </c>
    </row>
    <row r="84" spans="1:79" s="4" customFormat="1" ht="25.5" customHeight="1" x14ac:dyDescent="0.2">
      <c r="A84" s="27">
        <v>1</v>
      </c>
      <c r="B84" s="28"/>
      <c r="C84" s="28"/>
      <c r="D84" s="29" t="s">
        <v>175</v>
      </c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1"/>
      <c r="U84" s="89">
        <v>0</v>
      </c>
      <c r="V84" s="90"/>
      <c r="W84" s="90"/>
      <c r="X84" s="90"/>
      <c r="Y84" s="91"/>
      <c r="Z84" s="89">
        <v>0</v>
      </c>
      <c r="AA84" s="90"/>
      <c r="AB84" s="90"/>
      <c r="AC84" s="90"/>
      <c r="AD84" s="91"/>
      <c r="AE84" s="89">
        <v>0</v>
      </c>
      <c r="AF84" s="90"/>
      <c r="AG84" s="90"/>
      <c r="AH84" s="91"/>
      <c r="AI84" s="89">
        <f>IF(ISNUMBER(U84),U84,0)+IF(ISNUMBER(Z84),Z84,0)</f>
        <v>0</v>
      </c>
      <c r="AJ84" s="90"/>
      <c r="AK84" s="90"/>
      <c r="AL84" s="90"/>
      <c r="AM84" s="91"/>
      <c r="AN84" s="89">
        <v>271466</v>
      </c>
      <c r="AO84" s="90"/>
      <c r="AP84" s="90"/>
      <c r="AQ84" s="90"/>
      <c r="AR84" s="91"/>
      <c r="AS84" s="89">
        <v>0</v>
      </c>
      <c r="AT84" s="90"/>
      <c r="AU84" s="90"/>
      <c r="AV84" s="90"/>
      <c r="AW84" s="91"/>
      <c r="AX84" s="89">
        <v>0</v>
      </c>
      <c r="AY84" s="90"/>
      <c r="AZ84" s="90"/>
      <c r="BA84" s="91"/>
      <c r="BB84" s="89">
        <f>IF(ISNUMBER(AN84),AN84,0)+IF(ISNUMBER(AS84),AS84,0)</f>
        <v>271466</v>
      </c>
      <c r="BC84" s="90"/>
      <c r="BD84" s="90"/>
      <c r="BE84" s="90"/>
      <c r="BF84" s="91"/>
      <c r="BG84" s="89">
        <v>428938</v>
      </c>
      <c r="BH84" s="90"/>
      <c r="BI84" s="90"/>
      <c r="BJ84" s="90"/>
      <c r="BK84" s="91"/>
      <c r="BL84" s="89">
        <v>0</v>
      </c>
      <c r="BM84" s="90"/>
      <c r="BN84" s="90"/>
      <c r="BO84" s="90"/>
      <c r="BP84" s="91"/>
      <c r="BQ84" s="89">
        <v>0</v>
      </c>
      <c r="BR84" s="90"/>
      <c r="BS84" s="90"/>
      <c r="BT84" s="91"/>
      <c r="BU84" s="89">
        <f>IF(ISNUMBER(BG84),BG84,0)+IF(ISNUMBER(BL84),BL84,0)</f>
        <v>428938</v>
      </c>
      <c r="BV84" s="90"/>
      <c r="BW84" s="90"/>
      <c r="BX84" s="90"/>
      <c r="BY84" s="91"/>
      <c r="CA84" s="4" t="s">
        <v>34</v>
      </c>
    </row>
    <row r="85" spans="1:79" s="5" customFormat="1" ht="12.75" customHeight="1" x14ac:dyDescent="0.2">
      <c r="A85" s="36"/>
      <c r="B85" s="37"/>
      <c r="C85" s="37"/>
      <c r="D85" s="22" t="s">
        <v>147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4"/>
      <c r="U85" s="40">
        <v>0</v>
      </c>
      <c r="V85" s="41"/>
      <c r="W85" s="41"/>
      <c r="X85" s="41"/>
      <c r="Y85" s="42"/>
      <c r="Z85" s="40">
        <v>0</v>
      </c>
      <c r="AA85" s="41"/>
      <c r="AB85" s="41"/>
      <c r="AC85" s="41"/>
      <c r="AD85" s="42"/>
      <c r="AE85" s="40">
        <v>0</v>
      </c>
      <c r="AF85" s="41"/>
      <c r="AG85" s="41"/>
      <c r="AH85" s="42"/>
      <c r="AI85" s="40">
        <f>IF(ISNUMBER(U85),U85,0)+IF(ISNUMBER(Z85),Z85,0)</f>
        <v>0</v>
      </c>
      <c r="AJ85" s="41"/>
      <c r="AK85" s="41"/>
      <c r="AL85" s="41"/>
      <c r="AM85" s="42"/>
      <c r="AN85" s="40">
        <v>271466</v>
      </c>
      <c r="AO85" s="41"/>
      <c r="AP85" s="41"/>
      <c r="AQ85" s="41"/>
      <c r="AR85" s="42"/>
      <c r="AS85" s="40">
        <v>0</v>
      </c>
      <c r="AT85" s="41"/>
      <c r="AU85" s="41"/>
      <c r="AV85" s="41"/>
      <c r="AW85" s="42"/>
      <c r="AX85" s="40">
        <v>0</v>
      </c>
      <c r="AY85" s="41"/>
      <c r="AZ85" s="41"/>
      <c r="BA85" s="42"/>
      <c r="BB85" s="40">
        <f>IF(ISNUMBER(AN85),AN85,0)+IF(ISNUMBER(AS85),AS85,0)</f>
        <v>271466</v>
      </c>
      <c r="BC85" s="41"/>
      <c r="BD85" s="41"/>
      <c r="BE85" s="41"/>
      <c r="BF85" s="42"/>
      <c r="BG85" s="40">
        <v>428938</v>
      </c>
      <c r="BH85" s="41"/>
      <c r="BI85" s="41"/>
      <c r="BJ85" s="41"/>
      <c r="BK85" s="42"/>
      <c r="BL85" s="40">
        <v>0</v>
      </c>
      <c r="BM85" s="41"/>
      <c r="BN85" s="41"/>
      <c r="BO85" s="41"/>
      <c r="BP85" s="42"/>
      <c r="BQ85" s="40">
        <v>0</v>
      </c>
      <c r="BR85" s="41"/>
      <c r="BS85" s="41"/>
      <c r="BT85" s="42"/>
      <c r="BU85" s="40">
        <f>IF(ISNUMBER(BG85),BG85,0)+IF(ISNUMBER(BL85),BL85,0)</f>
        <v>428938</v>
      </c>
      <c r="BV85" s="41"/>
      <c r="BW85" s="41"/>
      <c r="BX85" s="41"/>
      <c r="BY85" s="42"/>
    </row>
    <row r="87" spans="1:79" ht="14.25" customHeight="1" x14ac:dyDescent="0.2">
      <c r="A87" s="55" t="s">
        <v>233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</row>
    <row r="88" spans="1:79" ht="15" customHeight="1" x14ac:dyDescent="0.2">
      <c r="A88" s="60" t="s">
        <v>203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</row>
    <row r="89" spans="1:79" ht="23.1" customHeight="1" x14ac:dyDescent="0.2">
      <c r="A89" s="72" t="s">
        <v>6</v>
      </c>
      <c r="B89" s="73"/>
      <c r="C89" s="73"/>
      <c r="D89" s="72" t="s">
        <v>121</v>
      </c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4"/>
      <c r="U89" s="35" t="s">
        <v>225</v>
      </c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 t="s">
        <v>230</v>
      </c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</row>
    <row r="90" spans="1:79" ht="54" customHeight="1" x14ac:dyDescent="0.2">
      <c r="A90" s="75"/>
      <c r="B90" s="76"/>
      <c r="C90" s="76"/>
      <c r="D90" s="75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7"/>
      <c r="U90" s="68" t="s">
        <v>4</v>
      </c>
      <c r="V90" s="69"/>
      <c r="W90" s="69"/>
      <c r="X90" s="69"/>
      <c r="Y90" s="70"/>
      <c r="Z90" s="68" t="s">
        <v>3</v>
      </c>
      <c r="AA90" s="69"/>
      <c r="AB90" s="69"/>
      <c r="AC90" s="69"/>
      <c r="AD90" s="70"/>
      <c r="AE90" s="95" t="s">
        <v>116</v>
      </c>
      <c r="AF90" s="96"/>
      <c r="AG90" s="96"/>
      <c r="AH90" s="96"/>
      <c r="AI90" s="97"/>
      <c r="AJ90" s="68" t="s">
        <v>5</v>
      </c>
      <c r="AK90" s="69"/>
      <c r="AL90" s="69"/>
      <c r="AM90" s="69"/>
      <c r="AN90" s="70"/>
      <c r="AO90" s="68" t="s">
        <v>4</v>
      </c>
      <c r="AP90" s="69"/>
      <c r="AQ90" s="69"/>
      <c r="AR90" s="69"/>
      <c r="AS90" s="70"/>
      <c r="AT90" s="68" t="s">
        <v>3</v>
      </c>
      <c r="AU90" s="69"/>
      <c r="AV90" s="69"/>
      <c r="AW90" s="69"/>
      <c r="AX90" s="70"/>
      <c r="AY90" s="95" t="s">
        <v>116</v>
      </c>
      <c r="AZ90" s="96"/>
      <c r="BA90" s="96"/>
      <c r="BB90" s="96"/>
      <c r="BC90" s="97"/>
      <c r="BD90" s="35" t="s">
        <v>96</v>
      </c>
      <c r="BE90" s="35"/>
      <c r="BF90" s="35"/>
      <c r="BG90" s="35"/>
      <c r="BH90" s="35"/>
    </row>
    <row r="91" spans="1:79" ht="15" customHeight="1" x14ac:dyDescent="0.2">
      <c r="A91" s="68" t="s">
        <v>168</v>
      </c>
      <c r="B91" s="69"/>
      <c r="C91" s="69"/>
      <c r="D91" s="68">
        <v>2</v>
      </c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70"/>
      <c r="U91" s="68">
        <v>3</v>
      </c>
      <c r="V91" s="69"/>
      <c r="W91" s="69"/>
      <c r="X91" s="69"/>
      <c r="Y91" s="70"/>
      <c r="Z91" s="68">
        <v>4</v>
      </c>
      <c r="AA91" s="69"/>
      <c r="AB91" s="69"/>
      <c r="AC91" s="69"/>
      <c r="AD91" s="70"/>
      <c r="AE91" s="68">
        <v>5</v>
      </c>
      <c r="AF91" s="69"/>
      <c r="AG91" s="69"/>
      <c r="AH91" s="69"/>
      <c r="AI91" s="70"/>
      <c r="AJ91" s="68">
        <v>6</v>
      </c>
      <c r="AK91" s="69"/>
      <c r="AL91" s="69"/>
      <c r="AM91" s="69"/>
      <c r="AN91" s="70"/>
      <c r="AO91" s="68">
        <v>7</v>
      </c>
      <c r="AP91" s="69"/>
      <c r="AQ91" s="69"/>
      <c r="AR91" s="69"/>
      <c r="AS91" s="70"/>
      <c r="AT91" s="68">
        <v>8</v>
      </c>
      <c r="AU91" s="69"/>
      <c r="AV91" s="69"/>
      <c r="AW91" s="69"/>
      <c r="AX91" s="70"/>
      <c r="AY91" s="68">
        <v>9</v>
      </c>
      <c r="AZ91" s="69"/>
      <c r="BA91" s="69"/>
      <c r="BB91" s="69"/>
      <c r="BC91" s="70"/>
      <c r="BD91" s="68">
        <v>10</v>
      </c>
      <c r="BE91" s="69"/>
      <c r="BF91" s="69"/>
      <c r="BG91" s="69"/>
      <c r="BH91" s="70"/>
    </row>
    <row r="92" spans="1:79" s="1" customFormat="1" ht="12.75" hidden="1" customHeight="1" x14ac:dyDescent="0.2">
      <c r="A92" s="82" t="s">
        <v>69</v>
      </c>
      <c r="B92" s="83"/>
      <c r="C92" s="83"/>
      <c r="D92" s="82" t="s">
        <v>57</v>
      </c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4"/>
      <c r="U92" s="82" t="s">
        <v>60</v>
      </c>
      <c r="V92" s="83"/>
      <c r="W92" s="83"/>
      <c r="X92" s="83"/>
      <c r="Y92" s="84"/>
      <c r="Z92" s="82" t="s">
        <v>61</v>
      </c>
      <c r="AA92" s="83"/>
      <c r="AB92" s="83"/>
      <c r="AC92" s="83"/>
      <c r="AD92" s="84"/>
      <c r="AE92" s="82" t="s">
        <v>94</v>
      </c>
      <c r="AF92" s="83"/>
      <c r="AG92" s="83"/>
      <c r="AH92" s="83"/>
      <c r="AI92" s="84"/>
      <c r="AJ92" s="92" t="s">
        <v>170</v>
      </c>
      <c r="AK92" s="93"/>
      <c r="AL92" s="93"/>
      <c r="AM92" s="93"/>
      <c r="AN92" s="94"/>
      <c r="AO92" s="82" t="s">
        <v>62</v>
      </c>
      <c r="AP92" s="83"/>
      <c r="AQ92" s="83"/>
      <c r="AR92" s="83"/>
      <c r="AS92" s="84"/>
      <c r="AT92" s="82" t="s">
        <v>63</v>
      </c>
      <c r="AU92" s="83"/>
      <c r="AV92" s="83"/>
      <c r="AW92" s="83"/>
      <c r="AX92" s="84"/>
      <c r="AY92" s="82" t="s">
        <v>95</v>
      </c>
      <c r="AZ92" s="83"/>
      <c r="BA92" s="83"/>
      <c r="BB92" s="83"/>
      <c r="BC92" s="84"/>
      <c r="BD92" s="78" t="s">
        <v>170</v>
      </c>
      <c r="BE92" s="78"/>
      <c r="BF92" s="78"/>
      <c r="BG92" s="78"/>
      <c r="BH92" s="78"/>
      <c r="CA92" s="1" t="s">
        <v>35</v>
      </c>
    </row>
    <row r="93" spans="1:79" s="4" customFormat="1" ht="25.5" customHeight="1" x14ac:dyDescent="0.2">
      <c r="A93" s="27">
        <v>1</v>
      </c>
      <c r="B93" s="28"/>
      <c r="C93" s="28"/>
      <c r="D93" s="29" t="s">
        <v>175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1"/>
      <c r="U93" s="89">
        <v>471403</v>
      </c>
      <c r="V93" s="90"/>
      <c r="W93" s="90"/>
      <c r="X93" s="90"/>
      <c r="Y93" s="91"/>
      <c r="Z93" s="89">
        <v>0</v>
      </c>
      <c r="AA93" s="90"/>
      <c r="AB93" s="90"/>
      <c r="AC93" s="90"/>
      <c r="AD93" s="91"/>
      <c r="AE93" s="88">
        <v>0</v>
      </c>
      <c r="AF93" s="88"/>
      <c r="AG93" s="88"/>
      <c r="AH93" s="88"/>
      <c r="AI93" s="88"/>
      <c r="AJ93" s="62">
        <f>IF(ISNUMBER(U93),U93,0)+IF(ISNUMBER(Z93),Z93,0)</f>
        <v>471403</v>
      </c>
      <c r="AK93" s="62"/>
      <c r="AL93" s="62"/>
      <c r="AM93" s="62"/>
      <c r="AN93" s="62"/>
      <c r="AO93" s="88">
        <v>509115</v>
      </c>
      <c r="AP93" s="88"/>
      <c r="AQ93" s="88"/>
      <c r="AR93" s="88"/>
      <c r="AS93" s="88"/>
      <c r="AT93" s="62">
        <v>0</v>
      </c>
      <c r="AU93" s="62"/>
      <c r="AV93" s="62"/>
      <c r="AW93" s="62"/>
      <c r="AX93" s="62"/>
      <c r="AY93" s="88">
        <v>0</v>
      </c>
      <c r="AZ93" s="88"/>
      <c r="BA93" s="88"/>
      <c r="BB93" s="88"/>
      <c r="BC93" s="88"/>
      <c r="BD93" s="62">
        <f>IF(ISNUMBER(AO93),AO93,0)+IF(ISNUMBER(AT93),AT93,0)</f>
        <v>509115</v>
      </c>
      <c r="BE93" s="62"/>
      <c r="BF93" s="62"/>
      <c r="BG93" s="62"/>
      <c r="BH93" s="62"/>
      <c r="CA93" s="4" t="s">
        <v>36</v>
      </c>
    </row>
    <row r="94" spans="1:79" s="5" customFormat="1" ht="12.75" customHeight="1" x14ac:dyDescent="0.2">
      <c r="A94" s="36"/>
      <c r="B94" s="37"/>
      <c r="C94" s="37"/>
      <c r="D94" s="22" t="s">
        <v>147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4"/>
      <c r="U94" s="40">
        <v>471403</v>
      </c>
      <c r="V94" s="41"/>
      <c r="W94" s="41"/>
      <c r="X94" s="41"/>
      <c r="Y94" s="42"/>
      <c r="Z94" s="40">
        <v>0</v>
      </c>
      <c r="AA94" s="41"/>
      <c r="AB94" s="41"/>
      <c r="AC94" s="41"/>
      <c r="AD94" s="42"/>
      <c r="AE94" s="43">
        <v>0</v>
      </c>
      <c r="AF94" s="43"/>
      <c r="AG94" s="43"/>
      <c r="AH94" s="43"/>
      <c r="AI94" s="43"/>
      <c r="AJ94" s="21">
        <f>IF(ISNUMBER(U94),U94,0)+IF(ISNUMBER(Z94),Z94,0)</f>
        <v>471403</v>
      </c>
      <c r="AK94" s="21"/>
      <c r="AL94" s="21"/>
      <c r="AM94" s="21"/>
      <c r="AN94" s="21"/>
      <c r="AO94" s="43">
        <v>509115</v>
      </c>
      <c r="AP94" s="43"/>
      <c r="AQ94" s="43"/>
      <c r="AR94" s="43"/>
      <c r="AS94" s="43"/>
      <c r="AT94" s="21">
        <v>0</v>
      </c>
      <c r="AU94" s="21"/>
      <c r="AV94" s="21"/>
      <c r="AW94" s="21"/>
      <c r="AX94" s="21"/>
      <c r="AY94" s="43">
        <v>0</v>
      </c>
      <c r="AZ94" s="43"/>
      <c r="BA94" s="43"/>
      <c r="BB94" s="43"/>
      <c r="BC94" s="43"/>
      <c r="BD94" s="21">
        <f>IF(ISNUMBER(AO94),AO94,0)+IF(ISNUMBER(AT94),AT94,0)</f>
        <v>509115</v>
      </c>
      <c r="BE94" s="21"/>
      <c r="BF94" s="21"/>
      <c r="BG94" s="21"/>
      <c r="BH94" s="21"/>
    </row>
    <row r="96" spans="1:79" ht="14.25" customHeight="1" x14ac:dyDescent="0.2">
      <c r="A96" s="55" t="s">
        <v>152</v>
      </c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</row>
    <row r="97" spans="1:79" ht="14.25" customHeight="1" x14ac:dyDescent="0.2">
      <c r="A97" s="55" t="s">
        <v>219</v>
      </c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</row>
    <row r="98" spans="1:79" ht="23.1" customHeight="1" x14ac:dyDescent="0.2">
      <c r="A98" s="72" t="s">
        <v>6</v>
      </c>
      <c r="B98" s="73"/>
      <c r="C98" s="73"/>
      <c r="D98" s="35" t="s">
        <v>9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 t="s">
        <v>8</v>
      </c>
      <c r="R98" s="35"/>
      <c r="S98" s="35"/>
      <c r="T98" s="35"/>
      <c r="U98" s="35"/>
      <c r="V98" s="35" t="s">
        <v>7</v>
      </c>
      <c r="W98" s="35"/>
      <c r="X98" s="35"/>
      <c r="Y98" s="35"/>
      <c r="Z98" s="35"/>
      <c r="AA98" s="35"/>
      <c r="AB98" s="35"/>
      <c r="AC98" s="35"/>
      <c r="AD98" s="35"/>
      <c r="AE98" s="35"/>
      <c r="AF98" s="68" t="s">
        <v>204</v>
      </c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70"/>
      <c r="AU98" s="68" t="s">
        <v>207</v>
      </c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70"/>
      <c r="BJ98" s="68" t="s">
        <v>215</v>
      </c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70"/>
    </row>
    <row r="99" spans="1:79" ht="32.25" customHeight="1" x14ac:dyDescent="0.2">
      <c r="A99" s="75"/>
      <c r="B99" s="76"/>
      <c r="C99" s="76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 t="s">
        <v>4</v>
      </c>
      <c r="AG99" s="35"/>
      <c r="AH99" s="35"/>
      <c r="AI99" s="35"/>
      <c r="AJ99" s="35"/>
      <c r="AK99" s="35" t="s">
        <v>3</v>
      </c>
      <c r="AL99" s="35"/>
      <c r="AM99" s="35"/>
      <c r="AN99" s="35"/>
      <c r="AO99" s="35"/>
      <c r="AP99" s="35" t="s">
        <v>123</v>
      </c>
      <c r="AQ99" s="35"/>
      <c r="AR99" s="35"/>
      <c r="AS99" s="35"/>
      <c r="AT99" s="35"/>
      <c r="AU99" s="35" t="s">
        <v>4</v>
      </c>
      <c r="AV99" s="35"/>
      <c r="AW99" s="35"/>
      <c r="AX99" s="35"/>
      <c r="AY99" s="35"/>
      <c r="AZ99" s="35" t="s">
        <v>3</v>
      </c>
      <c r="BA99" s="35"/>
      <c r="BB99" s="35"/>
      <c r="BC99" s="35"/>
      <c r="BD99" s="35"/>
      <c r="BE99" s="35" t="s">
        <v>90</v>
      </c>
      <c r="BF99" s="35"/>
      <c r="BG99" s="35"/>
      <c r="BH99" s="35"/>
      <c r="BI99" s="35"/>
      <c r="BJ99" s="35" t="s">
        <v>4</v>
      </c>
      <c r="BK99" s="35"/>
      <c r="BL99" s="35"/>
      <c r="BM99" s="35"/>
      <c r="BN99" s="35"/>
      <c r="BO99" s="35" t="s">
        <v>3</v>
      </c>
      <c r="BP99" s="35"/>
      <c r="BQ99" s="35"/>
      <c r="BR99" s="35"/>
      <c r="BS99" s="35"/>
      <c r="BT99" s="35" t="s">
        <v>97</v>
      </c>
      <c r="BU99" s="35"/>
      <c r="BV99" s="35"/>
      <c r="BW99" s="35"/>
      <c r="BX99" s="35"/>
    </row>
    <row r="100" spans="1:79" ht="15" customHeight="1" x14ac:dyDescent="0.2">
      <c r="A100" s="68">
        <v>1</v>
      </c>
      <c r="B100" s="69"/>
      <c r="C100" s="69"/>
      <c r="D100" s="35">
        <v>2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>
        <v>3</v>
      </c>
      <c r="R100" s="35"/>
      <c r="S100" s="35"/>
      <c r="T100" s="35"/>
      <c r="U100" s="35"/>
      <c r="V100" s="35">
        <v>4</v>
      </c>
      <c r="W100" s="35"/>
      <c r="X100" s="35"/>
      <c r="Y100" s="35"/>
      <c r="Z100" s="35"/>
      <c r="AA100" s="35"/>
      <c r="AB100" s="35"/>
      <c r="AC100" s="35"/>
      <c r="AD100" s="35"/>
      <c r="AE100" s="35"/>
      <c r="AF100" s="35">
        <v>5</v>
      </c>
      <c r="AG100" s="35"/>
      <c r="AH100" s="35"/>
      <c r="AI100" s="35"/>
      <c r="AJ100" s="35"/>
      <c r="AK100" s="35">
        <v>6</v>
      </c>
      <c r="AL100" s="35"/>
      <c r="AM100" s="35"/>
      <c r="AN100" s="35"/>
      <c r="AO100" s="35"/>
      <c r="AP100" s="35">
        <v>7</v>
      </c>
      <c r="AQ100" s="35"/>
      <c r="AR100" s="35"/>
      <c r="AS100" s="35"/>
      <c r="AT100" s="35"/>
      <c r="AU100" s="35">
        <v>8</v>
      </c>
      <c r="AV100" s="35"/>
      <c r="AW100" s="35"/>
      <c r="AX100" s="35"/>
      <c r="AY100" s="35"/>
      <c r="AZ100" s="35">
        <v>9</v>
      </c>
      <c r="BA100" s="35"/>
      <c r="BB100" s="35"/>
      <c r="BC100" s="35"/>
      <c r="BD100" s="35"/>
      <c r="BE100" s="35">
        <v>10</v>
      </c>
      <c r="BF100" s="35"/>
      <c r="BG100" s="35"/>
      <c r="BH100" s="35"/>
      <c r="BI100" s="35"/>
      <c r="BJ100" s="35">
        <v>11</v>
      </c>
      <c r="BK100" s="35"/>
      <c r="BL100" s="35"/>
      <c r="BM100" s="35"/>
      <c r="BN100" s="35"/>
      <c r="BO100" s="35">
        <v>12</v>
      </c>
      <c r="BP100" s="35"/>
      <c r="BQ100" s="35"/>
      <c r="BR100" s="35"/>
      <c r="BS100" s="35"/>
      <c r="BT100" s="35">
        <v>13</v>
      </c>
      <c r="BU100" s="35"/>
      <c r="BV100" s="35"/>
      <c r="BW100" s="35"/>
      <c r="BX100" s="35"/>
    </row>
    <row r="101" spans="1:79" ht="10.5" hidden="1" customHeight="1" x14ac:dyDescent="0.2">
      <c r="A101" s="82" t="s">
        <v>154</v>
      </c>
      <c r="B101" s="83"/>
      <c r="C101" s="83"/>
      <c r="D101" s="35" t="s">
        <v>57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 t="s">
        <v>70</v>
      </c>
      <c r="R101" s="35"/>
      <c r="S101" s="35"/>
      <c r="T101" s="35"/>
      <c r="U101" s="35"/>
      <c r="V101" s="35" t="s">
        <v>71</v>
      </c>
      <c r="W101" s="35"/>
      <c r="X101" s="35"/>
      <c r="Y101" s="35"/>
      <c r="Z101" s="35"/>
      <c r="AA101" s="35"/>
      <c r="AB101" s="35"/>
      <c r="AC101" s="35"/>
      <c r="AD101" s="35"/>
      <c r="AE101" s="35"/>
      <c r="AF101" s="59" t="s">
        <v>111</v>
      </c>
      <c r="AG101" s="59"/>
      <c r="AH101" s="59"/>
      <c r="AI101" s="59"/>
      <c r="AJ101" s="59"/>
      <c r="AK101" s="57" t="s">
        <v>112</v>
      </c>
      <c r="AL101" s="57"/>
      <c r="AM101" s="57"/>
      <c r="AN101" s="57"/>
      <c r="AO101" s="57"/>
      <c r="AP101" s="78" t="s">
        <v>177</v>
      </c>
      <c r="AQ101" s="78"/>
      <c r="AR101" s="78"/>
      <c r="AS101" s="78"/>
      <c r="AT101" s="78"/>
      <c r="AU101" s="59" t="s">
        <v>113</v>
      </c>
      <c r="AV101" s="59"/>
      <c r="AW101" s="59"/>
      <c r="AX101" s="59"/>
      <c r="AY101" s="59"/>
      <c r="AZ101" s="57" t="s">
        <v>114</v>
      </c>
      <c r="BA101" s="57"/>
      <c r="BB101" s="57"/>
      <c r="BC101" s="57"/>
      <c r="BD101" s="57"/>
      <c r="BE101" s="78" t="s">
        <v>177</v>
      </c>
      <c r="BF101" s="78"/>
      <c r="BG101" s="78"/>
      <c r="BH101" s="78"/>
      <c r="BI101" s="78"/>
      <c r="BJ101" s="59" t="s">
        <v>105</v>
      </c>
      <c r="BK101" s="59"/>
      <c r="BL101" s="59"/>
      <c r="BM101" s="59"/>
      <c r="BN101" s="59"/>
      <c r="BO101" s="57" t="s">
        <v>106</v>
      </c>
      <c r="BP101" s="57"/>
      <c r="BQ101" s="57"/>
      <c r="BR101" s="57"/>
      <c r="BS101" s="57"/>
      <c r="BT101" s="78" t="s">
        <v>177</v>
      </c>
      <c r="BU101" s="78"/>
      <c r="BV101" s="78"/>
      <c r="BW101" s="78"/>
      <c r="BX101" s="78"/>
      <c r="CA101" t="s">
        <v>37</v>
      </c>
    </row>
    <row r="102" spans="1:79" s="5" customFormat="1" ht="15" customHeight="1" x14ac:dyDescent="0.2">
      <c r="A102" s="36">
        <v>0</v>
      </c>
      <c r="B102" s="37"/>
      <c r="C102" s="37"/>
      <c r="D102" s="39" t="s">
        <v>176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CA102" s="5" t="s">
        <v>38</v>
      </c>
    </row>
    <row r="103" spans="1:79" s="4" customFormat="1" ht="15" customHeight="1" x14ac:dyDescent="0.2">
      <c r="A103" s="27">
        <v>1</v>
      </c>
      <c r="B103" s="28"/>
      <c r="C103" s="28"/>
      <c r="D103" s="34" t="s">
        <v>178</v>
      </c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1"/>
      <c r="Q103" s="35" t="s">
        <v>179</v>
      </c>
      <c r="R103" s="35"/>
      <c r="S103" s="35"/>
      <c r="T103" s="35"/>
      <c r="U103" s="35"/>
      <c r="V103" s="35" t="s">
        <v>180</v>
      </c>
      <c r="W103" s="35"/>
      <c r="X103" s="35"/>
      <c r="Y103" s="35"/>
      <c r="Z103" s="35"/>
      <c r="AA103" s="35"/>
      <c r="AB103" s="35"/>
      <c r="AC103" s="35"/>
      <c r="AD103" s="35"/>
      <c r="AE103" s="35"/>
      <c r="AF103" s="26">
        <v>0</v>
      </c>
      <c r="AG103" s="26"/>
      <c r="AH103" s="26"/>
      <c r="AI103" s="26"/>
      <c r="AJ103" s="26"/>
      <c r="AK103" s="26">
        <v>0</v>
      </c>
      <c r="AL103" s="26"/>
      <c r="AM103" s="26"/>
      <c r="AN103" s="26"/>
      <c r="AO103" s="26"/>
      <c r="AP103" s="26">
        <v>0</v>
      </c>
      <c r="AQ103" s="26"/>
      <c r="AR103" s="26"/>
      <c r="AS103" s="26"/>
      <c r="AT103" s="26"/>
      <c r="AU103" s="26">
        <v>271466</v>
      </c>
      <c r="AV103" s="26"/>
      <c r="AW103" s="26"/>
      <c r="AX103" s="26"/>
      <c r="AY103" s="26"/>
      <c r="AZ103" s="26">
        <v>0</v>
      </c>
      <c r="BA103" s="26"/>
      <c r="BB103" s="26"/>
      <c r="BC103" s="26"/>
      <c r="BD103" s="26"/>
      <c r="BE103" s="26">
        <v>271466</v>
      </c>
      <c r="BF103" s="26"/>
      <c r="BG103" s="26"/>
      <c r="BH103" s="26"/>
      <c r="BI103" s="26"/>
      <c r="BJ103" s="26">
        <v>428938</v>
      </c>
      <c r="BK103" s="26"/>
      <c r="BL103" s="26"/>
      <c r="BM103" s="26"/>
      <c r="BN103" s="26"/>
      <c r="BO103" s="26">
        <v>0</v>
      </c>
      <c r="BP103" s="26"/>
      <c r="BQ103" s="26"/>
      <c r="BR103" s="26"/>
      <c r="BS103" s="26"/>
      <c r="BT103" s="26">
        <v>428938</v>
      </c>
      <c r="BU103" s="26"/>
      <c r="BV103" s="26"/>
      <c r="BW103" s="26"/>
      <c r="BX103" s="26"/>
    </row>
    <row r="104" spans="1:79" s="5" customFormat="1" ht="15" customHeight="1" x14ac:dyDescent="0.2">
      <c r="A104" s="36">
        <v>0</v>
      </c>
      <c r="B104" s="37"/>
      <c r="C104" s="37"/>
      <c r="D104" s="38" t="s">
        <v>181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4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</row>
    <row r="105" spans="1:79" s="4" customFormat="1" ht="15" customHeight="1" x14ac:dyDescent="0.2">
      <c r="A105" s="27">
        <v>2</v>
      </c>
      <c r="B105" s="28"/>
      <c r="C105" s="28"/>
      <c r="D105" s="34" t="s">
        <v>182</v>
      </c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1"/>
      <c r="Q105" s="35" t="s">
        <v>183</v>
      </c>
      <c r="R105" s="35"/>
      <c r="S105" s="35"/>
      <c r="T105" s="35"/>
      <c r="U105" s="35"/>
      <c r="V105" s="35" t="s">
        <v>180</v>
      </c>
      <c r="W105" s="35"/>
      <c r="X105" s="35"/>
      <c r="Y105" s="35"/>
      <c r="Z105" s="35"/>
      <c r="AA105" s="35"/>
      <c r="AB105" s="35"/>
      <c r="AC105" s="35"/>
      <c r="AD105" s="35"/>
      <c r="AE105" s="35"/>
      <c r="AF105" s="26">
        <v>0</v>
      </c>
      <c r="AG105" s="26"/>
      <c r="AH105" s="26"/>
      <c r="AI105" s="26"/>
      <c r="AJ105" s="26"/>
      <c r="AK105" s="26">
        <v>0</v>
      </c>
      <c r="AL105" s="26"/>
      <c r="AM105" s="26"/>
      <c r="AN105" s="26"/>
      <c r="AO105" s="26"/>
      <c r="AP105" s="26">
        <v>0</v>
      </c>
      <c r="AQ105" s="26"/>
      <c r="AR105" s="26"/>
      <c r="AS105" s="26"/>
      <c r="AT105" s="26"/>
      <c r="AU105" s="26">
        <v>11</v>
      </c>
      <c r="AV105" s="26"/>
      <c r="AW105" s="26"/>
      <c r="AX105" s="26"/>
      <c r="AY105" s="26"/>
      <c r="AZ105" s="26">
        <v>0</v>
      </c>
      <c r="BA105" s="26"/>
      <c r="BB105" s="26"/>
      <c r="BC105" s="26"/>
      <c r="BD105" s="26"/>
      <c r="BE105" s="26">
        <v>11</v>
      </c>
      <c r="BF105" s="26"/>
      <c r="BG105" s="26"/>
      <c r="BH105" s="26"/>
      <c r="BI105" s="26"/>
      <c r="BJ105" s="26">
        <v>17</v>
      </c>
      <c r="BK105" s="26"/>
      <c r="BL105" s="26"/>
      <c r="BM105" s="26"/>
      <c r="BN105" s="26"/>
      <c r="BO105" s="26">
        <v>0</v>
      </c>
      <c r="BP105" s="26"/>
      <c r="BQ105" s="26"/>
      <c r="BR105" s="26"/>
      <c r="BS105" s="26"/>
      <c r="BT105" s="26">
        <v>17</v>
      </c>
      <c r="BU105" s="26"/>
      <c r="BV105" s="26"/>
      <c r="BW105" s="26"/>
      <c r="BX105" s="26"/>
    </row>
    <row r="106" spans="1:79" s="5" customFormat="1" ht="15" customHeight="1" x14ac:dyDescent="0.2">
      <c r="A106" s="36">
        <v>0</v>
      </c>
      <c r="B106" s="37"/>
      <c r="C106" s="37"/>
      <c r="D106" s="38" t="s">
        <v>184</v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4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</row>
    <row r="107" spans="1:79" s="4" customFormat="1" ht="28.5" customHeight="1" x14ac:dyDescent="0.2">
      <c r="A107" s="27">
        <v>3</v>
      </c>
      <c r="B107" s="28"/>
      <c r="C107" s="28"/>
      <c r="D107" s="34" t="s">
        <v>185</v>
      </c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1"/>
      <c r="Q107" s="35" t="s">
        <v>179</v>
      </c>
      <c r="R107" s="35"/>
      <c r="S107" s="35"/>
      <c r="T107" s="35"/>
      <c r="U107" s="35"/>
      <c r="V107" s="34" t="s">
        <v>186</v>
      </c>
      <c r="W107" s="30"/>
      <c r="X107" s="30"/>
      <c r="Y107" s="30"/>
      <c r="Z107" s="30"/>
      <c r="AA107" s="30"/>
      <c r="AB107" s="30"/>
      <c r="AC107" s="30"/>
      <c r="AD107" s="30"/>
      <c r="AE107" s="31"/>
      <c r="AF107" s="26">
        <v>0</v>
      </c>
      <c r="AG107" s="26"/>
      <c r="AH107" s="26"/>
      <c r="AI107" s="26"/>
      <c r="AJ107" s="26"/>
      <c r="AK107" s="26">
        <v>0</v>
      </c>
      <c r="AL107" s="26"/>
      <c r="AM107" s="26"/>
      <c r="AN107" s="26"/>
      <c r="AO107" s="26"/>
      <c r="AP107" s="26">
        <v>0</v>
      </c>
      <c r="AQ107" s="26"/>
      <c r="AR107" s="26"/>
      <c r="AS107" s="26"/>
      <c r="AT107" s="26"/>
      <c r="AU107" s="26">
        <v>24679</v>
      </c>
      <c r="AV107" s="26"/>
      <c r="AW107" s="26"/>
      <c r="AX107" s="26"/>
      <c r="AY107" s="26"/>
      <c r="AZ107" s="26">
        <v>0</v>
      </c>
      <c r="BA107" s="26"/>
      <c r="BB107" s="26"/>
      <c r="BC107" s="26"/>
      <c r="BD107" s="26"/>
      <c r="BE107" s="26">
        <v>24679</v>
      </c>
      <c r="BF107" s="26"/>
      <c r="BG107" s="26"/>
      <c r="BH107" s="26"/>
      <c r="BI107" s="26"/>
      <c r="BJ107" s="26">
        <v>25232</v>
      </c>
      <c r="BK107" s="26"/>
      <c r="BL107" s="26"/>
      <c r="BM107" s="26"/>
      <c r="BN107" s="26"/>
      <c r="BO107" s="26">
        <v>0</v>
      </c>
      <c r="BP107" s="26"/>
      <c r="BQ107" s="26"/>
      <c r="BR107" s="26"/>
      <c r="BS107" s="26"/>
      <c r="BT107" s="26">
        <v>25232</v>
      </c>
      <c r="BU107" s="26"/>
      <c r="BV107" s="26"/>
      <c r="BW107" s="26"/>
      <c r="BX107" s="26"/>
    </row>
    <row r="108" spans="1:79" s="5" customFormat="1" ht="15" customHeight="1" x14ac:dyDescent="0.2">
      <c r="A108" s="36">
        <v>0</v>
      </c>
      <c r="B108" s="37"/>
      <c r="C108" s="37"/>
      <c r="D108" s="38" t="s">
        <v>187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4"/>
      <c r="Q108" s="39"/>
      <c r="R108" s="39"/>
      <c r="S108" s="39"/>
      <c r="T108" s="39"/>
      <c r="U108" s="39"/>
      <c r="V108" s="38"/>
      <c r="W108" s="23"/>
      <c r="X108" s="23"/>
      <c r="Y108" s="23"/>
      <c r="Z108" s="23"/>
      <c r="AA108" s="23"/>
      <c r="AB108" s="23"/>
      <c r="AC108" s="23"/>
      <c r="AD108" s="23"/>
      <c r="AE108" s="24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</row>
    <row r="109" spans="1:79" s="4" customFormat="1" ht="28.5" customHeight="1" x14ac:dyDescent="0.2">
      <c r="A109" s="27">
        <v>4</v>
      </c>
      <c r="B109" s="28"/>
      <c r="C109" s="28"/>
      <c r="D109" s="34" t="s">
        <v>188</v>
      </c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1"/>
      <c r="Q109" s="35" t="s">
        <v>189</v>
      </c>
      <c r="R109" s="35"/>
      <c r="S109" s="35"/>
      <c r="T109" s="35"/>
      <c r="U109" s="35"/>
      <c r="V109" s="34" t="s">
        <v>186</v>
      </c>
      <c r="W109" s="30"/>
      <c r="X109" s="30"/>
      <c r="Y109" s="30"/>
      <c r="Z109" s="30"/>
      <c r="AA109" s="30"/>
      <c r="AB109" s="30"/>
      <c r="AC109" s="30"/>
      <c r="AD109" s="30"/>
      <c r="AE109" s="31"/>
      <c r="AF109" s="26">
        <v>0</v>
      </c>
      <c r="AG109" s="26"/>
      <c r="AH109" s="26"/>
      <c r="AI109" s="26"/>
      <c r="AJ109" s="26"/>
      <c r="AK109" s="26">
        <v>0</v>
      </c>
      <c r="AL109" s="26"/>
      <c r="AM109" s="26"/>
      <c r="AN109" s="26"/>
      <c r="AO109" s="26"/>
      <c r="AP109" s="26">
        <v>0</v>
      </c>
      <c r="AQ109" s="26"/>
      <c r="AR109" s="26"/>
      <c r="AS109" s="26"/>
      <c r="AT109" s="26"/>
      <c r="AU109" s="26">
        <v>100</v>
      </c>
      <c r="AV109" s="26"/>
      <c r="AW109" s="26"/>
      <c r="AX109" s="26"/>
      <c r="AY109" s="26"/>
      <c r="AZ109" s="26">
        <v>0</v>
      </c>
      <c r="BA109" s="26"/>
      <c r="BB109" s="26"/>
      <c r="BC109" s="26"/>
      <c r="BD109" s="26"/>
      <c r="BE109" s="26">
        <v>100</v>
      </c>
      <c r="BF109" s="26"/>
      <c r="BG109" s="26"/>
      <c r="BH109" s="26"/>
      <c r="BI109" s="26"/>
      <c r="BJ109" s="26">
        <v>155</v>
      </c>
      <c r="BK109" s="26"/>
      <c r="BL109" s="26"/>
      <c r="BM109" s="26"/>
      <c r="BN109" s="26"/>
      <c r="BO109" s="26">
        <v>0</v>
      </c>
      <c r="BP109" s="26"/>
      <c r="BQ109" s="26"/>
      <c r="BR109" s="26"/>
      <c r="BS109" s="26"/>
      <c r="BT109" s="26">
        <v>155</v>
      </c>
      <c r="BU109" s="26"/>
      <c r="BV109" s="26"/>
      <c r="BW109" s="26"/>
      <c r="BX109" s="26"/>
    </row>
    <row r="111" spans="1:79" ht="14.25" customHeight="1" x14ac:dyDescent="0.2">
      <c r="A111" s="55" t="s">
        <v>234</v>
      </c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</row>
    <row r="112" spans="1:79" ht="23.1" customHeight="1" x14ac:dyDescent="0.2">
      <c r="A112" s="72" t="s">
        <v>6</v>
      </c>
      <c r="B112" s="73"/>
      <c r="C112" s="73"/>
      <c r="D112" s="35" t="s">
        <v>9</v>
      </c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 t="s">
        <v>8</v>
      </c>
      <c r="R112" s="35"/>
      <c r="S112" s="35"/>
      <c r="T112" s="35"/>
      <c r="U112" s="35"/>
      <c r="V112" s="35" t="s">
        <v>7</v>
      </c>
      <c r="W112" s="35"/>
      <c r="X112" s="35"/>
      <c r="Y112" s="35"/>
      <c r="Z112" s="35"/>
      <c r="AA112" s="35"/>
      <c r="AB112" s="35"/>
      <c r="AC112" s="35"/>
      <c r="AD112" s="35"/>
      <c r="AE112" s="35"/>
      <c r="AF112" s="68" t="s">
        <v>225</v>
      </c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70"/>
      <c r="AU112" s="68" t="s">
        <v>230</v>
      </c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70"/>
    </row>
    <row r="113" spans="1:79" ht="28.5" customHeight="1" x14ac:dyDescent="0.2">
      <c r="A113" s="75"/>
      <c r="B113" s="76"/>
      <c r="C113" s="76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 t="s">
        <v>4</v>
      </c>
      <c r="AG113" s="35"/>
      <c r="AH113" s="35"/>
      <c r="AI113" s="35"/>
      <c r="AJ113" s="35"/>
      <c r="AK113" s="35" t="s">
        <v>3</v>
      </c>
      <c r="AL113" s="35"/>
      <c r="AM113" s="35"/>
      <c r="AN113" s="35"/>
      <c r="AO113" s="35"/>
      <c r="AP113" s="35" t="s">
        <v>123</v>
      </c>
      <c r="AQ113" s="35"/>
      <c r="AR113" s="35"/>
      <c r="AS113" s="35"/>
      <c r="AT113" s="35"/>
      <c r="AU113" s="35" t="s">
        <v>4</v>
      </c>
      <c r="AV113" s="35"/>
      <c r="AW113" s="35"/>
      <c r="AX113" s="35"/>
      <c r="AY113" s="35"/>
      <c r="AZ113" s="35" t="s">
        <v>3</v>
      </c>
      <c r="BA113" s="35"/>
      <c r="BB113" s="35"/>
      <c r="BC113" s="35"/>
      <c r="BD113" s="35"/>
      <c r="BE113" s="35" t="s">
        <v>90</v>
      </c>
      <c r="BF113" s="35"/>
      <c r="BG113" s="35"/>
      <c r="BH113" s="35"/>
      <c r="BI113" s="35"/>
    </row>
    <row r="114" spans="1:79" ht="15" customHeight="1" x14ac:dyDescent="0.2">
      <c r="A114" s="68">
        <v>1</v>
      </c>
      <c r="B114" s="69"/>
      <c r="C114" s="69"/>
      <c r="D114" s="35">
        <v>2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>
        <v>3</v>
      </c>
      <c r="R114" s="35"/>
      <c r="S114" s="35"/>
      <c r="T114" s="35"/>
      <c r="U114" s="35"/>
      <c r="V114" s="35">
        <v>4</v>
      </c>
      <c r="W114" s="35"/>
      <c r="X114" s="35"/>
      <c r="Y114" s="35"/>
      <c r="Z114" s="35"/>
      <c r="AA114" s="35"/>
      <c r="AB114" s="35"/>
      <c r="AC114" s="35"/>
      <c r="AD114" s="35"/>
      <c r="AE114" s="35"/>
      <c r="AF114" s="35">
        <v>5</v>
      </c>
      <c r="AG114" s="35"/>
      <c r="AH114" s="35"/>
      <c r="AI114" s="35"/>
      <c r="AJ114" s="35"/>
      <c r="AK114" s="35">
        <v>6</v>
      </c>
      <c r="AL114" s="35"/>
      <c r="AM114" s="35"/>
      <c r="AN114" s="35"/>
      <c r="AO114" s="35"/>
      <c r="AP114" s="35">
        <v>7</v>
      </c>
      <c r="AQ114" s="35"/>
      <c r="AR114" s="35"/>
      <c r="AS114" s="35"/>
      <c r="AT114" s="35"/>
      <c r="AU114" s="35">
        <v>8</v>
      </c>
      <c r="AV114" s="35"/>
      <c r="AW114" s="35"/>
      <c r="AX114" s="35"/>
      <c r="AY114" s="35"/>
      <c r="AZ114" s="35">
        <v>9</v>
      </c>
      <c r="BA114" s="35"/>
      <c r="BB114" s="35"/>
      <c r="BC114" s="35"/>
      <c r="BD114" s="35"/>
      <c r="BE114" s="35">
        <v>10</v>
      </c>
      <c r="BF114" s="35"/>
      <c r="BG114" s="35"/>
      <c r="BH114" s="35"/>
      <c r="BI114" s="35"/>
    </row>
    <row r="115" spans="1:79" ht="15.75" hidden="1" customHeight="1" x14ac:dyDescent="0.2">
      <c r="A115" s="82" t="s">
        <v>154</v>
      </c>
      <c r="B115" s="83"/>
      <c r="C115" s="83"/>
      <c r="D115" s="35" t="s">
        <v>57</v>
      </c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 t="s">
        <v>70</v>
      </c>
      <c r="R115" s="35"/>
      <c r="S115" s="35"/>
      <c r="T115" s="35"/>
      <c r="U115" s="35"/>
      <c r="V115" s="35" t="s">
        <v>71</v>
      </c>
      <c r="W115" s="35"/>
      <c r="X115" s="35"/>
      <c r="Y115" s="35"/>
      <c r="Z115" s="35"/>
      <c r="AA115" s="35"/>
      <c r="AB115" s="35"/>
      <c r="AC115" s="35"/>
      <c r="AD115" s="35"/>
      <c r="AE115" s="35"/>
      <c r="AF115" s="59" t="s">
        <v>107</v>
      </c>
      <c r="AG115" s="59"/>
      <c r="AH115" s="59"/>
      <c r="AI115" s="59"/>
      <c r="AJ115" s="59"/>
      <c r="AK115" s="57" t="s">
        <v>108</v>
      </c>
      <c r="AL115" s="57"/>
      <c r="AM115" s="57"/>
      <c r="AN115" s="57"/>
      <c r="AO115" s="57"/>
      <c r="AP115" s="78" t="s">
        <v>177</v>
      </c>
      <c r="AQ115" s="78"/>
      <c r="AR115" s="78"/>
      <c r="AS115" s="78"/>
      <c r="AT115" s="78"/>
      <c r="AU115" s="59" t="s">
        <v>109</v>
      </c>
      <c r="AV115" s="59"/>
      <c r="AW115" s="59"/>
      <c r="AX115" s="59"/>
      <c r="AY115" s="59"/>
      <c r="AZ115" s="57" t="s">
        <v>110</v>
      </c>
      <c r="BA115" s="57"/>
      <c r="BB115" s="57"/>
      <c r="BC115" s="57"/>
      <c r="BD115" s="57"/>
      <c r="BE115" s="78" t="s">
        <v>177</v>
      </c>
      <c r="BF115" s="78"/>
      <c r="BG115" s="78"/>
      <c r="BH115" s="78"/>
      <c r="BI115" s="78"/>
      <c r="CA115" t="s">
        <v>39</v>
      </c>
    </row>
    <row r="116" spans="1:79" s="5" customFormat="1" ht="14.25" x14ac:dyDescent="0.2">
      <c r="A116" s="36">
        <v>0</v>
      </c>
      <c r="B116" s="37"/>
      <c r="C116" s="37"/>
      <c r="D116" s="39" t="s">
        <v>176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CA116" s="5" t="s">
        <v>40</v>
      </c>
    </row>
    <row r="117" spans="1:79" s="4" customFormat="1" ht="14.25" customHeight="1" x14ac:dyDescent="0.2">
      <c r="A117" s="27">
        <v>1</v>
      </c>
      <c r="B117" s="28"/>
      <c r="C117" s="28"/>
      <c r="D117" s="34" t="s">
        <v>178</v>
      </c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1"/>
      <c r="Q117" s="35" t="s">
        <v>179</v>
      </c>
      <c r="R117" s="35"/>
      <c r="S117" s="35"/>
      <c r="T117" s="35"/>
      <c r="U117" s="35"/>
      <c r="V117" s="35" t="s">
        <v>180</v>
      </c>
      <c r="W117" s="35"/>
      <c r="X117" s="35"/>
      <c r="Y117" s="35"/>
      <c r="Z117" s="35"/>
      <c r="AA117" s="35"/>
      <c r="AB117" s="35"/>
      <c r="AC117" s="35"/>
      <c r="AD117" s="35"/>
      <c r="AE117" s="35"/>
      <c r="AF117" s="26">
        <v>471406</v>
      </c>
      <c r="AG117" s="26"/>
      <c r="AH117" s="26"/>
      <c r="AI117" s="26"/>
      <c r="AJ117" s="26"/>
      <c r="AK117" s="26">
        <v>0</v>
      </c>
      <c r="AL117" s="26"/>
      <c r="AM117" s="26"/>
      <c r="AN117" s="26"/>
      <c r="AO117" s="26"/>
      <c r="AP117" s="26">
        <v>471406</v>
      </c>
      <c r="AQ117" s="26"/>
      <c r="AR117" s="26"/>
      <c r="AS117" s="26"/>
      <c r="AT117" s="26"/>
      <c r="AU117" s="26">
        <v>509115</v>
      </c>
      <c r="AV117" s="26"/>
      <c r="AW117" s="26"/>
      <c r="AX117" s="26"/>
      <c r="AY117" s="26"/>
      <c r="AZ117" s="26">
        <v>0</v>
      </c>
      <c r="BA117" s="26"/>
      <c r="BB117" s="26"/>
      <c r="BC117" s="26"/>
      <c r="BD117" s="26"/>
      <c r="BE117" s="26">
        <v>509115</v>
      </c>
      <c r="BF117" s="26"/>
      <c r="BG117" s="26"/>
      <c r="BH117" s="26"/>
      <c r="BI117" s="26"/>
    </row>
    <row r="118" spans="1:79" s="5" customFormat="1" ht="14.25" x14ac:dyDescent="0.2">
      <c r="A118" s="36">
        <v>0</v>
      </c>
      <c r="B118" s="37"/>
      <c r="C118" s="37"/>
      <c r="D118" s="38" t="s">
        <v>181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4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</row>
    <row r="119" spans="1:79" s="4" customFormat="1" ht="14.25" customHeight="1" x14ac:dyDescent="0.2">
      <c r="A119" s="27">
        <v>2</v>
      </c>
      <c r="B119" s="28"/>
      <c r="C119" s="28"/>
      <c r="D119" s="34" t="s">
        <v>182</v>
      </c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1"/>
      <c r="Q119" s="35" t="s">
        <v>183</v>
      </c>
      <c r="R119" s="35"/>
      <c r="S119" s="35"/>
      <c r="T119" s="35"/>
      <c r="U119" s="35"/>
      <c r="V119" s="35" t="s">
        <v>180</v>
      </c>
      <c r="W119" s="35"/>
      <c r="X119" s="35"/>
      <c r="Y119" s="35"/>
      <c r="Z119" s="35"/>
      <c r="AA119" s="35"/>
      <c r="AB119" s="35"/>
      <c r="AC119" s="35"/>
      <c r="AD119" s="35"/>
      <c r="AE119" s="35"/>
      <c r="AF119" s="26">
        <v>17</v>
      </c>
      <c r="AG119" s="26"/>
      <c r="AH119" s="26"/>
      <c r="AI119" s="26"/>
      <c r="AJ119" s="26"/>
      <c r="AK119" s="26">
        <v>0</v>
      </c>
      <c r="AL119" s="26"/>
      <c r="AM119" s="26"/>
      <c r="AN119" s="26"/>
      <c r="AO119" s="26"/>
      <c r="AP119" s="26">
        <v>17</v>
      </c>
      <c r="AQ119" s="26"/>
      <c r="AR119" s="26"/>
      <c r="AS119" s="26"/>
      <c r="AT119" s="26"/>
      <c r="AU119" s="26">
        <v>17</v>
      </c>
      <c r="AV119" s="26"/>
      <c r="AW119" s="26"/>
      <c r="AX119" s="26"/>
      <c r="AY119" s="26"/>
      <c r="AZ119" s="26">
        <v>0</v>
      </c>
      <c r="BA119" s="26"/>
      <c r="BB119" s="26"/>
      <c r="BC119" s="26"/>
      <c r="BD119" s="26"/>
      <c r="BE119" s="26">
        <v>17</v>
      </c>
      <c r="BF119" s="26"/>
      <c r="BG119" s="26"/>
      <c r="BH119" s="26"/>
      <c r="BI119" s="26"/>
    </row>
    <row r="120" spans="1:79" s="5" customFormat="1" ht="14.25" x14ac:dyDescent="0.2">
      <c r="A120" s="36">
        <v>0</v>
      </c>
      <c r="B120" s="37"/>
      <c r="C120" s="37"/>
      <c r="D120" s="38" t="s">
        <v>184</v>
      </c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4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</row>
    <row r="121" spans="1:79" s="4" customFormat="1" ht="28.5" customHeight="1" x14ac:dyDescent="0.2">
      <c r="A121" s="27">
        <v>3</v>
      </c>
      <c r="B121" s="28"/>
      <c r="C121" s="28"/>
      <c r="D121" s="34" t="s">
        <v>185</v>
      </c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1"/>
      <c r="Q121" s="35" t="s">
        <v>179</v>
      </c>
      <c r="R121" s="35"/>
      <c r="S121" s="35"/>
      <c r="T121" s="35"/>
      <c r="U121" s="35"/>
      <c r="V121" s="34" t="s">
        <v>186</v>
      </c>
      <c r="W121" s="30"/>
      <c r="X121" s="30"/>
      <c r="Y121" s="30"/>
      <c r="Z121" s="30"/>
      <c r="AA121" s="30"/>
      <c r="AB121" s="30"/>
      <c r="AC121" s="30"/>
      <c r="AD121" s="30"/>
      <c r="AE121" s="31"/>
      <c r="AF121" s="26">
        <v>27730</v>
      </c>
      <c r="AG121" s="26"/>
      <c r="AH121" s="26"/>
      <c r="AI121" s="26"/>
      <c r="AJ121" s="26"/>
      <c r="AK121" s="26">
        <v>0</v>
      </c>
      <c r="AL121" s="26"/>
      <c r="AM121" s="26"/>
      <c r="AN121" s="26"/>
      <c r="AO121" s="26"/>
      <c r="AP121" s="26">
        <v>27730</v>
      </c>
      <c r="AQ121" s="26"/>
      <c r="AR121" s="26"/>
      <c r="AS121" s="26"/>
      <c r="AT121" s="26"/>
      <c r="AU121" s="26">
        <v>29948</v>
      </c>
      <c r="AV121" s="26"/>
      <c r="AW121" s="26"/>
      <c r="AX121" s="26"/>
      <c r="AY121" s="26"/>
      <c r="AZ121" s="26">
        <v>0</v>
      </c>
      <c r="BA121" s="26"/>
      <c r="BB121" s="26"/>
      <c r="BC121" s="26"/>
      <c r="BD121" s="26"/>
      <c r="BE121" s="26">
        <v>29948</v>
      </c>
      <c r="BF121" s="26"/>
      <c r="BG121" s="26"/>
      <c r="BH121" s="26"/>
      <c r="BI121" s="26"/>
    </row>
    <row r="122" spans="1:79" s="5" customFormat="1" ht="14.25" x14ac:dyDescent="0.2">
      <c r="A122" s="36">
        <v>0</v>
      </c>
      <c r="B122" s="37"/>
      <c r="C122" s="37"/>
      <c r="D122" s="38" t="s">
        <v>187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4"/>
      <c r="Q122" s="39"/>
      <c r="R122" s="39"/>
      <c r="S122" s="39"/>
      <c r="T122" s="39"/>
      <c r="U122" s="39"/>
      <c r="V122" s="38"/>
      <c r="W122" s="23"/>
      <c r="X122" s="23"/>
      <c r="Y122" s="23"/>
      <c r="Z122" s="23"/>
      <c r="AA122" s="23"/>
      <c r="AB122" s="23"/>
      <c r="AC122" s="23"/>
      <c r="AD122" s="23"/>
      <c r="AE122" s="24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</row>
    <row r="123" spans="1:79" s="4" customFormat="1" ht="28.5" customHeight="1" x14ac:dyDescent="0.2">
      <c r="A123" s="27">
        <v>4</v>
      </c>
      <c r="B123" s="28"/>
      <c r="C123" s="28"/>
      <c r="D123" s="34" t="s">
        <v>188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1"/>
      <c r="Q123" s="35" t="s">
        <v>189</v>
      </c>
      <c r="R123" s="35"/>
      <c r="S123" s="35"/>
      <c r="T123" s="35"/>
      <c r="U123" s="35"/>
      <c r="V123" s="34" t="s">
        <v>186</v>
      </c>
      <c r="W123" s="30"/>
      <c r="X123" s="30"/>
      <c r="Y123" s="30"/>
      <c r="Z123" s="30"/>
      <c r="AA123" s="30"/>
      <c r="AB123" s="30"/>
      <c r="AC123" s="30"/>
      <c r="AD123" s="30"/>
      <c r="AE123" s="31"/>
      <c r="AF123" s="26">
        <v>100</v>
      </c>
      <c r="AG123" s="26"/>
      <c r="AH123" s="26"/>
      <c r="AI123" s="26"/>
      <c r="AJ123" s="26"/>
      <c r="AK123" s="26">
        <v>0</v>
      </c>
      <c r="AL123" s="26"/>
      <c r="AM123" s="26"/>
      <c r="AN123" s="26"/>
      <c r="AO123" s="26"/>
      <c r="AP123" s="26">
        <v>100</v>
      </c>
      <c r="AQ123" s="26"/>
      <c r="AR123" s="26"/>
      <c r="AS123" s="26"/>
      <c r="AT123" s="26"/>
      <c r="AU123" s="26">
        <v>100</v>
      </c>
      <c r="AV123" s="26"/>
      <c r="AW123" s="26"/>
      <c r="AX123" s="26"/>
      <c r="AY123" s="26"/>
      <c r="AZ123" s="26">
        <v>0</v>
      </c>
      <c r="BA123" s="26"/>
      <c r="BB123" s="26"/>
      <c r="BC123" s="26"/>
      <c r="BD123" s="26"/>
      <c r="BE123" s="26">
        <v>100</v>
      </c>
      <c r="BF123" s="26"/>
      <c r="BG123" s="26"/>
      <c r="BH123" s="26"/>
      <c r="BI123" s="26"/>
    </row>
    <row r="125" spans="1:79" ht="14.25" customHeight="1" x14ac:dyDescent="0.2">
      <c r="A125" s="55" t="s">
        <v>124</v>
      </c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</row>
    <row r="126" spans="1:79" ht="15" customHeight="1" x14ac:dyDescent="0.2">
      <c r="A126" s="71" t="s">
        <v>203</v>
      </c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</row>
    <row r="127" spans="1:79" ht="12.95" customHeight="1" x14ac:dyDescent="0.2">
      <c r="A127" s="72" t="s">
        <v>19</v>
      </c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4"/>
      <c r="U127" s="35" t="s">
        <v>204</v>
      </c>
      <c r="V127" s="35"/>
      <c r="W127" s="35"/>
      <c r="X127" s="35"/>
      <c r="Y127" s="35"/>
      <c r="Z127" s="35"/>
      <c r="AA127" s="35"/>
      <c r="AB127" s="35"/>
      <c r="AC127" s="35"/>
      <c r="AD127" s="35"/>
      <c r="AE127" s="35" t="s">
        <v>207</v>
      </c>
      <c r="AF127" s="35"/>
      <c r="AG127" s="35"/>
      <c r="AH127" s="35"/>
      <c r="AI127" s="35"/>
      <c r="AJ127" s="35"/>
      <c r="AK127" s="35"/>
      <c r="AL127" s="35"/>
      <c r="AM127" s="35"/>
      <c r="AN127" s="35"/>
      <c r="AO127" s="35" t="s">
        <v>215</v>
      </c>
      <c r="AP127" s="35"/>
      <c r="AQ127" s="35"/>
      <c r="AR127" s="35"/>
      <c r="AS127" s="35"/>
      <c r="AT127" s="35"/>
      <c r="AU127" s="35"/>
      <c r="AV127" s="35"/>
      <c r="AW127" s="35"/>
      <c r="AX127" s="35"/>
      <c r="AY127" s="35" t="s">
        <v>225</v>
      </c>
      <c r="AZ127" s="35"/>
      <c r="BA127" s="35"/>
      <c r="BB127" s="35"/>
      <c r="BC127" s="35"/>
      <c r="BD127" s="35"/>
      <c r="BE127" s="35"/>
      <c r="BF127" s="35"/>
      <c r="BG127" s="35"/>
      <c r="BH127" s="35"/>
      <c r="BI127" s="35" t="s">
        <v>230</v>
      </c>
      <c r="BJ127" s="35"/>
      <c r="BK127" s="35"/>
      <c r="BL127" s="35"/>
      <c r="BM127" s="35"/>
      <c r="BN127" s="35"/>
      <c r="BO127" s="35"/>
      <c r="BP127" s="35"/>
      <c r="BQ127" s="35"/>
      <c r="BR127" s="35"/>
    </row>
    <row r="128" spans="1:79" ht="30" customHeight="1" x14ac:dyDescent="0.2">
      <c r="A128" s="75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7"/>
      <c r="U128" s="35" t="s">
        <v>4</v>
      </c>
      <c r="V128" s="35"/>
      <c r="W128" s="35"/>
      <c r="X128" s="35"/>
      <c r="Y128" s="35"/>
      <c r="Z128" s="35" t="s">
        <v>3</v>
      </c>
      <c r="AA128" s="35"/>
      <c r="AB128" s="35"/>
      <c r="AC128" s="35"/>
      <c r="AD128" s="35"/>
      <c r="AE128" s="35" t="s">
        <v>4</v>
      </c>
      <c r="AF128" s="35"/>
      <c r="AG128" s="35"/>
      <c r="AH128" s="35"/>
      <c r="AI128" s="35"/>
      <c r="AJ128" s="35" t="s">
        <v>3</v>
      </c>
      <c r="AK128" s="35"/>
      <c r="AL128" s="35"/>
      <c r="AM128" s="35"/>
      <c r="AN128" s="35"/>
      <c r="AO128" s="35" t="s">
        <v>4</v>
      </c>
      <c r="AP128" s="35"/>
      <c r="AQ128" s="35"/>
      <c r="AR128" s="35"/>
      <c r="AS128" s="35"/>
      <c r="AT128" s="35" t="s">
        <v>3</v>
      </c>
      <c r="AU128" s="35"/>
      <c r="AV128" s="35"/>
      <c r="AW128" s="35"/>
      <c r="AX128" s="35"/>
      <c r="AY128" s="35" t="s">
        <v>4</v>
      </c>
      <c r="AZ128" s="35"/>
      <c r="BA128" s="35"/>
      <c r="BB128" s="35"/>
      <c r="BC128" s="35"/>
      <c r="BD128" s="35" t="s">
        <v>3</v>
      </c>
      <c r="BE128" s="35"/>
      <c r="BF128" s="35"/>
      <c r="BG128" s="35"/>
      <c r="BH128" s="35"/>
      <c r="BI128" s="35" t="s">
        <v>4</v>
      </c>
      <c r="BJ128" s="35"/>
      <c r="BK128" s="35"/>
      <c r="BL128" s="35"/>
      <c r="BM128" s="35"/>
      <c r="BN128" s="35" t="s">
        <v>3</v>
      </c>
      <c r="BO128" s="35"/>
      <c r="BP128" s="35"/>
      <c r="BQ128" s="35"/>
      <c r="BR128" s="35"/>
    </row>
    <row r="129" spans="1:79" ht="15" customHeight="1" x14ac:dyDescent="0.2">
      <c r="A129" s="68">
        <v>1</v>
      </c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70"/>
      <c r="U129" s="35">
        <v>2</v>
      </c>
      <c r="V129" s="35"/>
      <c r="W129" s="35"/>
      <c r="X129" s="35"/>
      <c r="Y129" s="35"/>
      <c r="Z129" s="35">
        <v>3</v>
      </c>
      <c r="AA129" s="35"/>
      <c r="AB129" s="35"/>
      <c r="AC129" s="35"/>
      <c r="AD129" s="35"/>
      <c r="AE129" s="35">
        <v>4</v>
      </c>
      <c r="AF129" s="35"/>
      <c r="AG129" s="35"/>
      <c r="AH129" s="35"/>
      <c r="AI129" s="35"/>
      <c r="AJ129" s="35">
        <v>5</v>
      </c>
      <c r="AK129" s="35"/>
      <c r="AL129" s="35"/>
      <c r="AM129" s="35"/>
      <c r="AN129" s="35"/>
      <c r="AO129" s="35">
        <v>6</v>
      </c>
      <c r="AP129" s="35"/>
      <c r="AQ129" s="35"/>
      <c r="AR129" s="35"/>
      <c r="AS129" s="35"/>
      <c r="AT129" s="35">
        <v>7</v>
      </c>
      <c r="AU129" s="35"/>
      <c r="AV129" s="35"/>
      <c r="AW129" s="35"/>
      <c r="AX129" s="35"/>
      <c r="AY129" s="35">
        <v>8</v>
      </c>
      <c r="AZ129" s="35"/>
      <c r="BA129" s="35"/>
      <c r="BB129" s="35"/>
      <c r="BC129" s="35"/>
      <c r="BD129" s="35">
        <v>9</v>
      </c>
      <c r="BE129" s="35"/>
      <c r="BF129" s="35"/>
      <c r="BG129" s="35"/>
      <c r="BH129" s="35"/>
      <c r="BI129" s="35">
        <v>10</v>
      </c>
      <c r="BJ129" s="35"/>
      <c r="BK129" s="35"/>
      <c r="BL129" s="35"/>
      <c r="BM129" s="35"/>
      <c r="BN129" s="35">
        <v>11</v>
      </c>
      <c r="BO129" s="35"/>
      <c r="BP129" s="35"/>
      <c r="BQ129" s="35"/>
      <c r="BR129" s="35"/>
    </row>
    <row r="130" spans="1:79" s="1" customFormat="1" ht="15.75" hidden="1" customHeight="1" x14ac:dyDescent="0.2">
      <c r="A130" s="82" t="s">
        <v>57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4"/>
      <c r="U130" s="59" t="s">
        <v>65</v>
      </c>
      <c r="V130" s="59"/>
      <c r="W130" s="59"/>
      <c r="X130" s="59"/>
      <c r="Y130" s="59"/>
      <c r="Z130" s="57" t="s">
        <v>66</v>
      </c>
      <c r="AA130" s="57"/>
      <c r="AB130" s="57"/>
      <c r="AC130" s="57"/>
      <c r="AD130" s="57"/>
      <c r="AE130" s="59" t="s">
        <v>67</v>
      </c>
      <c r="AF130" s="59"/>
      <c r="AG130" s="59"/>
      <c r="AH130" s="59"/>
      <c r="AI130" s="59"/>
      <c r="AJ130" s="57" t="s">
        <v>68</v>
      </c>
      <c r="AK130" s="57"/>
      <c r="AL130" s="57"/>
      <c r="AM130" s="57"/>
      <c r="AN130" s="57"/>
      <c r="AO130" s="59" t="s">
        <v>58</v>
      </c>
      <c r="AP130" s="59"/>
      <c r="AQ130" s="59"/>
      <c r="AR130" s="59"/>
      <c r="AS130" s="59"/>
      <c r="AT130" s="57" t="s">
        <v>59</v>
      </c>
      <c r="AU130" s="57"/>
      <c r="AV130" s="57"/>
      <c r="AW130" s="57"/>
      <c r="AX130" s="57"/>
      <c r="AY130" s="59" t="s">
        <v>60</v>
      </c>
      <c r="AZ130" s="59"/>
      <c r="BA130" s="59"/>
      <c r="BB130" s="59"/>
      <c r="BC130" s="59"/>
      <c r="BD130" s="57" t="s">
        <v>61</v>
      </c>
      <c r="BE130" s="57"/>
      <c r="BF130" s="57"/>
      <c r="BG130" s="57"/>
      <c r="BH130" s="57"/>
      <c r="BI130" s="59" t="s">
        <v>62</v>
      </c>
      <c r="BJ130" s="59"/>
      <c r="BK130" s="59"/>
      <c r="BL130" s="59"/>
      <c r="BM130" s="59"/>
      <c r="BN130" s="57" t="s">
        <v>63</v>
      </c>
      <c r="BO130" s="57"/>
      <c r="BP130" s="57"/>
      <c r="BQ130" s="57"/>
      <c r="BR130" s="57"/>
      <c r="CA130" t="s">
        <v>41</v>
      </c>
    </row>
    <row r="131" spans="1:79" s="5" customFormat="1" ht="12.75" customHeight="1" x14ac:dyDescent="0.2">
      <c r="A131" s="36" t="s">
        <v>147</v>
      </c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44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CA131" s="5" t="s">
        <v>42</v>
      </c>
    </row>
    <row r="132" spans="1:79" s="4" customFormat="1" ht="38.25" customHeight="1" x14ac:dyDescent="0.2">
      <c r="A132" s="29" t="s">
        <v>190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1"/>
      <c r="U132" s="32" t="s">
        <v>173</v>
      </c>
      <c r="V132" s="32"/>
      <c r="W132" s="32"/>
      <c r="X132" s="32"/>
      <c r="Y132" s="32"/>
      <c r="Z132" s="32"/>
      <c r="AA132" s="32"/>
      <c r="AB132" s="32"/>
      <c r="AC132" s="32"/>
      <c r="AD132" s="32"/>
      <c r="AE132" s="32" t="s">
        <v>173</v>
      </c>
      <c r="AF132" s="32"/>
      <c r="AG132" s="32"/>
      <c r="AH132" s="32"/>
      <c r="AI132" s="32"/>
      <c r="AJ132" s="32"/>
      <c r="AK132" s="32"/>
      <c r="AL132" s="32"/>
      <c r="AM132" s="32"/>
      <c r="AN132" s="32"/>
      <c r="AO132" s="32" t="s">
        <v>173</v>
      </c>
      <c r="AP132" s="32"/>
      <c r="AQ132" s="32"/>
      <c r="AR132" s="32"/>
      <c r="AS132" s="32"/>
      <c r="AT132" s="32"/>
      <c r="AU132" s="32"/>
      <c r="AV132" s="32"/>
      <c r="AW132" s="32"/>
      <c r="AX132" s="32"/>
      <c r="AY132" s="32" t="s">
        <v>173</v>
      </c>
      <c r="AZ132" s="32"/>
      <c r="BA132" s="32"/>
      <c r="BB132" s="32"/>
      <c r="BC132" s="32"/>
      <c r="BD132" s="32"/>
      <c r="BE132" s="32"/>
      <c r="BF132" s="32"/>
      <c r="BG132" s="32"/>
      <c r="BH132" s="32"/>
      <c r="BI132" s="32" t="s">
        <v>173</v>
      </c>
      <c r="BJ132" s="32"/>
      <c r="BK132" s="32"/>
      <c r="BL132" s="32"/>
      <c r="BM132" s="32"/>
      <c r="BN132" s="32"/>
      <c r="BO132" s="32"/>
      <c r="BP132" s="32"/>
      <c r="BQ132" s="32"/>
      <c r="BR132" s="32"/>
    </row>
    <row r="134" spans="1:79" ht="14.25" customHeight="1" x14ac:dyDescent="0.2">
      <c r="A134" s="55" t="s">
        <v>125</v>
      </c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</row>
    <row r="135" spans="1:79" ht="15" customHeight="1" x14ac:dyDescent="0.2">
      <c r="A135" s="72" t="s">
        <v>6</v>
      </c>
      <c r="B135" s="73"/>
      <c r="C135" s="73"/>
      <c r="D135" s="72" t="s">
        <v>10</v>
      </c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4"/>
      <c r="W135" s="35" t="s">
        <v>204</v>
      </c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 t="s">
        <v>208</v>
      </c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 t="s">
        <v>220</v>
      </c>
      <c r="AV135" s="35"/>
      <c r="AW135" s="35"/>
      <c r="AX135" s="35"/>
      <c r="AY135" s="35"/>
      <c r="AZ135" s="35"/>
      <c r="BA135" s="35" t="s">
        <v>226</v>
      </c>
      <c r="BB135" s="35"/>
      <c r="BC135" s="35"/>
      <c r="BD135" s="35"/>
      <c r="BE135" s="35"/>
      <c r="BF135" s="35"/>
      <c r="BG135" s="35" t="s">
        <v>235</v>
      </c>
      <c r="BH135" s="35"/>
      <c r="BI135" s="35"/>
      <c r="BJ135" s="35"/>
      <c r="BK135" s="35"/>
      <c r="BL135" s="35"/>
    </row>
    <row r="136" spans="1:79" ht="15" customHeight="1" x14ac:dyDescent="0.2">
      <c r="A136" s="85"/>
      <c r="B136" s="86"/>
      <c r="C136" s="86"/>
      <c r="D136" s="85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7"/>
      <c r="W136" s="35" t="s">
        <v>4</v>
      </c>
      <c r="X136" s="35"/>
      <c r="Y136" s="35"/>
      <c r="Z136" s="35"/>
      <c r="AA136" s="35"/>
      <c r="AB136" s="35"/>
      <c r="AC136" s="35" t="s">
        <v>3</v>
      </c>
      <c r="AD136" s="35"/>
      <c r="AE136" s="35"/>
      <c r="AF136" s="35"/>
      <c r="AG136" s="35"/>
      <c r="AH136" s="35"/>
      <c r="AI136" s="35" t="s">
        <v>4</v>
      </c>
      <c r="AJ136" s="35"/>
      <c r="AK136" s="35"/>
      <c r="AL136" s="35"/>
      <c r="AM136" s="35"/>
      <c r="AN136" s="35"/>
      <c r="AO136" s="35" t="s">
        <v>3</v>
      </c>
      <c r="AP136" s="35"/>
      <c r="AQ136" s="35"/>
      <c r="AR136" s="35"/>
      <c r="AS136" s="35"/>
      <c r="AT136" s="35"/>
      <c r="AU136" s="61" t="s">
        <v>4</v>
      </c>
      <c r="AV136" s="61"/>
      <c r="AW136" s="61"/>
      <c r="AX136" s="61" t="s">
        <v>3</v>
      </c>
      <c r="AY136" s="61"/>
      <c r="AZ136" s="61"/>
      <c r="BA136" s="61" t="s">
        <v>4</v>
      </c>
      <c r="BB136" s="61"/>
      <c r="BC136" s="61"/>
      <c r="BD136" s="61" t="s">
        <v>3</v>
      </c>
      <c r="BE136" s="61"/>
      <c r="BF136" s="61"/>
      <c r="BG136" s="61" t="s">
        <v>4</v>
      </c>
      <c r="BH136" s="61"/>
      <c r="BI136" s="61"/>
      <c r="BJ136" s="61" t="s">
        <v>3</v>
      </c>
      <c r="BK136" s="61"/>
      <c r="BL136" s="61"/>
    </row>
    <row r="137" spans="1:79" ht="57" customHeight="1" x14ac:dyDescent="0.2">
      <c r="A137" s="75"/>
      <c r="B137" s="76"/>
      <c r="C137" s="76"/>
      <c r="D137" s="75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7"/>
      <c r="W137" s="35" t="s">
        <v>12</v>
      </c>
      <c r="X137" s="35"/>
      <c r="Y137" s="35"/>
      <c r="Z137" s="35" t="s">
        <v>11</v>
      </c>
      <c r="AA137" s="35"/>
      <c r="AB137" s="35"/>
      <c r="AC137" s="35" t="s">
        <v>12</v>
      </c>
      <c r="AD137" s="35"/>
      <c r="AE137" s="35"/>
      <c r="AF137" s="35" t="s">
        <v>11</v>
      </c>
      <c r="AG137" s="35"/>
      <c r="AH137" s="35"/>
      <c r="AI137" s="35" t="s">
        <v>12</v>
      </c>
      <c r="AJ137" s="35"/>
      <c r="AK137" s="35"/>
      <c r="AL137" s="35" t="s">
        <v>11</v>
      </c>
      <c r="AM137" s="35"/>
      <c r="AN137" s="35"/>
      <c r="AO137" s="35" t="s">
        <v>12</v>
      </c>
      <c r="AP137" s="35"/>
      <c r="AQ137" s="35"/>
      <c r="AR137" s="35" t="s">
        <v>11</v>
      </c>
      <c r="AS137" s="35"/>
      <c r="AT137" s="35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</row>
    <row r="138" spans="1:79" ht="15" customHeight="1" x14ac:dyDescent="0.2">
      <c r="A138" s="68">
        <v>1</v>
      </c>
      <c r="B138" s="69"/>
      <c r="C138" s="69"/>
      <c r="D138" s="68">
        <v>2</v>
      </c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70"/>
      <c r="W138" s="35">
        <v>3</v>
      </c>
      <c r="X138" s="35"/>
      <c r="Y138" s="35"/>
      <c r="Z138" s="35">
        <v>4</v>
      </c>
      <c r="AA138" s="35"/>
      <c r="AB138" s="35"/>
      <c r="AC138" s="35">
        <v>5</v>
      </c>
      <c r="AD138" s="35"/>
      <c r="AE138" s="35"/>
      <c r="AF138" s="35">
        <v>6</v>
      </c>
      <c r="AG138" s="35"/>
      <c r="AH138" s="35"/>
      <c r="AI138" s="35">
        <v>7</v>
      </c>
      <c r="AJ138" s="35"/>
      <c r="AK138" s="35"/>
      <c r="AL138" s="35">
        <v>8</v>
      </c>
      <c r="AM138" s="35"/>
      <c r="AN138" s="35"/>
      <c r="AO138" s="35">
        <v>9</v>
      </c>
      <c r="AP138" s="35"/>
      <c r="AQ138" s="35"/>
      <c r="AR138" s="35">
        <v>10</v>
      </c>
      <c r="AS138" s="35"/>
      <c r="AT138" s="35"/>
      <c r="AU138" s="35">
        <v>11</v>
      </c>
      <c r="AV138" s="35"/>
      <c r="AW138" s="35"/>
      <c r="AX138" s="35">
        <v>12</v>
      </c>
      <c r="AY138" s="35"/>
      <c r="AZ138" s="35"/>
      <c r="BA138" s="35">
        <v>13</v>
      </c>
      <c r="BB138" s="35"/>
      <c r="BC138" s="35"/>
      <c r="BD138" s="35">
        <v>14</v>
      </c>
      <c r="BE138" s="35"/>
      <c r="BF138" s="35"/>
      <c r="BG138" s="35">
        <v>15</v>
      </c>
      <c r="BH138" s="35"/>
      <c r="BI138" s="35"/>
      <c r="BJ138" s="35">
        <v>16</v>
      </c>
      <c r="BK138" s="35"/>
      <c r="BL138" s="35"/>
    </row>
    <row r="139" spans="1:79" s="1" customFormat="1" ht="12.75" hidden="1" customHeight="1" x14ac:dyDescent="0.2">
      <c r="A139" s="82" t="s">
        <v>69</v>
      </c>
      <c r="B139" s="83"/>
      <c r="C139" s="83"/>
      <c r="D139" s="82" t="s">
        <v>57</v>
      </c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4"/>
      <c r="W139" s="59" t="s">
        <v>72</v>
      </c>
      <c r="X139" s="59"/>
      <c r="Y139" s="59"/>
      <c r="Z139" s="59" t="s">
        <v>73</v>
      </c>
      <c r="AA139" s="59"/>
      <c r="AB139" s="59"/>
      <c r="AC139" s="57" t="s">
        <v>74</v>
      </c>
      <c r="AD139" s="57"/>
      <c r="AE139" s="57"/>
      <c r="AF139" s="57" t="s">
        <v>75</v>
      </c>
      <c r="AG139" s="57"/>
      <c r="AH139" s="57"/>
      <c r="AI139" s="59" t="s">
        <v>76</v>
      </c>
      <c r="AJ139" s="59"/>
      <c r="AK139" s="59"/>
      <c r="AL139" s="59" t="s">
        <v>77</v>
      </c>
      <c r="AM139" s="59"/>
      <c r="AN139" s="59"/>
      <c r="AO139" s="57" t="s">
        <v>104</v>
      </c>
      <c r="AP139" s="57"/>
      <c r="AQ139" s="57"/>
      <c r="AR139" s="57" t="s">
        <v>78</v>
      </c>
      <c r="AS139" s="57"/>
      <c r="AT139" s="57"/>
      <c r="AU139" s="59" t="s">
        <v>105</v>
      </c>
      <c r="AV139" s="59"/>
      <c r="AW139" s="59"/>
      <c r="AX139" s="57" t="s">
        <v>106</v>
      </c>
      <c r="AY139" s="57"/>
      <c r="AZ139" s="57"/>
      <c r="BA139" s="59" t="s">
        <v>107</v>
      </c>
      <c r="BB139" s="59"/>
      <c r="BC139" s="59"/>
      <c r="BD139" s="57" t="s">
        <v>108</v>
      </c>
      <c r="BE139" s="57"/>
      <c r="BF139" s="57"/>
      <c r="BG139" s="59" t="s">
        <v>109</v>
      </c>
      <c r="BH139" s="59"/>
      <c r="BI139" s="59"/>
      <c r="BJ139" s="57" t="s">
        <v>110</v>
      </c>
      <c r="BK139" s="57"/>
      <c r="BL139" s="57"/>
      <c r="CA139" s="1" t="s">
        <v>103</v>
      </c>
    </row>
    <row r="140" spans="1:79" s="5" customFormat="1" ht="12.75" customHeight="1" x14ac:dyDescent="0.2">
      <c r="A140" s="36">
        <v>1</v>
      </c>
      <c r="B140" s="37"/>
      <c r="C140" s="37"/>
      <c r="D140" s="22" t="s">
        <v>191</v>
      </c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4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CA140" s="5" t="s">
        <v>43</v>
      </c>
    </row>
    <row r="141" spans="1:79" s="4" customFormat="1" ht="25.5" customHeight="1" x14ac:dyDescent="0.2">
      <c r="A141" s="27">
        <v>2</v>
      </c>
      <c r="B141" s="28"/>
      <c r="C141" s="28"/>
      <c r="D141" s="29" t="s">
        <v>192</v>
      </c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1"/>
      <c r="W141" s="26" t="s">
        <v>173</v>
      </c>
      <c r="X141" s="26"/>
      <c r="Y141" s="26"/>
      <c r="Z141" s="26" t="s">
        <v>173</v>
      </c>
      <c r="AA141" s="26"/>
      <c r="AB141" s="26"/>
      <c r="AC141" s="26"/>
      <c r="AD141" s="26"/>
      <c r="AE141" s="26"/>
      <c r="AF141" s="26"/>
      <c r="AG141" s="26"/>
      <c r="AH141" s="26"/>
      <c r="AI141" s="26" t="s">
        <v>173</v>
      </c>
      <c r="AJ141" s="26"/>
      <c r="AK141" s="26"/>
      <c r="AL141" s="26" t="s">
        <v>173</v>
      </c>
      <c r="AM141" s="26"/>
      <c r="AN141" s="26"/>
      <c r="AO141" s="26"/>
      <c r="AP141" s="26"/>
      <c r="AQ141" s="26"/>
      <c r="AR141" s="26"/>
      <c r="AS141" s="26"/>
      <c r="AT141" s="26"/>
      <c r="AU141" s="26" t="s">
        <v>173</v>
      </c>
      <c r="AV141" s="26"/>
      <c r="AW141" s="26"/>
      <c r="AX141" s="26"/>
      <c r="AY141" s="26"/>
      <c r="AZ141" s="26"/>
      <c r="BA141" s="26" t="s">
        <v>173</v>
      </c>
      <c r="BB141" s="26"/>
      <c r="BC141" s="26"/>
      <c r="BD141" s="26"/>
      <c r="BE141" s="26"/>
      <c r="BF141" s="26"/>
      <c r="BG141" s="26" t="s">
        <v>173</v>
      </c>
      <c r="BH141" s="26"/>
      <c r="BI141" s="26"/>
      <c r="BJ141" s="26"/>
      <c r="BK141" s="26"/>
      <c r="BL141" s="26"/>
    </row>
    <row r="143" spans="1:79" ht="14.25" customHeight="1" x14ac:dyDescent="0.2">
      <c r="A143" s="55" t="s">
        <v>153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</row>
    <row r="144" spans="1:79" ht="14.25" customHeight="1" x14ac:dyDescent="0.2">
      <c r="A144" s="55" t="s">
        <v>221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</row>
    <row r="145" spans="1:79" ht="15" customHeight="1" x14ac:dyDescent="0.2">
      <c r="A145" s="60" t="s">
        <v>203</v>
      </c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</row>
    <row r="146" spans="1:79" ht="15" customHeight="1" x14ac:dyDescent="0.2">
      <c r="A146" s="35" t="s">
        <v>6</v>
      </c>
      <c r="B146" s="35"/>
      <c r="C146" s="35"/>
      <c r="D146" s="35"/>
      <c r="E146" s="35"/>
      <c r="F146" s="35"/>
      <c r="G146" s="35" t="s">
        <v>126</v>
      </c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 t="s">
        <v>13</v>
      </c>
      <c r="U146" s="35"/>
      <c r="V146" s="35"/>
      <c r="W146" s="35"/>
      <c r="X146" s="35"/>
      <c r="Y146" s="35"/>
      <c r="Z146" s="35"/>
      <c r="AA146" s="68" t="s">
        <v>204</v>
      </c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1"/>
      <c r="AP146" s="68" t="s">
        <v>207</v>
      </c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70"/>
      <c r="BE146" s="68" t="s">
        <v>215</v>
      </c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70"/>
    </row>
    <row r="147" spans="1:79" ht="32.1" customHeight="1" x14ac:dyDescent="0.2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 t="s">
        <v>4</v>
      </c>
      <c r="AB147" s="35"/>
      <c r="AC147" s="35"/>
      <c r="AD147" s="35"/>
      <c r="AE147" s="35"/>
      <c r="AF147" s="35" t="s">
        <v>3</v>
      </c>
      <c r="AG147" s="35"/>
      <c r="AH147" s="35"/>
      <c r="AI147" s="35"/>
      <c r="AJ147" s="35"/>
      <c r="AK147" s="35" t="s">
        <v>89</v>
      </c>
      <c r="AL147" s="35"/>
      <c r="AM147" s="35"/>
      <c r="AN147" s="35"/>
      <c r="AO147" s="35"/>
      <c r="AP147" s="35" t="s">
        <v>4</v>
      </c>
      <c r="AQ147" s="35"/>
      <c r="AR147" s="35"/>
      <c r="AS147" s="35"/>
      <c r="AT147" s="35"/>
      <c r="AU147" s="35" t="s">
        <v>3</v>
      </c>
      <c r="AV147" s="35"/>
      <c r="AW147" s="35"/>
      <c r="AX147" s="35"/>
      <c r="AY147" s="35"/>
      <c r="AZ147" s="35" t="s">
        <v>96</v>
      </c>
      <c r="BA147" s="35"/>
      <c r="BB147" s="35"/>
      <c r="BC147" s="35"/>
      <c r="BD147" s="35"/>
      <c r="BE147" s="35" t="s">
        <v>4</v>
      </c>
      <c r="BF147" s="35"/>
      <c r="BG147" s="35"/>
      <c r="BH147" s="35"/>
      <c r="BI147" s="35"/>
      <c r="BJ147" s="35" t="s">
        <v>3</v>
      </c>
      <c r="BK147" s="35"/>
      <c r="BL147" s="35"/>
      <c r="BM147" s="35"/>
      <c r="BN147" s="35"/>
      <c r="BO147" s="35" t="s">
        <v>127</v>
      </c>
      <c r="BP147" s="35"/>
      <c r="BQ147" s="35"/>
      <c r="BR147" s="35"/>
      <c r="BS147" s="35"/>
    </row>
    <row r="148" spans="1:79" ht="15" customHeight="1" x14ac:dyDescent="0.2">
      <c r="A148" s="35">
        <v>1</v>
      </c>
      <c r="B148" s="35"/>
      <c r="C148" s="35"/>
      <c r="D148" s="35"/>
      <c r="E148" s="35"/>
      <c r="F148" s="35"/>
      <c r="G148" s="35">
        <v>2</v>
      </c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>
        <v>3</v>
      </c>
      <c r="U148" s="35"/>
      <c r="V148" s="35"/>
      <c r="W148" s="35"/>
      <c r="X148" s="35"/>
      <c r="Y148" s="35"/>
      <c r="Z148" s="35"/>
      <c r="AA148" s="35">
        <v>4</v>
      </c>
      <c r="AB148" s="35"/>
      <c r="AC148" s="35"/>
      <c r="AD148" s="35"/>
      <c r="AE148" s="35"/>
      <c r="AF148" s="35">
        <v>5</v>
      </c>
      <c r="AG148" s="35"/>
      <c r="AH148" s="35"/>
      <c r="AI148" s="35"/>
      <c r="AJ148" s="35"/>
      <c r="AK148" s="35">
        <v>6</v>
      </c>
      <c r="AL148" s="35"/>
      <c r="AM148" s="35"/>
      <c r="AN148" s="35"/>
      <c r="AO148" s="35"/>
      <c r="AP148" s="35">
        <v>7</v>
      </c>
      <c r="AQ148" s="35"/>
      <c r="AR148" s="35"/>
      <c r="AS148" s="35"/>
      <c r="AT148" s="35"/>
      <c r="AU148" s="35">
        <v>8</v>
      </c>
      <c r="AV148" s="35"/>
      <c r="AW148" s="35"/>
      <c r="AX148" s="35"/>
      <c r="AY148" s="35"/>
      <c r="AZ148" s="35">
        <v>9</v>
      </c>
      <c r="BA148" s="35"/>
      <c r="BB148" s="35"/>
      <c r="BC148" s="35"/>
      <c r="BD148" s="35"/>
      <c r="BE148" s="35">
        <v>10</v>
      </c>
      <c r="BF148" s="35"/>
      <c r="BG148" s="35"/>
      <c r="BH148" s="35"/>
      <c r="BI148" s="35"/>
      <c r="BJ148" s="35">
        <v>11</v>
      </c>
      <c r="BK148" s="35"/>
      <c r="BL148" s="35"/>
      <c r="BM148" s="35"/>
      <c r="BN148" s="35"/>
      <c r="BO148" s="35">
        <v>12</v>
      </c>
      <c r="BP148" s="35"/>
      <c r="BQ148" s="35"/>
      <c r="BR148" s="35"/>
      <c r="BS148" s="35"/>
    </row>
    <row r="149" spans="1:79" s="1" customFormat="1" ht="15" hidden="1" customHeight="1" x14ac:dyDescent="0.2">
      <c r="A149" s="59" t="s">
        <v>69</v>
      </c>
      <c r="B149" s="59"/>
      <c r="C149" s="59"/>
      <c r="D149" s="59"/>
      <c r="E149" s="59"/>
      <c r="F149" s="59"/>
      <c r="G149" s="58" t="s">
        <v>57</v>
      </c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 t="s">
        <v>79</v>
      </c>
      <c r="U149" s="58"/>
      <c r="V149" s="58"/>
      <c r="W149" s="58"/>
      <c r="X149" s="58"/>
      <c r="Y149" s="58"/>
      <c r="Z149" s="58"/>
      <c r="AA149" s="57" t="s">
        <v>65</v>
      </c>
      <c r="AB149" s="57"/>
      <c r="AC149" s="57"/>
      <c r="AD149" s="57"/>
      <c r="AE149" s="57"/>
      <c r="AF149" s="57" t="s">
        <v>66</v>
      </c>
      <c r="AG149" s="57"/>
      <c r="AH149" s="57"/>
      <c r="AI149" s="57"/>
      <c r="AJ149" s="57"/>
      <c r="AK149" s="78" t="s">
        <v>122</v>
      </c>
      <c r="AL149" s="78"/>
      <c r="AM149" s="78"/>
      <c r="AN149" s="78"/>
      <c r="AO149" s="78"/>
      <c r="AP149" s="57" t="s">
        <v>67</v>
      </c>
      <c r="AQ149" s="57"/>
      <c r="AR149" s="57"/>
      <c r="AS149" s="57"/>
      <c r="AT149" s="57"/>
      <c r="AU149" s="57" t="s">
        <v>68</v>
      </c>
      <c r="AV149" s="57"/>
      <c r="AW149" s="57"/>
      <c r="AX149" s="57"/>
      <c r="AY149" s="57"/>
      <c r="AZ149" s="78" t="s">
        <v>122</v>
      </c>
      <c r="BA149" s="78"/>
      <c r="BB149" s="78"/>
      <c r="BC149" s="78"/>
      <c r="BD149" s="78"/>
      <c r="BE149" s="57" t="s">
        <v>58</v>
      </c>
      <c r="BF149" s="57"/>
      <c r="BG149" s="57"/>
      <c r="BH149" s="57"/>
      <c r="BI149" s="57"/>
      <c r="BJ149" s="57" t="s">
        <v>59</v>
      </c>
      <c r="BK149" s="57"/>
      <c r="BL149" s="57"/>
      <c r="BM149" s="57"/>
      <c r="BN149" s="57"/>
      <c r="BO149" s="78" t="s">
        <v>122</v>
      </c>
      <c r="BP149" s="78"/>
      <c r="BQ149" s="78"/>
      <c r="BR149" s="78"/>
      <c r="BS149" s="78"/>
      <c r="CA149" s="1" t="s">
        <v>44</v>
      </c>
    </row>
    <row r="150" spans="1:79" s="4" customFormat="1" ht="76.5" customHeight="1" x14ac:dyDescent="0.2">
      <c r="A150" s="62">
        <v>1</v>
      </c>
      <c r="B150" s="62"/>
      <c r="C150" s="62"/>
      <c r="D150" s="62"/>
      <c r="E150" s="62"/>
      <c r="F150" s="62"/>
      <c r="G150" s="29" t="s">
        <v>193</v>
      </c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1"/>
      <c r="T150" s="79" t="s">
        <v>194</v>
      </c>
      <c r="U150" s="30"/>
      <c r="V150" s="30"/>
      <c r="W150" s="30"/>
      <c r="X150" s="30"/>
      <c r="Y150" s="30"/>
      <c r="Z150" s="31"/>
      <c r="AA150" s="32">
        <v>0</v>
      </c>
      <c r="AB150" s="32"/>
      <c r="AC150" s="32"/>
      <c r="AD150" s="32"/>
      <c r="AE150" s="32"/>
      <c r="AF150" s="32">
        <v>0</v>
      </c>
      <c r="AG150" s="32"/>
      <c r="AH150" s="32"/>
      <c r="AI150" s="32"/>
      <c r="AJ150" s="32"/>
      <c r="AK150" s="32">
        <f>IF(ISNUMBER(AA150),AA150,0)+IF(ISNUMBER(AF150),AF150,0)</f>
        <v>0</v>
      </c>
      <c r="AL150" s="32"/>
      <c r="AM150" s="32"/>
      <c r="AN150" s="32"/>
      <c r="AO150" s="32"/>
      <c r="AP150" s="32">
        <v>271466</v>
      </c>
      <c r="AQ150" s="32"/>
      <c r="AR150" s="32"/>
      <c r="AS150" s="32"/>
      <c r="AT150" s="32"/>
      <c r="AU150" s="32">
        <v>0</v>
      </c>
      <c r="AV150" s="32"/>
      <c r="AW150" s="32"/>
      <c r="AX150" s="32"/>
      <c r="AY150" s="32"/>
      <c r="AZ150" s="32">
        <f>IF(ISNUMBER(AP150),AP150,0)+IF(ISNUMBER(AU150),AU150,0)</f>
        <v>271466</v>
      </c>
      <c r="BA150" s="32"/>
      <c r="BB150" s="32"/>
      <c r="BC150" s="32"/>
      <c r="BD150" s="32"/>
      <c r="BE150" s="32">
        <v>428938</v>
      </c>
      <c r="BF150" s="32"/>
      <c r="BG150" s="32"/>
      <c r="BH150" s="32"/>
      <c r="BI150" s="32"/>
      <c r="BJ150" s="32">
        <v>0</v>
      </c>
      <c r="BK150" s="32"/>
      <c r="BL150" s="32"/>
      <c r="BM150" s="32"/>
      <c r="BN150" s="32"/>
      <c r="BO150" s="32">
        <f>IF(ISNUMBER(BE150),BE150,0)+IF(ISNUMBER(BJ150),BJ150,0)</f>
        <v>428938</v>
      </c>
      <c r="BP150" s="32"/>
      <c r="BQ150" s="32"/>
      <c r="BR150" s="32"/>
      <c r="BS150" s="32"/>
      <c r="CA150" s="4" t="s">
        <v>45</v>
      </c>
    </row>
    <row r="151" spans="1:79" s="5" customFormat="1" ht="12.75" customHeight="1" x14ac:dyDescent="0.2">
      <c r="A151" s="21"/>
      <c r="B151" s="21"/>
      <c r="C151" s="21"/>
      <c r="D151" s="21"/>
      <c r="E151" s="21"/>
      <c r="F151" s="21"/>
      <c r="G151" s="22" t="s">
        <v>147</v>
      </c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4"/>
      <c r="T151" s="25"/>
      <c r="U151" s="23"/>
      <c r="V151" s="23"/>
      <c r="W151" s="23"/>
      <c r="X151" s="23"/>
      <c r="Y151" s="23"/>
      <c r="Z151" s="24"/>
      <c r="AA151" s="20">
        <v>0</v>
      </c>
      <c r="AB151" s="20"/>
      <c r="AC151" s="20"/>
      <c r="AD151" s="20"/>
      <c r="AE151" s="20"/>
      <c r="AF151" s="20">
        <v>0</v>
      </c>
      <c r="AG151" s="20"/>
      <c r="AH151" s="20"/>
      <c r="AI151" s="20"/>
      <c r="AJ151" s="20"/>
      <c r="AK151" s="20">
        <f>IF(ISNUMBER(AA151),AA151,0)+IF(ISNUMBER(AF151),AF151,0)</f>
        <v>0</v>
      </c>
      <c r="AL151" s="20"/>
      <c r="AM151" s="20"/>
      <c r="AN151" s="20"/>
      <c r="AO151" s="20"/>
      <c r="AP151" s="20">
        <v>271466</v>
      </c>
      <c r="AQ151" s="20"/>
      <c r="AR151" s="20"/>
      <c r="AS151" s="20"/>
      <c r="AT151" s="20"/>
      <c r="AU151" s="20">
        <v>0</v>
      </c>
      <c r="AV151" s="20"/>
      <c r="AW151" s="20"/>
      <c r="AX151" s="20"/>
      <c r="AY151" s="20"/>
      <c r="AZ151" s="20">
        <f>IF(ISNUMBER(AP151),AP151,0)+IF(ISNUMBER(AU151),AU151,0)</f>
        <v>271466</v>
      </c>
      <c r="BA151" s="20"/>
      <c r="BB151" s="20"/>
      <c r="BC151" s="20"/>
      <c r="BD151" s="20"/>
      <c r="BE151" s="20">
        <v>428938</v>
      </c>
      <c r="BF151" s="20"/>
      <c r="BG151" s="20"/>
      <c r="BH151" s="20"/>
      <c r="BI151" s="20"/>
      <c r="BJ151" s="20">
        <v>0</v>
      </c>
      <c r="BK151" s="20"/>
      <c r="BL151" s="20"/>
      <c r="BM151" s="20"/>
      <c r="BN151" s="20"/>
      <c r="BO151" s="20">
        <f>IF(ISNUMBER(BE151),BE151,0)+IF(ISNUMBER(BJ151),BJ151,0)</f>
        <v>428938</v>
      </c>
      <c r="BP151" s="20"/>
      <c r="BQ151" s="20"/>
      <c r="BR151" s="20"/>
      <c r="BS151" s="20"/>
    </row>
    <row r="153" spans="1:79" ht="13.5" customHeight="1" x14ac:dyDescent="0.2">
      <c r="A153" s="55" t="s">
        <v>236</v>
      </c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</row>
    <row r="154" spans="1:79" ht="15" customHeight="1" x14ac:dyDescent="0.2">
      <c r="A154" s="71" t="s">
        <v>203</v>
      </c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</row>
    <row r="155" spans="1:79" ht="15" customHeight="1" x14ac:dyDescent="0.2">
      <c r="A155" s="35" t="s">
        <v>6</v>
      </c>
      <c r="B155" s="35"/>
      <c r="C155" s="35"/>
      <c r="D155" s="35"/>
      <c r="E155" s="35"/>
      <c r="F155" s="35"/>
      <c r="G155" s="35" t="s">
        <v>126</v>
      </c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 t="s">
        <v>13</v>
      </c>
      <c r="U155" s="35"/>
      <c r="V155" s="35"/>
      <c r="W155" s="35"/>
      <c r="X155" s="35"/>
      <c r="Y155" s="35"/>
      <c r="Z155" s="35"/>
      <c r="AA155" s="68" t="s">
        <v>225</v>
      </c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1"/>
      <c r="AP155" s="68" t="s">
        <v>230</v>
      </c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70"/>
    </row>
    <row r="156" spans="1:79" ht="32.1" customHeight="1" x14ac:dyDescent="0.2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 t="s">
        <v>4</v>
      </c>
      <c r="AB156" s="35"/>
      <c r="AC156" s="35"/>
      <c r="AD156" s="35"/>
      <c r="AE156" s="35"/>
      <c r="AF156" s="35" t="s">
        <v>3</v>
      </c>
      <c r="AG156" s="35"/>
      <c r="AH156" s="35"/>
      <c r="AI156" s="35"/>
      <c r="AJ156" s="35"/>
      <c r="AK156" s="35" t="s">
        <v>89</v>
      </c>
      <c r="AL156" s="35"/>
      <c r="AM156" s="35"/>
      <c r="AN156" s="35"/>
      <c r="AO156" s="35"/>
      <c r="AP156" s="35" t="s">
        <v>4</v>
      </c>
      <c r="AQ156" s="35"/>
      <c r="AR156" s="35"/>
      <c r="AS156" s="35"/>
      <c r="AT156" s="35"/>
      <c r="AU156" s="35" t="s">
        <v>3</v>
      </c>
      <c r="AV156" s="35"/>
      <c r="AW156" s="35"/>
      <c r="AX156" s="35"/>
      <c r="AY156" s="35"/>
      <c r="AZ156" s="35" t="s">
        <v>96</v>
      </c>
      <c r="BA156" s="35"/>
      <c r="BB156" s="35"/>
      <c r="BC156" s="35"/>
      <c r="BD156" s="35"/>
    </row>
    <row r="157" spans="1:79" ht="15" customHeight="1" x14ac:dyDescent="0.2">
      <c r="A157" s="35">
        <v>1</v>
      </c>
      <c r="B157" s="35"/>
      <c r="C157" s="35"/>
      <c r="D157" s="35"/>
      <c r="E157" s="35"/>
      <c r="F157" s="35"/>
      <c r="G157" s="35">
        <v>2</v>
      </c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>
        <v>3</v>
      </c>
      <c r="U157" s="35"/>
      <c r="V157" s="35"/>
      <c r="W157" s="35"/>
      <c r="X157" s="35"/>
      <c r="Y157" s="35"/>
      <c r="Z157" s="35"/>
      <c r="AA157" s="35">
        <v>4</v>
      </c>
      <c r="AB157" s="35"/>
      <c r="AC157" s="35"/>
      <c r="AD157" s="35"/>
      <c r="AE157" s="35"/>
      <c r="AF157" s="35">
        <v>5</v>
      </c>
      <c r="AG157" s="35"/>
      <c r="AH157" s="35"/>
      <c r="AI157" s="35"/>
      <c r="AJ157" s="35"/>
      <c r="AK157" s="35">
        <v>6</v>
      </c>
      <c r="AL157" s="35"/>
      <c r="AM157" s="35"/>
      <c r="AN157" s="35"/>
      <c r="AO157" s="35"/>
      <c r="AP157" s="35">
        <v>7</v>
      </c>
      <c r="AQ157" s="35"/>
      <c r="AR157" s="35"/>
      <c r="AS157" s="35"/>
      <c r="AT157" s="35"/>
      <c r="AU157" s="35">
        <v>8</v>
      </c>
      <c r="AV157" s="35"/>
      <c r="AW157" s="35"/>
      <c r="AX157" s="35"/>
      <c r="AY157" s="35"/>
      <c r="AZ157" s="35">
        <v>9</v>
      </c>
      <c r="BA157" s="35"/>
      <c r="BB157" s="35"/>
      <c r="BC157" s="35"/>
      <c r="BD157" s="35"/>
    </row>
    <row r="158" spans="1:79" s="1" customFormat="1" ht="12" hidden="1" customHeight="1" x14ac:dyDescent="0.2">
      <c r="A158" s="59" t="s">
        <v>69</v>
      </c>
      <c r="B158" s="59"/>
      <c r="C158" s="59"/>
      <c r="D158" s="59"/>
      <c r="E158" s="59"/>
      <c r="F158" s="59"/>
      <c r="G158" s="58" t="s">
        <v>57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 t="s">
        <v>79</v>
      </c>
      <c r="U158" s="58"/>
      <c r="V158" s="58"/>
      <c r="W158" s="58"/>
      <c r="X158" s="58"/>
      <c r="Y158" s="58"/>
      <c r="Z158" s="58"/>
      <c r="AA158" s="57" t="s">
        <v>60</v>
      </c>
      <c r="AB158" s="57"/>
      <c r="AC158" s="57"/>
      <c r="AD158" s="57"/>
      <c r="AE158" s="57"/>
      <c r="AF158" s="57" t="s">
        <v>61</v>
      </c>
      <c r="AG158" s="57"/>
      <c r="AH158" s="57"/>
      <c r="AI158" s="57"/>
      <c r="AJ158" s="57"/>
      <c r="AK158" s="78" t="s">
        <v>122</v>
      </c>
      <c r="AL158" s="78"/>
      <c r="AM158" s="78"/>
      <c r="AN158" s="78"/>
      <c r="AO158" s="78"/>
      <c r="AP158" s="57" t="s">
        <v>62</v>
      </c>
      <c r="AQ158" s="57"/>
      <c r="AR158" s="57"/>
      <c r="AS158" s="57"/>
      <c r="AT158" s="57"/>
      <c r="AU158" s="57" t="s">
        <v>63</v>
      </c>
      <c r="AV158" s="57"/>
      <c r="AW158" s="57"/>
      <c r="AX158" s="57"/>
      <c r="AY158" s="57"/>
      <c r="AZ158" s="78" t="s">
        <v>122</v>
      </c>
      <c r="BA158" s="78"/>
      <c r="BB158" s="78"/>
      <c r="BC158" s="78"/>
      <c r="BD158" s="78"/>
      <c r="CA158" s="1" t="s">
        <v>46</v>
      </c>
    </row>
    <row r="159" spans="1:79" s="4" customFormat="1" ht="76.5" customHeight="1" x14ac:dyDescent="0.2">
      <c r="A159" s="62">
        <v>1</v>
      </c>
      <c r="B159" s="62"/>
      <c r="C159" s="62"/>
      <c r="D159" s="62"/>
      <c r="E159" s="62"/>
      <c r="F159" s="62"/>
      <c r="G159" s="29" t="s">
        <v>193</v>
      </c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1"/>
      <c r="T159" s="79" t="s">
        <v>194</v>
      </c>
      <c r="U159" s="30"/>
      <c r="V159" s="30"/>
      <c r="W159" s="30"/>
      <c r="X159" s="30"/>
      <c r="Y159" s="30"/>
      <c r="Z159" s="31"/>
      <c r="AA159" s="32">
        <v>471403</v>
      </c>
      <c r="AB159" s="32"/>
      <c r="AC159" s="32"/>
      <c r="AD159" s="32"/>
      <c r="AE159" s="32"/>
      <c r="AF159" s="32">
        <v>0</v>
      </c>
      <c r="AG159" s="32"/>
      <c r="AH159" s="32"/>
      <c r="AI159" s="32"/>
      <c r="AJ159" s="32"/>
      <c r="AK159" s="32">
        <f>IF(ISNUMBER(AA159),AA159,0)+IF(ISNUMBER(AF159),AF159,0)</f>
        <v>471403</v>
      </c>
      <c r="AL159" s="32"/>
      <c r="AM159" s="32"/>
      <c r="AN159" s="32"/>
      <c r="AO159" s="32"/>
      <c r="AP159" s="32">
        <v>509115</v>
      </c>
      <c r="AQ159" s="32"/>
      <c r="AR159" s="32"/>
      <c r="AS159" s="32"/>
      <c r="AT159" s="32"/>
      <c r="AU159" s="32">
        <v>0</v>
      </c>
      <c r="AV159" s="32"/>
      <c r="AW159" s="32"/>
      <c r="AX159" s="32"/>
      <c r="AY159" s="32"/>
      <c r="AZ159" s="32">
        <f>IF(ISNUMBER(AP159),AP159,0)+IF(ISNUMBER(AU159),AU159,0)</f>
        <v>509115</v>
      </c>
      <c r="BA159" s="32"/>
      <c r="BB159" s="32"/>
      <c r="BC159" s="32"/>
      <c r="BD159" s="32"/>
      <c r="CA159" s="4" t="s">
        <v>47</v>
      </c>
    </row>
    <row r="160" spans="1:79" s="5" customFormat="1" x14ac:dyDescent="0.2">
      <c r="A160" s="21"/>
      <c r="B160" s="21"/>
      <c r="C160" s="21"/>
      <c r="D160" s="21"/>
      <c r="E160" s="21"/>
      <c r="F160" s="21"/>
      <c r="G160" s="22" t="s">
        <v>147</v>
      </c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4"/>
      <c r="T160" s="25"/>
      <c r="U160" s="23"/>
      <c r="V160" s="23"/>
      <c r="W160" s="23"/>
      <c r="X160" s="23"/>
      <c r="Y160" s="23"/>
      <c r="Z160" s="24"/>
      <c r="AA160" s="20">
        <v>471403</v>
      </c>
      <c r="AB160" s="20"/>
      <c r="AC160" s="20"/>
      <c r="AD160" s="20"/>
      <c r="AE160" s="20"/>
      <c r="AF160" s="20">
        <v>0</v>
      </c>
      <c r="AG160" s="20"/>
      <c r="AH160" s="20"/>
      <c r="AI160" s="20"/>
      <c r="AJ160" s="20"/>
      <c r="AK160" s="20">
        <f>IF(ISNUMBER(AA160),AA160,0)+IF(ISNUMBER(AF160),AF160,0)</f>
        <v>471403</v>
      </c>
      <c r="AL160" s="20"/>
      <c r="AM160" s="20"/>
      <c r="AN160" s="20"/>
      <c r="AO160" s="20"/>
      <c r="AP160" s="20">
        <v>509115</v>
      </c>
      <c r="AQ160" s="20"/>
      <c r="AR160" s="20"/>
      <c r="AS160" s="20"/>
      <c r="AT160" s="20"/>
      <c r="AU160" s="20">
        <v>0</v>
      </c>
      <c r="AV160" s="20"/>
      <c r="AW160" s="20"/>
      <c r="AX160" s="20"/>
      <c r="AY160" s="20"/>
      <c r="AZ160" s="20">
        <f>IF(ISNUMBER(AP160),AP160,0)+IF(ISNUMBER(AU160),AU160,0)</f>
        <v>509115</v>
      </c>
      <c r="BA160" s="20"/>
      <c r="BB160" s="20"/>
      <c r="BC160" s="20"/>
      <c r="BD160" s="20"/>
    </row>
    <row r="162" spans="1:79" ht="14.25" customHeight="1" x14ac:dyDescent="0.2">
      <c r="A162" s="55" t="s">
        <v>237</v>
      </c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</row>
    <row r="163" spans="1:79" ht="15" customHeight="1" x14ac:dyDescent="0.2">
      <c r="A163" s="71" t="s">
        <v>203</v>
      </c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</row>
    <row r="164" spans="1:79" ht="23.1" customHeight="1" x14ac:dyDescent="0.2">
      <c r="A164" s="35" t="s">
        <v>128</v>
      </c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72" t="s">
        <v>129</v>
      </c>
      <c r="O164" s="73"/>
      <c r="P164" s="73"/>
      <c r="Q164" s="73"/>
      <c r="R164" s="73"/>
      <c r="S164" s="73"/>
      <c r="T164" s="73"/>
      <c r="U164" s="74"/>
      <c r="V164" s="72" t="s">
        <v>130</v>
      </c>
      <c r="W164" s="73"/>
      <c r="X164" s="73"/>
      <c r="Y164" s="73"/>
      <c r="Z164" s="74"/>
      <c r="AA164" s="35" t="s">
        <v>204</v>
      </c>
      <c r="AB164" s="35"/>
      <c r="AC164" s="35"/>
      <c r="AD164" s="35"/>
      <c r="AE164" s="35"/>
      <c r="AF164" s="35"/>
      <c r="AG164" s="35"/>
      <c r="AH164" s="35"/>
      <c r="AI164" s="35"/>
      <c r="AJ164" s="35" t="s">
        <v>207</v>
      </c>
      <c r="AK164" s="35"/>
      <c r="AL164" s="35"/>
      <c r="AM164" s="35"/>
      <c r="AN164" s="35"/>
      <c r="AO164" s="35"/>
      <c r="AP164" s="35"/>
      <c r="AQ164" s="35"/>
      <c r="AR164" s="35"/>
      <c r="AS164" s="35" t="s">
        <v>215</v>
      </c>
      <c r="AT164" s="35"/>
      <c r="AU164" s="35"/>
      <c r="AV164" s="35"/>
      <c r="AW164" s="35"/>
      <c r="AX164" s="35"/>
      <c r="AY164" s="35"/>
      <c r="AZ164" s="35"/>
      <c r="BA164" s="35"/>
      <c r="BB164" s="35" t="s">
        <v>225</v>
      </c>
      <c r="BC164" s="35"/>
      <c r="BD164" s="35"/>
      <c r="BE164" s="35"/>
      <c r="BF164" s="35"/>
      <c r="BG164" s="35"/>
      <c r="BH164" s="35"/>
      <c r="BI164" s="35"/>
      <c r="BJ164" s="35"/>
      <c r="BK164" s="35" t="s">
        <v>230</v>
      </c>
      <c r="BL164" s="35"/>
      <c r="BM164" s="35"/>
      <c r="BN164" s="35"/>
      <c r="BO164" s="35"/>
      <c r="BP164" s="35"/>
      <c r="BQ164" s="35"/>
      <c r="BR164" s="35"/>
      <c r="BS164" s="35"/>
    </row>
    <row r="165" spans="1:79" ht="95.25" customHeight="1" x14ac:dyDescent="0.2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75"/>
      <c r="O165" s="76"/>
      <c r="P165" s="76"/>
      <c r="Q165" s="76"/>
      <c r="R165" s="76"/>
      <c r="S165" s="76"/>
      <c r="T165" s="76"/>
      <c r="U165" s="77"/>
      <c r="V165" s="75"/>
      <c r="W165" s="76"/>
      <c r="X165" s="76"/>
      <c r="Y165" s="76"/>
      <c r="Z165" s="77"/>
      <c r="AA165" s="61" t="s">
        <v>133</v>
      </c>
      <c r="AB165" s="61"/>
      <c r="AC165" s="61"/>
      <c r="AD165" s="61"/>
      <c r="AE165" s="61"/>
      <c r="AF165" s="61" t="s">
        <v>134</v>
      </c>
      <c r="AG165" s="61"/>
      <c r="AH165" s="61"/>
      <c r="AI165" s="61"/>
      <c r="AJ165" s="61" t="s">
        <v>133</v>
      </c>
      <c r="AK165" s="61"/>
      <c r="AL165" s="61"/>
      <c r="AM165" s="61"/>
      <c r="AN165" s="61"/>
      <c r="AO165" s="61" t="s">
        <v>134</v>
      </c>
      <c r="AP165" s="61"/>
      <c r="AQ165" s="61"/>
      <c r="AR165" s="61"/>
      <c r="AS165" s="61" t="s">
        <v>133</v>
      </c>
      <c r="AT165" s="61"/>
      <c r="AU165" s="61"/>
      <c r="AV165" s="61"/>
      <c r="AW165" s="61"/>
      <c r="AX165" s="61" t="s">
        <v>134</v>
      </c>
      <c r="AY165" s="61"/>
      <c r="AZ165" s="61"/>
      <c r="BA165" s="61"/>
      <c r="BB165" s="61" t="s">
        <v>133</v>
      </c>
      <c r="BC165" s="61"/>
      <c r="BD165" s="61"/>
      <c r="BE165" s="61"/>
      <c r="BF165" s="61"/>
      <c r="BG165" s="61" t="s">
        <v>134</v>
      </c>
      <c r="BH165" s="61"/>
      <c r="BI165" s="61"/>
      <c r="BJ165" s="61"/>
      <c r="BK165" s="61" t="s">
        <v>133</v>
      </c>
      <c r="BL165" s="61"/>
      <c r="BM165" s="61"/>
      <c r="BN165" s="61"/>
      <c r="BO165" s="61"/>
      <c r="BP165" s="61" t="s">
        <v>134</v>
      </c>
      <c r="BQ165" s="61"/>
      <c r="BR165" s="61"/>
      <c r="BS165" s="61"/>
    </row>
    <row r="166" spans="1:79" ht="15" customHeight="1" x14ac:dyDescent="0.2">
      <c r="A166" s="35">
        <v>1</v>
      </c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68">
        <v>2</v>
      </c>
      <c r="O166" s="69"/>
      <c r="P166" s="69"/>
      <c r="Q166" s="69"/>
      <c r="R166" s="69"/>
      <c r="S166" s="69"/>
      <c r="T166" s="69"/>
      <c r="U166" s="70"/>
      <c r="V166" s="35">
        <v>3</v>
      </c>
      <c r="W166" s="35"/>
      <c r="X166" s="35"/>
      <c r="Y166" s="35"/>
      <c r="Z166" s="35"/>
      <c r="AA166" s="35">
        <v>4</v>
      </c>
      <c r="AB166" s="35"/>
      <c r="AC166" s="35"/>
      <c r="AD166" s="35"/>
      <c r="AE166" s="35"/>
      <c r="AF166" s="35">
        <v>5</v>
      </c>
      <c r="AG166" s="35"/>
      <c r="AH166" s="35"/>
      <c r="AI166" s="35"/>
      <c r="AJ166" s="35">
        <v>6</v>
      </c>
      <c r="AK166" s="35"/>
      <c r="AL166" s="35"/>
      <c r="AM166" s="35"/>
      <c r="AN166" s="35"/>
      <c r="AO166" s="35">
        <v>7</v>
      </c>
      <c r="AP166" s="35"/>
      <c r="AQ166" s="35"/>
      <c r="AR166" s="35"/>
      <c r="AS166" s="35">
        <v>8</v>
      </c>
      <c r="AT166" s="35"/>
      <c r="AU166" s="35"/>
      <c r="AV166" s="35"/>
      <c r="AW166" s="35"/>
      <c r="AX166" s="35">
        <v>9</v>
      </c>
      <c r="AY166" s="35"/>
      <c r="AZ166" s="35"/>
      <c r="BA166" s="35"/>
      <c r="BB166" s="35">
        <v>10</v>
      </c>
      <c r="BC166" s="35"/>
      <c r="BD166" s="35"/>
      <c r="BE166" s="35"/>
      <c r="BF166" s="35"/>
      <c r="BG166" s="35">
        <v>11</v>
      </c>
      <c r="BH166" s="35"/>
      <c r="BI166" s="35"/>
      <c r="BJ166" s="35"/>
      <c r="BK166" s="35">
        <v>12</v>
      </c>
      <c r="BL166" s="35"/>
      <c r="BM166" s="35"/>
      <c r="BN166" s="35"/>
      <c r="BO166" s="35"/>
      <c r="BP166" s="35">
        <v>13</v>
      </c>
      <c r="BQ166" s="35"/>
      <c r="BR166" s="35"/>
      <c r="BS166" s="35"/>
    </row>
    <row r="167" spans="1:79" s="1" customFormat="1" ht="12" hidden="1" customHeight="1" x14ac:dyDescent="0.2">
      <c r="A167" s="58" t="s">
        <v>146</v>
      </c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9" t="s">
        <v>131</v>
      </c>
      <c r="O167" s="59"/>
      <c r="P167" s="59"/>
      <c r="Q167" s="59"/>
      <c r="R167" s="59"/>
      <c r="S167" s="59"/>
      <c r="T167" s="59"/>
      <c r="U167" s="59"/>
      <c r="V167" s="59" t="s">
        <v>132</v>
      </c>
      <c r="W167" s="59"/>
      <c r="X167" s="59"/>
      <c r="Y167" s="59"/>
      <c r="Z167" s="59"/>
      <c r="AA167" s="57" t="s">
        <v>65</v>
      </c>
      <c r="AB167" s="57"/>
      <c r="AC167" s="57"/>
      <c r="AD167" s="57"/>
      <c r="AE167" s="57"/>
      <c r="AF167" s="57" t="s">
        <v>66</v>
      </c>
      <c r="AG167" s="57"/>
      <c r="AH167" s="57"/>
      <c r="AI167" s="57"/>
      <c r="AJ167" s="57" t="s">
        <v>67</v>
      </c>
      <c r="AK167" s="57"/>
      <c r="AL167" s="57"/>
      <c r="AM167" s="57"/>
      <c r="AN167" s="57"/>
      <c r="AO167" s="57" t="s">
        <v>68</v>
      </c>
      <c r="AP167" s="57"/>
      <c r="AQ167" s="57"/>
      <c r="AR167" s="57"/>
      <c r="AS167" s="57" t="s">
        <v>58</v>
      </c>
      <c r="AT167" s="57"/>
      <c r="AU167" s="57"/>
      <c r="AV167" s="57"/>
      <c r="AW167" s="57"/>
      <c r="AX167" s="57" t="s">
        <v>59</v>
      </c>
      <c r="AY167" s="57"/>
      <c r="AZ167" s="57"/>
      <c r="BA167" s="57"/>
      <c r="BB167" s="57" t="s">
        <v>60</v>
      </c>
      <c r="BC167" s="57"/>
      <c r="BD167" s="57"/>
      <c r="BE167" s="57"/>
      <c r="BF167" s="57"/>
      <c r="BG167" s="57" t="s">
        <v>61</v>
      </c>
      <c r="BH167" s="57"/>
      <c r="BI167" s="57"/>
      <c r="BJ167" s="57"/>
      <c r="BK167" s="57" t="s">
        <v>62</v>
      </c>
      <c r="BL167" s="57"/>
      <c r="BM167" s="57"/>
      <c r="BN167" s="57"/>
      <c r="BO167" s="57"/>
      <c r="BP167" s="57" t="s">
        <v>63</v>
      </c>
      <c r="BQ167" s="57"/>
      <c r="BR167" s="57"/>
      <c r="BS167" s="57"/>
      <c r="CA167" s="1" t="s">
        <v>48</v>
      </c>
    </row>
    <row r="168" spans="1:79" s="5" customFormat="1" ht="12.75" customHeight="1" x14ac:dyDescent="0.2">
      <c r="A168" s="54" t="s">
        <v>147</v>
      </c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36"/>
      <c r="O168" s="37"/>
      <c r="P168" s="37"/>
      <c r="Q168" s="37"/>
      <c r="R168" s="37"/>
      <c r="S168" s="37"/>
      <c r="T168" s="37"/>
      <c r="U168" s="44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3"/>
      <c r="BQ168" s="64"/>
      <c r="BR168" s="64"/>
      <c r="BS168" s="65"/>
      <c r="CA168" s="5" t="s">
        <v>49</v>
      </c>
    </row>
    <row r="170" spans="1:79" ht="35.25" customHeight="1" x14ac:dyDescent="0.2">
      <c r="A170" s="55" t="s">
        <v>238</v>
      </c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</row>
    <row r="171" spans="1:79" ht="105" customHeight="1" x14ac:dyDescent="0.2">
      <c r="A171" s="56" t="s">
        <v>197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</row>
    <row r="173" spans="1:79" ht="28.5" customHeight="1" x14ac:dyDescent="0.2">
      <c r="A173" s="66" t="s">
        <v>222</v>
      </c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</row>
    <row r="174" spans="1:79" ht="14.25" customHeight="1" x14ac:dyDescent="0.2">
      <c r="A174" s="55" t="s">
        <v>205</v>
      </c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</row>
    <row r="175" spans="1:79" ht="15" customHeight="1" x14ac:dyDescent="0.2">
      <c r="A175" s="60" t="s">
        <v>203</v>
      </c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</row>
    <row r="176" spans="1:79" ht="42.95" customHeight="1" x14ac:dyDescent="0.2">
      <c r="A176" s="61" t="s">
        <v>135</v>
      </c>
      <c r="B176" s="61"/>
      <c r="C176" s="61"/>
      <c r="D176" s="61"/>
      <c r="E176" s="61"/>
      <c r="F176" s="61"/>
      <c r="G176" s="35" t="s">
        <v>19</v>
      </c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 t="s">
        <v>15</v>
      </c>
      <c r="U176" s="35"/>
      <c r="V176" s="35"/>
      <c r="W176" s="35"/>
      <c r="X176" s="35"/>
      <c r="Y176" s="35"/>
      <c r="Z176" s="35" t="s">
        <v>14</v>
      </c>
      <c r="AA176" s="35"/>
      <c r="AB176" s="35"/>
      <c r="AC176" s="35"/>
      <c r="AD176" s="35"/>
      <c r="AE176" s="35" t="s">
        <v>136</v>
      </c>
      <c r="AF176" s="35"/>
      <c r="AG176" s="35"/>
      <c r="AH176" s="35"/>
      <c r="AI176" s="35"/>
      <c r="AJ176" s="35"/>
      <c r="AK176" s="35" t="s">
        <v>137</v>
      </c>
      <c r="AL176" s="35"/>
      <c r="AM176" s="35"/>
      <c r="AN176" s="35"/>
      <c r="AO176" s="35"/>
      <c r="AP176" s="35"/>
      <c r="AQ176" s="35" t="s">
        <v>138</v>
      </c>
      <c r="AR176" s="35"/>
      <c r="AS176" s="35"/>
      <c r="AT176" s="35"/>
      <c r="AU176" s="35"/>
      <c r="AV176" s="35"/>
      <c r="AW176" s="35" t="s">
        <v>98</v>
      </c>
      <c r="AX176" s="35"/>
      <c r="AY176" s="35"/>
      <c r="AZ176" s="35"/>
      <c r="BA176" s="35"/>
      <c r="BB176" s="35"/>
      <c r="BC176" s="35"/>
      <c r="BD176" s="35"/>
      <c r="BE176" s="35"/>
      <c r="BF176" s="35"/>
      <c r="BG176" s="35" t="s">
        <v>139</v>
      </c>
      <c r="BH176" s="35"/>
      <c r="BI176" s="35"/>
      <c r="BJ176" s="35"/>
      <c r="BK176" s="35"/>
      <c r="BL176" s="35"/>
    </row>
    <row r="177" spans="1:79" ht="39.950000000000003" customHeight="1" x14ac:dyDescent="0.2">
      <c r="A177" s="61"/>
      <c r="B177" s="61"/>
      <c r="C177" s="61"/>
      <c r="D177" s="61"/>
      <c r="E177" s="61"/>
      <c r="F177" s="61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 t="s">
        <v>17</v>
      </c>
      <c r="AX177" s="35"/>
      <c r="AY177" s="35"/>
      <c r="AZ177" s="35"/>
      <c r="BA177" s="35"/>
      <c r="BB177" s="35" t="s">
        <v>16</v>
      </c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</row>
    <row r="178" spans="1:79" ht="15" customHeight="1" x14ac:dyDescent="0.2">
      <c r="A178" s="35">
        <v>1</v>
      </c>
      <c r="B178" s="35"/>
      <c r="C178" s="35"/>
      <c r="D178" s="35"/>
      <c r="E178" s="35"/>
      <c r="F178" s="35"/>
      <c r="G178" s="35">
        <v>2</v>
      </c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>
        <v>3</v>
      </c>
      <c r="U178" s="35"/>
      <c r="V178" s="35"/>
      <c r="W178" s="35"/>
      <c r="X178" s="35"/>
      <c r="Y178" s="35"/>
      <c r="Z178" s="35">
        <v>4</v>
      </c>
      <c r="AA178" s="35"/>
      <c r="AB178" s="35"/>
      <c r="AC178" s="35"/>
      <c r="AD178" s="35"/>
      <c r="AE178" s="35">
        <v>5</v>
      </c>
      <c r="AF178" s="35"/>
      <c r="AG178" s="35"/>
      <c r="AH178" s="35"/>
      <c r="AI178" s="35"/>
      <c r="AJ178" s="35"/>
      <c r="AK178" s="35">
        <v>6</v>
      </c>
      <c r="AL178" s="35"/>
      <c r="AM178" s="35"/>
      <c r="AN178" s="35"/>
      <c r="AO178" s="35"/>
      <c r="AP178" s="35"/>
      <c r="AQ178" s="35">
        <v>7</v>
      </c>
      <c r="AR178" s="35"/>
      <c r="AS178" s="35"/>
      <c r="AT178" s="35"/>
      <c r="AU178" s="35"/>
      <c r="AV178" s="35"/>
      <c r="AW178" s="35">
        <v>8</v>
      </c>
      <c r="AX178" s="35"/>
      <c r="AY178" s="35"/>
      <c r="AZ178" s="35"/>
      <c r="BA178" s="35"/>
      <c r="BB178" s="35">
        <v>9</v>
      </c>
      <c r="BC178" s="35"/>
      <c r="BD178" s="35"/>
      <c r="BE178" s="35"/>
      <c r="BF178" s="35"/>
      <c r="BG178" s="35">
        <v>10</v>
      </c>
      <c r="BH178" s="35"/>
      <c r="BI178" s="35"/>
      <c r="BJ178" s="35"/>
      <c r="BK178" s="35"/>
      <c r="BL178" s="35"/>
    </row>
    <row r="179" spans="1:79" s="1" customFormat="1" ht="12" hidden="1" customHeight="1" x14ac:dyDescent="0.2">
      <c r="A179" s="59" t="s">
        <v>64</v>
      </c>
      <c r="B179" s="59"/>
      <c r="C179" s="59"/>
      <c r="D179" s="59"/>
      <c r="E179" s="59"/>
      <c r="F179" s="59"/>
      <c r="G179" s="58" t="s">
        <v>57</v>
      </c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7" t="s">
        <v>80</v>
      </c>
      <c r="U179" s="57"/>
      <c r="V179" s="57"/>
      <c r="W179" s="57"/>
      <c r="X179" s="57"/>
      <c r="Y179" s="57"/>
      <c r="Z179" s="57" t="s">
        <v>81</v>
      </c>
      <c r="AA179" s="57"/>
      <c r="AB179" s="57"/>
      <c r="AC179" s="57"/>
      <c r="AD179" s="57"/>
      <c r="AE179" s="57" t="s">
        <v>82</v>
      </c>
      <c r="AF179" s="57"/>
      <c r="AG179" s="57"/>
      <c r="AH179" s="57"/>
      <c r="AI179" s="57"/>
      <c r="AJ179" s="57"/>
      <c r="AK179" s="57" t="s">
        <v>83</v>
      </c>
      <c r="AL179" s="57"/>
      <c r="AM179" s="57"/>
      <c r="AN179" s="57"/>
      <c r="AO179" s="57"/>
      <c r="AP179" s="57"/>
      <c r="AQ179" s="59" t="s">
        <v>99</v>
      </c>
      <c r="AR179" s="57"/>
      <c r="AS179" s="57"/>
      <c r="AT179" s="57"/>
      <c r="AU179" s="57"/>
      <c r="AV179" s="57"/>
      <c r="AW179" s="57" t="s">
        <v>84</v>
      </c>
      <c r="AX179" s="57"/>
      <c r="AY179" s="57"/>
      <c r="AZ179" s="57"/>
      <c r="BA179" s="57"/>
      <c r="BB179" s="57" t="s">
        <v>85</v>
      </c>
      <c r="BC179" s="57"/>
      <c r="BD179" s="57"/>
      <c r="BE179" s="57"/>
      <c r="BF179" s="57"/>
      <c r="BG179" s="59" t="s">
        <v>100</v>
      </c>
      <c r="BH179" s="57"/>
      <c r="BI179" s="57"/>
      <c r="BJ179" s="57"/>
      <c r="BK179" s="57"/>
      <c r="BL179" s="57"/>
      <c r="CA179" s="1" t="s">
        <v>50</v>
      </c>
    </row>
    <row r="180" spans="1:79" s="5" customFormat="1" ht="12.75" customHeight="1" x14ac:dyDescent="0.2">
      <c r="A180" s="21"/>
      <c r="B180" s="21"/>
      <c r="C180" s="21"/>
      <c r="D180" s="21"/>
      <c r="E180" s="21"/>
      <c r="F180" s="21"/>
      <c r="G180" s="54" t="s">
        <v>147</v>
      </c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>
        <f>IF(ISNUMBER(AK180),AK180,0)-IF(ISNUMBER(AE180),AE180,0)</f>
        <v>0</v>
      </c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>
        <f>IF(ISNUMBER(Z180),Z180,0)+IF(ISNUMBER(AK180),AK180,0)</f>
        <v>0</v>
      </c>
      <c r="BH180" s="20"/>
      <c r="BI180" s="20"/>
      <c r="BJ180" s="20"/>
      <c r="BK180" s="20"/>
      <c r="BL180" s="20"/>
      <c r="CA180" s="5" t="s">
        <v>51</v>
      </c>
    </row>
    <row r="182" spans="1:79" ht="14.25" customHeight="1" x14ac:dyDescent="0.2">
      <c r="A182" s="55" t="s">
        <v>223</v>
      </c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</row>
    <row r="183" spans="1:79" ht="15" customHeight="1" x14ac:dyDescent="0.2">
      <c r="A183" s="60" t="s">
        <v>203</v>
      </c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</row>
    <row r="184" spans="1:79" ht="18" customHeight="1" x14ac:dyDescent="0.2">
      <c r="A184" s="35" t="s">
        <v>135</v>
      </c>
      <c r="B184" s="35"/>
      <c r="C184" s="35"/>
      <c r="D184" s="35"/>
      <c r="E184" s="35"/>
      <c r="F184" s="35"/>
      <c r="G184" s="35" t="s">
        <v>19</v>
      </c>
      <c r="H184" s="35"/>
      <c r="I184" s="35"/>
      <c r="J184" s="35"/>
      <c r="K184" s="35"/>
      <c r="L184" s="35"/>
      <c r="M184" s="35"/>
      <c r="N184" s="35"/>
      <c r="O184" s="35"/>
      <c r="P184" s="35"/>
      <c r="Q184" s="35" t="s">
        <v>209</v>
      </c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 t="s">
        <v>220</v>
      </c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</row>
    <row r="185" spans="1:79" ht="42.95" customHeight="1" x14ac:dyDescent="0.2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 t="s">
        <v>140</v>
      </c>
      <c r="R185" s="35"/>
      <c r="S185" s="35"/>
      <c r="T185" s="35"/>
      <c r="U185" s="35"/>
      <c r="V185" s="61" t="s">
        <v>141</v>
      </c>
      <c r="W185" s="61"/>
      <c r="X185" s="61"/>
      <c r="Y185" s="61"/>
      <c r="Z185" s="35" t="s">
        <v>142</v>
      </c>
      <c r="AA185" s="35"/>
      <c r="AB185" s="35"/>
      <c r="AC185" s="35"/>
      <c r="AD185" s="35"/>
      <c r="AE185" s="35"/>
      <c r="AF185" s="35"/>
      <c r="AG185" s="35"/>
      <c r="AH185" s="35"/>
      <c r="AI185" s="35"/>
      <c r="AJ185" s="35" t="s">
        <v>143</v>
      </c>
      <c r="AK185" s="35"/>
      <c r="AL185" s="35"/>
      <c r="AM185" s="35"/>
      <c r="AN185" s="35"/>
      <c r="AO185" s="35" t="s">
        <v>20</v>
      </c>
      <c r="AP185" s="35"/>
      <c r="AQ185" s="35"/>
      <c r="AR185" s="35"/>
      <c r="AS185" s="35"/>
      <c r="AT185" s="61" t="s">
        <v>144</v>
      </c>
      <c r="AU185" s="61"/>
      <c r="AV185" s="61"/>
      <c r="AW185" s="61"/>
      <c r="AX185" s="35" t="s">
        <v>142</v>
      </c>
      <c r="AY185" s="35"/>
      <c r="AZ185" s="35"/>
      <c r="BA185" s="35"/>
      <c r="BB185" s="35"/>
      <c r="BC185" s="35"/>
      <c r="BD185" s="35"/>
      <c r="BE185" s="35"/>
      <c r="BF185" s="35"/>
      <c r="BG185" s="35"/>
      <c r="BH185" s="35" t="s">
        <v>145</v>
      </c>
      <c r="BI185" s="35"/>
      <c r="BJ185" s="35"/>
      <c r="BK185" s="35"/>
      <c r="BL185" s="35"/>
    </row>
    <row r="186" spans="1:79" ht="63" customHeight="1" x14ac:dyDescent="0.2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61"/>
      <c r="W186" s="61"/>
      <c r="X186" s="61"/>
      <c r="Y186" s="61"/>
      <c r="Z186" s="35" t="s">
        <v>17</v>
      </c>
      <c r="AA186" s="35"/>
      <c r="AB186" s="35"/>
      <c r="AC186" s="35"/>
      <c r="AD186" s="35"/>
      <c r="AE186" s="35" t="s">
        <v>16</v>
      </c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61"/>
      <c r="AU186" s="61"/>
      <c r="AV186" s="61"/>
      <c r="AW186" s="61"/>
      <c r="AX186" s="35" t="s">
        <v>17</v>
      </c>
      <c r="AY186" s="35"/>
      <c r="AZ186" s="35"/>
      <c r="BA186" s="35"/>
      <c r="BB186" s="35"/>
      <c r="BC186" s="35" t="s">
        <v>16</v>
      </c>
      <c r="BD186" s="35"/>
      <c r="BE186" s="35"/>
      <c r="BF186" s="35"/>
      <c r="BG186" s="35"/>
      <c r="BH186" s="35"/>
      <c r="BI186" s="35"/>
      <c r="BJ186" s="35"/>
      <c r="BK186" s="35"/>
      <c r="BL186" s="35"/>
    </row>
    <row r="187" spans="1:79" ht="15" customHeight="1" x14ac:dyDescent="0.2">
      <c r="A187" s="35">
        <v>1</v>
      </c>
      <c r="B187" s="35"/>
      <c r="C187" s="35"/>
      <c r="D187" s="35"/>
      <c r="E187" s="35"/>
      <c r="F187" s="35"/>
      <c r="G187" s="35">
        <v>2</v>
      </c>
      <c r="H187" s="35"/>
      <c r="I187" s="35"/>
      <c r="J187" s="35"/>
      <c r="K187" s="35"/>
      <c r="L187" s="35"/>
      <c r="M187" s="35"/>
      <c r="N187" s="35"/>
      <c r="O187" s="35"/>
      <c r="P187" s="35"/>
      <c r="Q187" s="35">
        <v>3</v>
      </c>
      <c r="R187" s="35"/>
      <c r="S187" s="35"/>
      <c r="T187" s="35"/>
      <c r="U187" s="35"/>
      <c r="V187" s="35">
        <v>4</v>
      </c>
      <c r="W187" s="35"/>
      <c r="X187" s="35"/>
      <c r="Y187" s="35"/>
      <c r="Z187" s="35">
        <v>5</v>
      </c>
      <c r="AA187" s="35"/>
      <c r="AB187" s="35"/>
      <c r="AC187" s="35"/>
      <c r="AD187" s="35"/>
      <c r="AE187" s="35">
        <v>6</v>
      </c>
      <c r="AF187" s="35"/>
      <c r="AG187" s="35"/>
      <c r="AH187" s="35"/>
      <c r="AI187" s="35"/>
      <c r="AJ187" s="35">
        <v>7</v>
      </c>
      <c r="AK187" s="35"/>
      <c r="AL187" s="35"/>
      <c r="AM187" s="35"/>
      <c r="AN187" s="35"/>
      <c r="AO187" s="35">
        <v>8</v>
      </c>
      <c r="AP187" s="35"/>
      <c r="AQ187" s="35"/>
      <c r="AR187" s="35"/>
      <c r="AS187" s="35"/>
      <c r="AT187" s="35">
        <v>9</v>
      </c>
      <c r="AU187" s="35"/>
      <c r="AV187" s="35"/>
      <c r="AW187" s="35"/>
      <c r="AX187" s="35">
        <v>10</v>
      </c>
      <c r="AY187" s="35"/>
      <c r="AZ187" s="35"/>
      <c r="BA187" s="35"/>
      <c r="BB187" s="35"/>
      <c r="BC187" s="35">
        <v>11</v>
      </c>
      <c r="BD187" s="35"/>
      <c r="BE187" s="35"/>
      <c r="BF187" s="35"/>
      <c r="BG187" s="35"/>
      <c r="BH187" s="35">
        <v>12</v>
      </c>
      <c r="BI187" s="35"/>
      <c r="BJ187" s="35"/>
      <c r="BK187" s="35"/>
      <c r="BL187" s="35"/>
    </row>
    <row r="188" spans="1:79" s="1" customFormat="1" ht="12" hidden="1" customHeight="1" x14ac:dyDescent="0.2">
      <c r="A188" s="59" t="s">
        <v>64</v>
      </c>
      <c r="B188" s="59"/>
      <c r="C188" s="59"/>
      <c r="D188" s="59"/>
      <c r="E188" s="59"/>
      <c r="F188" s="59"/>
      <c r="G188" s="58" t="s">
        <v>57</v>
      </c>
      <c r="H188" s="58"/>
      <c r="I188" s="58"/>
      <c r="J188" s="58"/>
      <c r="K188" s="58"/>
      <c r="L188" s="58"/>
      <c r="M188" s="58"/>
      <c r="N188" s="58"/>
      <c r="O188" s="58"/>
      <c r="P188" s="58"/>
      <c r="Q188" s="57" t="s">
        <v>80</v>
      </c>
      <c r="R188" s="57"/>
      <c r="S188" s="57"/>
      <c r="T188" s="57"/>
      <c r="U188" s="57"/>
      <c r="V188" s="57" t="s">
        <v>81</v>
      </c>
      <c r="W188" s="57"/>
      <c r="X188" s="57"/>
      <c r="Y188" s="57"/>
      <c r="Z188" s="57" t="s">
        <v>82</v>
      </c>
      <c r="AA188" s="57"/>
      <c r="AB188" s="57"/>
      <c r="AC188" s="57"/>
      <c r="AD188" s="57"/>
      <c r="AE188" s="57" t="s">
        <v>83</v>
      </c>
      <c r="AF188" s="57"/>
      <c r="AG188" s="57"/>
      <c r="AH188" s="57"/>
      <c r="AI188" s="57"/>
      <c r="AJ188" s="59" t="s">
        <v>101</v>
      </c>
      <c r="AK188" s="57"/>
      <c r="AL188" s="57"/>
      <c r="AM188" s="57"/>
      <c r="AN188" s="57"/>
      <c r="AO188" s="57" t="s">
        <v>84</v>
      </c>
      <c r="AP188" s="57"/>
      <c r="AQ188" s="57"/>
      <c r="AR188" s="57"/>
      <c r="AS188" s="57"/>
      <c r="AT188" s="59" t="s">
        <v>102</v>
      </c>
      <c r="AU188" s="57"/>
      <c r="AV188" s="57"/>
      <c r="AW188" s="57"/>
      <c r="AX188" s="57" t="s">
        <v>85</v>
      </c>
      <c r="AY188" s="57"/>
      <c r="AZ188" s="57"/>
      <c r="BA188" s="57"/>
      <c r="BB188" s="57"/>
      <c r="BC188" s="57" t="s">
        <v>86</v>
      </c>
      <c r="BD188" s="57"/>
      <c r="BE188" s="57"/>
      <c r="BF188" s="57"/>
      <c r="BG188" s="57"/>
      <c r="BH188" s="59" t="s">
        <v>101</v>
      </c>
      <c r="BI188" s="57"/>
      <c r="BJ188" s="57"/>
      <c r="BK188" s="57"/>
      <c r="BL188" s="57"/>
      <c r="CA188" s="1" t="s">
        <v>52</v>
      </c>
    </row>
    <row r="189" spans="1:79" s="4" customFormat="1" ht="38.25" customHeight="1" x14ac:dyDescent="0.2">
      <c r="A189" s="62">
        <v>2610</v>
      </c>
      <c r="B189" s="62"/>
      <c r="C189" s="62"/>
      <c r="D189" s="62"/>
      <c r="E189" s="62"/>
      <c r="F189" s="62"/>
      <c r="G189" s="29" t="s">
        <v>174</v>
      </c>
      <c r="H189" s="30"/>
      <c r="I189" s="30"/>
      <c r="J189" s="30"/>
      <c r="K189" s="30"/>
      <c r="L189" s="30"/>
      <c r="M189" s="30"/>
      <c r="N189" s="30"/>
      <c r="O189" s="30"/>
      <c r="P189" s="31"/>
      <c r="Q189" s="32">
        <v>271466</v>
      </c>
      <c r="R189" s="32"/>
      <c r="S189" s="32"/>
      <c r="T189" s="32"/>
      <c r="U189" s="32"/>
      <c r="V189" s="32">
        <v>0</v>
      </c>
      <c r="W189" s="32"/>
      <c r="X189" s="32"/>
      <c r="Y189" s="32"/>
      <c r="Z189" s="32">
        <v>0</v>
      </c>
      <c r="AA189" s="32"/>
      <c r="AB189" s="32"/>
      <c r="AC189" s="32"/>
      <c r="AD189" s="32"/>
      <c r="AE189" s="32">
        <v>0</v>
      </c>
      <c r="AF189" s="32"/>
      <c r="AG189" s="32"/>
      <c r="AH189" s="32"/>
      <c r="AI189" s="32"/>
      <c r="AJ189" s="32">
        <f>IF(ISNUMBER(Q189),Q189,0)-IF(ISNUMBER(Z189),Z189,0)</f>
        <v>271466</v>
      </c>
      <c r="AK189" s="32"/>
      <c r="AL189" s="32"/>
      <c r="AM189" s="32"/>
      <c r="AN189" s="32"/>
      <c r="AO189" s="32">
        <v>428938</v>
      </c>
      <c r="AP189" s="32"/>
      <c r="AQ189" s="32"/>
      <c r="AR189" s="32"/>
      <c r="AS189" s="32"/>
      <c r="AT189" s="32">
        <f>IF(ISNUMBER(V189),V189,0)-IF(ISNUMBER(Z189),Z189,0)-IF(ISNUMBER(AE189),AE189,0)</f>
        <v>0</v>
      </c>
      <c r="AU189" s="32"/>
      <c r="AV189" s="32"/>
      <c r="AW189" s="32"/>
      <c r="AX189" s="32">
        <v>0</v>
      </c>
      <c r="AY189" s="32"/>
      <c r="AZ189" s="32"/>
      <c r="BA189" s="32"/>
      <c r="BB189" s="32"/>
      <c r="BC189" s="32">
        <v>0</v>
      </c>
      <c r="BD189" s="32"/>
      <c r="BE189" s="32"/>
      <c r="BF189" s="32"/>
      <c r="BG189" s="32"/>
      <c r="BH189" s="32">
        <f>IF(ISNUMBER(AO189),AO189,0)-IF(ISNUMBER(AX189),AX189,0)</f>
        <v>428938</v>
      </c>
      <c r="BI189" s="32"/>
      <c r="BJ189" s="32"/>
      <c r="BK189" s="32"/>
      <c r="BL189" s="32"/>
      <c r="CA189" s="4" t="s">
        <v>53</v>
      </c>
    </row>
    <row r="190" spans="1:79" s="5" customFormat="1" ht="12.75" customHeight="1" x14ac:dyDescent="0.2">
      <c r="A190" s="21"/>
      <c r="B190" s="21"/>
      <c r="C190" s="21"/>
      <c r="D190" s="21"/>
      <c r="E190" s="21"/>
      <c r="F190" s="21"/>
      <c r="G190" s="22" t="s">
        <v>147</v>
      </c>
      <c r="H190" s="23"/>
      <c r="I190" s="23"/>
      <c r="J190" s="23"/>
      <c r="K190" s="23"/>
      <c r="L190" s="23"/>
      <c r="M190" s="23"/>
      <c r="N190" s="23"/>
      <c r="O190" s="23"/>
      <c r="P190" s="24"/>
      <c r="Q190" s="20">
        <v>271466</v>
      </c>
      <c r="R190" s="20"/>
      <c r="S190" s="20"/>
      <c r="T190" s="20"/>
      <c r="U190" s="20"/>
      <c r="V190" s="20">
        <v>0</v>
      </c>
      <c r="W190" s="20"/>
      <c r="X190" s="20"/>
      <c r="Y190" s="20"/>
      <c r="Z190" s="20">
        <v>0</v>
      </c>
      <c r="AA190" s="20"/>
      <c r="AB190" s="20"/>
      <c r="AC190" s="20"/>
      <c r="AD190" s="20"/>
      <c r="AE190" s="20">
        <v>0</v>
      </c>
      <c r="AF190" s="20"/>
      <c r="AG190" s="20"/>
      <c r="AH190" s="20"/>
      <c r="AI190" s="20"/>
      <c r="AJ190" s="20">
        <f>IF(ISNUMBER(Q190),Q190,0)-IF(ISNUMBER(Z190),Z190,0)</f>
        <v>271466</v>
      </c>
      <c r="AK190" s="20"/>
      <c r="AL190" s="20"/>
      <c r="AM190" s="20"/>
      <c r="AN190" s="20"/>
      <c r="AO190" s="20">
        <v>428938</v>
      </c>
      <c r="AP190" s="20"/>
      <c r="AQ190" s="20"/>
      <c r="AR190" s="20"/>
      <c r="AS190" s="20"/>
      <c r="AT190" s="20">
        <f>IF(ISNUMBER(V190),V190,0)-IF(ISNUMBER(Z190),Z190,0)-IF(ISNUMBER(AE190),AE190,0)</f>
        <v>0</v>
      </c>
      <c r="AU190" s="20"/>
      <c r="AV190" s="20"/>
      <c r="AW190" s="20"/>
      <c r="AX190" s="20">
        <v>0</v>
      </c>
      <c r="AY190" s="20"/>
      <c r="AZ190" s="20"/>
      <c r="BA190" s="20"/>
      <c r="BB190" s="20"/>
      <c r="BC190" s="20">
        <v>0</v>
      </c>
      <c r="BD190" s="20"/>
      <c r="BE190" s="20"/>
      <c r="BF190" s="20"/>
      <c r="BG190" s="20"/>
      <c r="BH190" s="20">
        <f>IF(ISNUMBER(AO190),AO190,0)-IF(ISNUMBER(AX190),AX190,0)</f>
        <v>428938</v>
      </c>
      <c r="BI190" s="20"/>
      <c r="BJ190" s="20"/>
      <c r="BK190" s="20"/>
      <c r="BL190" s="20"/>
    </row>
    <row r="192" spans="1:79" ht="14.25" customHeight="1" x14ac:dyDescent="0.2">
      <c r="A192" s="55" t="s">
        <v>210</v>
      </c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</row>
    <row r="193" spans="1:79" ht="15" customHeight="1" x14ac:dyDescent="0.2">
      <c r="A193" s="60" t="s">
        <v>203</v>
      </c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</row>
    <row r="194" spans="1:79" ht="42.95" customHeight="1" x14ac:dyDescent="0.2">
      <c r="A194" s="61" t="s">
        <v>135</v>
      </c>
      <c r="B194" s="61"/>
      <c r="C194" s="61"/>
      <c r="D194" s="61"/>
      <c r="E194" s="61"/>
      <c r="F194" s="61"/>
      <c r="G194" s="35" t="s">
        <v>19</v>
      </c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 t="s">
        <v>15</v>
      </c>
      <c r="U194" s="35"/>
      <c r="V194" s="35"/>
      <c r="W194" s="35"/>
      <c r="X194" s="35"/>
      <c r="Y194" s="35"/>
      <c r="Z194" s="35" t="s">
        <v>14</v>
      </c>
      <c r="AA194" s="35"/>
      <c r="AB194" s="35"/>
      <c r="AC194" s="35"/>
      <c r="AD194" s="35"/>
      <c r="AE194" s="35" t="s">
        <v>206</v>
      </c>
      <c r="AF194" s="35"/>
      <c r="AG194" s="35"/>
      <c r="AH194" s="35"/>
      <c r="AI194" s="35"/>
      <c r="AJ194" s="35"/>
      <c r="AK194" s="35" t="s">
        <v>211</v>
      </c>
      <c r="AL194" s="35"/>
      <c r="AM194" s="35"/>
      <c r="AN194" s="35"/>
      <c r="AO194" s="35"/>
      <c r="AP194" s="35"/>
      <c r="AQ194" s="35" t="s">
        <v>224</v>
      </c>
      <c r="AR194" s="35"/>
      <c r="AS194" s="35"/>
      <c r="AT194" s="35"/>
      <c r="AU194" s="35"/>
      <c r="AV194" s="35"/>
      <c r="AW194" s="35" t="s">
        <v>18</v>
      </c>
      <c r="AX194" s="35"/>
      <c r="AY194" s="35"/>
      <c r="AZ194" s="35"/>
      <c r="BA194" s="35"/>
      <c r="BB194" s="35"/>
      <c r="BC194" s="35"/>
      <c r="BD194" s="35"/>
      <c r="BE194" s="35" t="s">
        <v>156</v>
      </c>
      <c r="BF194" s="35"/>
      <c r="BG194" s="35"/>
      <c r="BH194" s="35"/>
      <c r="BI194" s="35"/>
      <c r="BJ194" s="35"/>
      <c r="BK194" s="35"/>
      <c r="BL194" s="35"/>
    </row>
    <row r="195" spans="1:79" ht="21.75" customHeight="1" x14ac:dyDescent="0.2">
      <c r="A195" s="61"/>
      <c r="B195" s="61"/>
      <c r="C195" s="61"/>
      <c r="D195" s="61"/>
      <c r="E195" s="61"/>
      <c r="F195" s="61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</row>
    <row r="196" spans="1:79" ht="15" customHeight="1" x14ac:dyDescent="0.2">
      <c r="A196" s="35">
        <v>1</v>
      </c>
      <c r="B196" s="35"/>
      <c r="C196" s="35"/>
      <c r="D196" s="35"/>
      <c r="E196" s="35"/>
      <c r="F196" s="35"/>
      <c r="G196" s="35">
        <v>2</v>
      </c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>
        <v>3</v>
      </c>
      <c r="U196" s="35"/>
      <c r="V196" s="35"/>
      <c r="W196" s="35"/>
      <c r="X196" s="35"/>
      <c r="Y196" s="35"/>
      <c r="Z196" s="35">
        <v>4</v>
      </c>
      <c r="AA196" s="35"/>
      <c r="AB196" s="35"/>
      <c r="AC196" s="35"/>
      <c r="AD196" s="35"/>
      <c r="AE196" s="35">
        <v>5</v>
      </c>
      <c r="AF196" s="35"/>
      <c r="AG196" s="35"/>
      <c r="AH196" s="35"/>
      <c r="AI196" s="35"/>
      <c r="AJ196" s="35"/>
      <c r="AK196" s="35">
        <v>6</v>
      </c>
      <c r="AL196" s="35"/>
      <c r="AM196" s="35"/>
      <c r="AN196" s="35"/>
      <c r="AO196" s="35"/>
      <c r="AP196" s="35"/>
      <c r="AQ196" s="35">
        <v>7</v>
      </c>
      <c r="AR196" s="35"/>
      <c r="AS196" s="35"/>
      <c r="AT196" s="35"/>
      <c r="AU196" s="35"/>
      <c r="AV196" s="35"/>
      <c r="AW196" s="59">
        <v>8</v>
      </c>
      <c r="AX196" s="59"/>
      <c r="AY196" s="59"/>
      <c r="AZ196" s="59"/>
      <c r="BA196" s="59"/>
      <c r="BB196" s="59"/>
      <c r="BC196" s="59"/>
      <c r="BD196" s="59"/>
      <c r="BE196" s="59">
        <v>9</v>
      </c>
      <c r="BF196" s="59"/>
      <c r="BG196" s="59"/>
      <c r="BH196" s="59"/>
      <c r="BI196" s="59"/>
      <c r="BJ196" s="59"/>
      <c r="BK196" s="59"/>
      <c r="BL196" s="59"/>
    </row>
    <row r="197" spans="1:79" s="1" customFormat="1" ht="18.75" hidden="1" customHeight="1" x14ac:dyDescent="0.2">
      <c r="A197" s="59" t="s">
        <v>64</v>
      </c>
      <c r="B197" s="59"/>
      <c r="C197" s="59"/>
      <c r="D197" s="59"/>
      <c r="E197" s="59"/>
      <c r="F197" s="59"/>
      <c r="G197" s="58" t="s">
        <v>57</v>
      </c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7" t="s">
        <v>80</v>
      </c>
      <c r="U197" s="57"/>
      <c r="V197" s="57"/>
      <c r="W197" s="57"/>
      <c r="X197" s="57"/>
      <c r="Y197" s="57"/>
      <c r="Z197" s="57" t="s">
        <v>81</v>
      </c>
      <c r="AA197" s="57"/>
      <c r="AB197" s="57"/>
      <c r="AC197" s="57"/>
      <c r="AD197" s="57"/>
      <c r="AE197" s="57" t="s">
        <v>82</v>
      </c>
      <c r="AF197" s="57"/>
      <c r="AG197" s="57"/>
      <c r="AH197" s="57"/>
      <c r="AI197" s="57"/>
      <c r="AJ197" s="57"/>
      <c r="AK197" s="57" t="s">
        <v>83</v>
      </c>
      <c r="AL197" s="57"/>
      <c r="AM197" s="57"/>
      <c r="AN197" s="57"/>
      <c r="AO197" s="57"/>
      <c r="AP197" s="57"/>
      <c r="AQ197" s="57" t="s">
        <v>84</v>
      </c>
      <c r="AR197" s="57"/>
      <c r="AS197" s="57"/>
      <c r="AT197" s="57"/>
      <c r="AU197" s="57"/>
      <c r="AV197" s="57"/>
      <c r="AW197" s="58" t="s">
        <v>87</v>
      </c>
      <c r="AX197" s="58"/>
      <c r="AY197" s="58"/>
      <c r="AZ197" s="58"/>
      <c r="BA197" s="58"/>
      <c r="BB197" s="58"/>
      <c r="BC197" s="58"/>
      <c r="BD197" s="58"/>
      <c r="BE197" s="58" t="s">
        <v>88</v>
      </c>
      <c r="BF197" s="58"/>
      <c r="BG197" s="58"/>
      <c r="BH197" s="58"/>
      <c r="BI197" s="58"/>
      <c r="BJ197" s="58"/>
      <c r="BK197" s="58"/>
      <c r="BL197" s="58"/>
      <c r="CA197" s="1" t="s">
        <v>54</v>
      </c>
    </row>
    <row r="198" spans="1:79" s="5" customFormat="1" ht="12.75" customHeight="1" x14ac:dyDescent="0.2">
      <c r="A198" s="21"/>
      <c r="B198" s="21"/>
      <c r="C198" s="21"/>
      <c r="D198" s="21"/>
      <c r="E198" s="21"/>
      <c r="F198" s="21"/>
      <c r="G198" s="54" t="s">
        <v>147</v>
      </c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54"/>
      <c r="AX198" s="54"/>
      <c r="AY198" s="54"/>
      <c r="AZ198" s="54"/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/>
      <c r="BL198" s="54"/>
      <c r="CA198" s="5" t="s">
        <v>55</v>
      </c>
    </row>
    <row r="200" spans="1:79" ht="14.25" customHeight="1" x14ac:dyDescent="0.2">
      <c r="A200" s="55" t="s">
        <v>212</v>
      </c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</row>
    <row r="201" spans="1:79" ht="75" customHeight="1" x14ac:dyDescent="0.2">
      <c r="A201" s="56" t="s">
        <v>198</v>
      </c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</row>
    <row r="203" spans="1:79" ht="14.25" x14ac:dyDescent="0.2">
      <c r="A203" s="55" t="s">
        <v>239</v>
      </c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</row>
    <row r="204" spans="1:79" ht="14.25" x14ac:dyDescent="0.2">
      <c r="A204" s="55" t="s">
        <v>213</v>
      </c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</row>
    <row r="205" spans="1:79" ht="15" customHeight="1" x14ac:dyDescent="0.2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</row>
    <row r="206" spans="1:79" ht="18.95" customHeight="1" x14ac:dyDescent="0.2">
      <c r="A206" s="45" t="s">
        <v>246</v>
      </c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17"/>
      <c r="AC206" s="17"/>
      <c r="AD206" s="17"/>
      <c r="AE206" s="17"/>
      <c r="AF206" s="17"/>
      <c r="AG206" s="17"/>
      <c r="AH206" s="52"/>
      <c r="AI206" s="52"/>
      <c r="AJ206" s="52"/>
      <c r="AK206" s="52"/>
      <c r="AL206" s="52"/>
      <c r="AM206" s="52"/>
      <c r="AN206" s="52"/>
      <c r="AO206" s="52"/>
      <c r="AP206" s="52"/>
      <c r="AQ206" s="17"/>
      <c r="AR206" s="17"/>
      <c r="AS206" s="17"/>
      <c r="AT206" s="17"/>
      <c r="AU206" s="53" t="s">
        <v>247</v>
      </c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</row>
    <row r="207" spans="1:79" ht="12.75" customHeight="1" x14ac:dyDescent="0.2">
      <c r="AB207" s="18"/>
      <c r="AC207" s="18"/>
      <c r="AD207" s="18"/>
      <c r="AE207" s="18"/>
      <c r="AF207" s="18"/>
      <c r="AG207" s="18"/>
      <c r="AH207" s="50" t="s">
        <v>1</v>
      </c>
      <c r="AI207" s="50"/>
      <c r="AJ207" s="50"/>
      <c r="AK207" s="50"/>
      <c r="AL207" s="50"/>
      <c r="AM207" s="50"/>
      <c r="AN207" s="50"/>
      <c r="AO207" s="50"/>
      <c r="AP207" s="50"/>
      <c r="AQ207" s="18"/>
      <c r="AR207" s="18"/>
      <c r="AS207" s="18"/>
      <c r="AT207" s="18"/>
      <c r="AU207" s="50" t="s">
        <v>171</v>
      </c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</row>
    <row r="208" spans="1:79" ht="15" x14ac:dyDescent="0.2">
      <c r="AB208" s="18"/>
      <c r="AC208" s="18"/>
      <c r="AD208" s="18"/>
      <c r="AE208" s="18"/>
      <c r="AF208" s="18"/>
      <c r="AG208" s="18"/>
      <c r="AH208" s="19"/>
      <c r="AI208" s="19"/>
      <c r="AJ208" s="19"/>
      <c r="AK208" s="19"/>
      <c r="AL208" s="19"/>
      <c r="AM208" s="19"/>
      <c r="AN208" s="19"/>
      <c r="AO208" s="19"/>
      <c r="AP208" s="19"/>
      <c r="AQ208" s="18"/>
      <c r="AR208" s="18"/>
      <c r="AS208" s="18"/>
      <c r="AT208" s="18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</row>
    <row r="209" spans="1:58" ht="18" customHeight="1" x14ac:dyDescent="0.2">
      <c r="A209" s="45" t="s">
        <v>248</v>
      </c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18"/>
      <c r="AC209" s="18"/>
      <c r="AD209" s="18"/>
      <c r="AE209" s="18"/>
      <c r="AF209" s="18"/>
      <c r="AG209" s="18"/>
      <c r="AH209" s="47"/>
      <c r="AI209" s="47"/>
      <c r="AJ209" s="47"/>
      <c r="AK209" s="47"/>
      <c r="AL209" s="47"/>
      <c r="AM209" s="47"/>
      <c r="AN209" s="47"/>
      <c r="AO209" s="47"/>
      <c r="AP209" s="47"/>
      <c r="AQ209" s="18"/>
      <c r="AR209" s="18"/>
      <c r="AS209" s="18"/>
      <c r="AT209" s="18"/>
      <c r="AU209" s="48" t="s">
        <v>249</v>
      </c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</row>
    <row r="210" spans="1:58" ht="12" customHeight="1" x14ac:dyDescent="0.2">
      <c r="AB210" s="18"/>
      <c r="AC210" s="18"/>
      <c r="AD210" s="18"/>
      <c r="AE210" s="18"/>
      <c r="AF210" s="18"/>
      <c r="AG210" s="18"/>
      <c r="AH210" s="50" t="s">
        <v>1</v>
      </c>
      <c r="AI210" s="50"/>
      <c r="AJ210" s="50"/>
      <c r="AK210" s="50"/>
      <c r="AL210" s="50"/>
      <c r="AM210" s="50"/>
      <c r="AN210" s="50"/>
      <c r="AO210" s="50"/>
      <c r="AP210" s="50"/>
      <c r="AQ210" s="18"/>
      <c r="AR210" s="18"/>
      <c r="AS210" s="18"/>
      <c r="AT210" s="18"/>
      <c r="AU210" s="50" t="s">
        <v>171</v>
      </c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</row>
  </sheetData>
  <mergeCells count="1278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2:BY42"/>
    <mergeCell ref="A43:BY43"/>
    <mergeCell ref="A44:BY44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BU46:BY46"/>
    <mergeCell ref="A47:D47"/>
    <mergeCell ref="E47:T47"/>
    <mergeCell ref="U47:Y47"/>
    <mergeCell ref="Z47:AD47"/>
    <mergeCell ref="AE47:AH47"/>
    <mergeCell ref="AI47:AM47"/>
    <mergeCell ref="AN47:AR47"/>
    <mergeCell ref="AS47:AW47"/>
    <mergeCell ref="AX47:BA47"/>
    <mergeCell ref="AS46:AW46"/>
    <mergeCell ref="AX46:BA46"/>
    <mergeCell ref="BB46:BF46"/>
    <mergeCell ref="BG46:BK46"/>
    <mergeCell ref="BL46:BP46"/>
    <mergeCell ref="BQ46:BT46"/>
    <mergeCell ref="A45:D46"/>
    <mergeCell ref="E45:T46"/>
    <mergeCell ref="U45:AM45"/>
    <mergeCell ref="AN45:BF45"/>
    <mergeCell ref="BG45:BY45"/>
    <mergeCell ref="U46:Y46"/>
    <mergeCell ref="Z46:AD46"/>
    <mergeCell ref="AE46:AH46"/>
    <mergeCell ref="AI46:AM46"/>
    <mergeCell ref="AN46:AR46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AI49:AM49"/>
    <mergeCell ref="AN49:AR49"/>
    <mergeCell ref="AI48:AM48"/>
    <mergeCell ref="AN48:AR48"/>
    <mergeCell ref="AS48:AW48"/>
    <mergeCell ref="AX48:BA48"/>
    <mergeCell ref="BB48:BF48"/>
    <mergeCell ref="BG48:BK48"/>
    <mergeCell ref="BB47:BF47"/>
    <mergeCell ref="BG47:BK47"/>
    <mergeCell ref="BL47:BP47"/>
    <mergeCell ref="BQ47:BT47"/>
    <mergeCell ref="BU47:BY47"/>
    <mergeCell ref="A48:D48"/>
    <mergeCell ref="E48:T48"/>
    <mergeCell ref="U48:Y48"/>
    <mergeCell ref="Z48:AD48"/>
    <mergeCell ref="AE48:AH48"/>
    <mergeCell ref="BG55:BK55"/>
    <mergeCell ref="BL55:BP55"/>
    <mergeCell ref="BQ55:BT55"/>
    <mergeCell ref="BU55:BY55"/>
    <mergeCell ref="A56:E56"/>
    <mergeCell ref="F56:T56"/>
    <mergeCell ref="U56:Y56"/>
    <mergeCell ref="Z56:AD56"/>
    <mergeCell ref="AE56:AH56"/>
    <mergeCell ref="AI56:AM56"/>
    <mergeCell ref="AE55:AH55"/>
    <mergeCell ref="AI55:AM55"/>
    <mergeCell ref="AN55:AR55"/>
    <mergeCell ref="AS55:AW55"/>
    <mergeCell ref="AX55:BA55"/>
    <mergeCell ref="BB55:BF55"/>
    <mergeCell ref="BU49:BY49"/>
    <mergeCell ref="A52:BL52"/>
    <mergeCell ref="A53:BY53"/>
    <mergeCell ref="A54:E55"/>
    <mergeCell ref="F54:T55"/>
    <mergeCell ref="U54:AM54"/>
    <mergeCell ref="AN54:BF54"/>
    <mergeCell ref="BG54:BY54"/>
    <mergeCell ref="U55:Y55"/>
    <mergeCell ref="Z55:AD55"/>
    <mergeCell ref="AS49:AW49"/>
    <mergeCell ref="AX49:BA49"/>
    <mergeCell ref="BB49:BF49"/>
    <mergeCell ref="BG49:BK49"/>
    <mergeCell ref="BL49:BP49"/>
    <mergeCell ref="BQ49:BT49"/>
    <mergeCell ref="AX57:BA57"/>
    <mergeCell ref="BB57:BF57"/>
    <mergeCell ref="BG57:BK57"/>
    <mergeCell ref="BL57:BP57"/>
    <mergeCell ref="BQ57:BT57"/>
    <mergeCell ref="BU57:BY57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N57:AR57"/>
    <mergeCell ref="AS57:AW57"/>
    <mergeCell ref="AN56:AR56"/>
    <mergeCell ref="AS56:AW56"/>
    <mergeCell ref="AX56:BA56"/>
    <mergeCell ref="BB56:BF56"/>
    <mergeCell ref="BG56:BK56"/>
    <mergeCell ref="BL56:BP56"/>
    <mergeCell ref="BU58:BY58"/>
    <mergeCell ref="A60:BL60"/>
    <mergeCell ref="A61:BK61"/>
    <mergeCell ref="A62:D63"/>
    <mergeCell ref="E62:W63"/>
    <mergeCell ref="X62:AQ62"/>
    <mergeCell ref="AR62:BK62"/>
    <mergeCell ref="X63:AB63"/>
    <mergeCell ref="AC63:AG63"/>
    <mergeCell ref="AN58:AR58"/>
    <mergeCell ref="AS58:AW58"/>
    <mergeCell ref="AX58:BA58"/>
    <mergeCell ref="BB58:BF58"/>
    <mergeCell ref="BG58:BK58"/>
    <mergeCell ref="BL58:BP58"/>
    <mergeCell ref="A58:E58"/>
    <mergeCell ref="F58:T58"/>
    <mergeCell ref="U58:Y58"/>
    <mergeCell ref="Z58:AD58"/>
    <mergeCell ref="AE58:AH58"/>
    <mergeCell ref="AI58:AM58"/>
    <mergeCell ref="A69:BL69"/>
    <mergeCell ref="A70:BK70"/>
    <mergeCell ref="AW67:BA67"/>
    <mergeCell ref="BB67:BF67"/>
    <mergeCell ref="BG67:BK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R64:AV64"/>
    <mergeCell ref="AW64:BA64"/>
    <mergeCell ref="BB64:BF64"/>
    <mergeCell ref="BG64:BK64"/>
    <mergeCell ref="A65:D65"/>
    <mergeCell ref="E65:W65"/>
    <mergeCell ref="X65:AB65"/>
    <mergeCell ref="AC65:AG65"/>
    <mergeCell ref="AH65:AL65"/>
    <mergeCell ref="AM65:AQ65"/>
    <mergeCell ref="A64:D64"/>
    <mergeCell ref="E64:W64"/>
    <mergeCell ref="X64:AB64"/>
    <mergeCell ref="AC64:AG64"/>
    <mergeCell ref="AH64:AL64"/>
    <mergeCell ref="AM64:AQ64"/>
    <mergeCell ref="BB72:BF72"/>
    <mergeCell ref="BG72:BK72"/>
    <mergeCell ref="A73:E73"/>
    <mergeCell ref="F73:W73"/>
    <mergeCell ref="X73:AB73"/>
    <mergeCell ref="AC73:AG73"/>
    <mergeCell ref="AH73:AL73"/>
    <mergeCell ref="AM73:AQ73"/>
    <mergeCell ref="AR73:AV73"/>
    <mergeCell ref="AW73:BA73"/>
    <mergeCell ref="A71:E72"/>
    <mergeCell ref="F71:W72"/>
    <mergeCell ref="X71:AQ71"/>
    <mergeCell ref="AR71:BK71"/>
    <mergeCell ref="X72:AB72"/>
    <mergeCell ref="AC72:AG72"/>
    <mergeCell ref="AH72:AL72"/>
    <mergeCell ref="AM72:AQ72"/>
    <mergeCell ref="AR72:AV72"/>
    <mergeCell ref="AW72:BA72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X81:BA81"/>
    <mergeCell ref="BB81:BF81"/>
    <mergeCell ref="BG81:BK81"/>
    <mergeCell ref="BL81:BP81"/>
    <mergeCell ref="BQ81:BT81"/>
    <mergeCell ref="BU81:BY81"/>
    <mergeCell ref="U81:Y81"/>
    <mergeCell ref="Z81:AD81"/>
    <mergeCell ref="AE81:AH81"/>
    <mergeCell ref="AI81:AM81"/>
    <mergeCell ref="AN81:AR81"/>
    <mergeCell ref="AS81:AW81"/>
    <mergeCell ref="BB75:BF75"/>
    <mergeCell ref="BG75:BK75"/>
    <mergeCell ref="A77:BL77"/>
    <mergeCell ref="A78:BL78"/>
    <mergeCell ref="A79:BY79"/>
    <mergeCell ref="A80:C81"/>
    <mergeCell ref="D80:T81"/>
    <mergeCell ref="U80:AM80"/>
    <mergeCell ref="AN80:BF80"/>
    <mergeCell ref="BG80:BY80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BQ82:BT82"/>
    <mergeCell ref="BU82:BY82"/>
    <mergeCell ref="A83:C83"/>
    <mergeCell ref="D83:T83"/>
    <mergeCell ref="U83:Y83"/>
    <mergeCell ref="Z83:AD83"/>
    <mergeCell ref="AE83:AH83"/>
    <mergeCell ref="AI83:AM83"/>
    <mergeCell ref="AN83:AR83"/>
    <mergeCell ref="AS83:AW83"/>
    <mergeCell ref="AN82:AR82"/>
    <mergeCell ref="AS82:AW82"/>
    <mergeCell ref="AX82:BA82"/>
    <mergeCell ref="BB82:BF82"/>
    <mergeCell ref="BG82:BK82"/>
    <mergeCell ref="BL82:BP82"/>
    <mergeCell ref="A82:C82"/>
    <mergeCell ref="D82:T82"/>
    <mergeCell ref="U82:Y82"/>
    <mergeCell ref="Z82:AD82"/>
    <mergeCell ref="AE82:AH82"/>
    <mergeCell ref="AI82:AM82"/>
    <mergeCell ref="AE92:AI92"/>
    <mergeCell ref="AJ92:AN92"/>
    <mergeCell ref="A91:C91"/>
    <mergeCell ref="D91:T91"/>
    <mergeCell ref="U91:Y91"/>
    <mergeCell ref="Z91:AD91"/>
    <mergeCell ref="AE91:AI91"/>
    <mergeCell ref="AJ91:AN91"/>
    <mergeCell ref="AE90:AI90"/>
    <mergeCell ref="AJ90:AN90"/>
    <mergeCell ref="AO90:AS90"/>
    <mergeCell ref="AT90:AX90"/>
    <mergeCell ref="AY90:BC90"/>
    <mergeCell ref="BD90:BH90"/>
    <mergeCell ref="BQ84:BT84"/>
    <mergeCell ref="BU84:BY84"/>
    <mergeCell ref="A87:BL87"/>
    <mergeCell ref="A88:BH88"/>
    <mergeCell ref="A89:C90"/>
    <mergeCell ref="D89:T90"/>
    <mergeCell ref="U89:AN89"/>
    <mergeCell ref="AO89:BH89"/>
    <mergeCell ref="U90:Y90"/>
    <mergeCell ref="Z90:AD90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BJ98:BX98"/>
    <mergeCell ref="AF99:AJ99"/>
    <mergeCell ref="AK99:AO99"/>
    <mergeCell ref="AP99:AT99"/>
    <mergeCell ref="AU99:AY99"/>
    <mergeCell ref="AZ99:BD99"/>
    <mergeCell ref="BE99:BI99"/>
    <mergeCell ref="BJ99:BN99"/>
    <mergeCell ref="BO99:BS99"/>
    <mergeCell ref="BT99:BX99"/>
    <mergeCell ref="A98:C99"/>
    <mergeCell ref="D98:P99"/>
    <mergeCell ref="Q98:U99"/>
    <mergeCell ref="V98:AE99"/>
    <mergeCell ref="AF98:AT98"/>
    <mergeCell ref="AU98:BI98"/>
    <mergeCell ref="AO93:AS93"/>
    <mergeCell ref="AT93:AX93"/>
    <mergeCell ref="AY93:BC93"/>
    <mergeCell ref="BD93:BH93"/>
    <mergeCell ref="A96:BL96"/>
    <mergeCell ref="A97:BL97"/>
    <mergeCell ref="AJ94:AN94"/>
    <mergeCell ref="AO94:AS94"/>
    <mergeCell ref="AT94:AX94"/>
    <mergeCell ref="AY94:BC94"/>
    <mergeCell ref="A93:C93"/>
    <mergeCell ref="D93:T93"/>
    <mergeCell ref="U93:Y93"/>
    <mergeCell ref="Z93:AD93"/>
    <mergeCell ref="AE93:AI93"/>
    <mergeCell ref="AJ93:AN93"/>
    <mergeCell ref="BE101:BI101"/>
    <mergeCell ref="BJ101:BN101"/>
    <mergeCell ref="BO101:BS101"/>
    <mergeCell ref="BT101:BX101"/>
    <mergeCell ref="A102:C102"/>
    <mergeCell ref="D102:P102"/>
    <mergeCell ref="Q102:U102"/>
    <mergeCell ref="V102:AE102"/>
    <mergeCell ref="AF102:AJ102"/>
    <mergeCell ref="AK102:AO102"/>
    <mergeCell ref="BT100:BX100"/>
    <mergeCell ref="A101:C101"/>
    <mergeCell ref="D101:P101"/>
    <mergeCell ref="Q101:U101"/>
    <mergeCell ref="V101:AE101"/>
    <mergeCell ref="AF101:AJ101"/>
    <mergeCell ref="AK101:AO101"/>
    <mergeCell ref="AP101:AT101"/>
    <mergeCell ref="AU101:AY101"/>
    <mergeCell ref="AZ101:BD101"/>
    <mergeCell ref="AP100:AT100"/>
    <mergeCell ref="AU100:AY100"/>
    <mergeCell ref="AZ100:BD100"/>
    <mergeCell ref="BE100:BI100"/>
    <mergeCell ref="BJ100:BN100"/>
    <mergeCell ref="BO100:BS100"/>
    <mergeCell ref="A100:C100"/>
    <mergeCell ref="D100:P100"/>
    <mergeCell ref="Q100:U100"/>
    <mergeCell ref="V100:AE100"/>
    <mergeCell ref="AF100:AJ100"/>
    <mergeCell ref="AK100:AO100"/>
    <mergeCell ref="AP113:AT113"/>
    <mergeCell ref="AU113:AY113"/>
    <mergeCell ref="AZ113:BD113"/>
    <mergeCell ref="BE113:BI113"/>
    <mergeCell ref="A114:C114"/>
    <mergeCell ref="D114:P114"/>
    <mergeCell ref="Q114:U114"/>
    <mergeCell ref="V114:AE114"/>
    <mergeCell ref="AF114:AJ114"/>
    <mergeCell ref="AK114:AO114"/>
    <mergeCell ref="BT102:BX102"/>
    <mergeCell ref="A111:BL111"/>
    <mergeCell ref="A112:C113"/>
    <mergeCell ref="D112:P113"/>
    <mergeCell ref="Q112:U113"/>
    <mergeCell ref="V112:AE113"/>
    <mergeCell ref="AF112:AT112"/>
    <mergeCell ref="AU112:BI112"/>
    <mergeCell ref="AF113:AJ113"/>
    <mergeCell ref="AK113:AO113"/>
    <mergeCell ref="AP102:AT102"/>
    <mergeCell ref="AU102:AY102"/>
    <mergeCell ref="AZ102:BD102"/>
    <mergeCell ref="BE102:BI102"/>
    <mergeCell ref="BJ102:BN102"/>
    <mergeCell ref="BO102:BS102"/>
    <mergeCell ref="BE115:BI115"/>
    <mergeCell ref="A116:C116"/>
    <mergeCell ref="D116:P116"/>
    <mergeCell ref="Q116:U116"/>
    <mergeCell ref="V116:AE116"/>
    <mergeCell ref="AF116:AJ116"/>
    <mergeCell ref="AK116:AO116"/>
    <mergeCell ref="AP114:AT114"/>
    <mergeCell ref="AU114:AY114"/>
    <mergeCell ref="AZ114:BD114"/>
    <mergeCell ref="BE114:BI114"/>
    <mergeCell ref="A115:C115"/>
    <mergeCell ref="D115:P115"/>
    <mergeCell ref="Q115:U115"/>
    <mergeCell ref="V115:AE115"/>
    <mergeCell ref="AF115:AJ115"/>
    <mergeCell ref="AK115:AO115"/>
    <mergeCell ref="BN128:BR128"/>
    <mergeCell ref="A127:T128"/>
    <mergeCell ref="U127:AD127"/>
    <mergeCell ref="AE127:AN127"/>
    <mergeCell ref="AO127:AX127"/>
    <mergeCell ref="AY127:BH127"/>
    <mergeCell ref="BI127:BR127"/>
    <mergeCell ref="U128:Y128"/>
    <mergeCell ref="Z128:AD128"/>
    <mergeCell ref="AE128:AI128"/>
    <mergeCell ref="AJ128:AN128"/>
    <mergeCell ref="AP116:AT116"/>
    <mergeCell ref="AU116:AY116"/>
    <mergeCell ref="AZ116:BD116"/>
    <mergeCell ref="BE116:BI116"/>
    <mergeCell ref="A125:BL125"/>
    <mergeCell ref="A126:BR126"/>
    <mergeCell ref="BE117:BI117"/>
    <mergeCell ref="A118:C118"/>
    <mergeCell ref="D118:P118"/>
    <mergeCell ref="Q118:U118"/>
    <mergeCell ref="BN131:BR131"/>
    <mergeCell ref="A134:BL134"/>
    <mergeCell ref="BI132:BM132"/>
    <mergeCell ref="BN132:BR132"/>
    <mergeCell ref="A131:T131"/>
    <mergeCell ref="U131:Y131"/>
    <mergeCell ref="Z131:AD131"/>
    <mergeCell ref="AE131:AI131"/>
    <mergeCell ref="AJ131:AN131"/>
    <mergeCell ref="AO131:AS131"/>
    <mergeCell ref="AO130:AS130"/>
    <mergeCell ref="AT130:AX130"/>
    <mergeCell ref="AY130:BC130"/>
    <mergeCell ref="BD130:BH130"/>
    <mergeCell ref="BI130:BM130"/>
    <mergeCell ref="BN130:BR130"/>
    <mergeCell ref="AT129:AX129"/>
    <mergeCell ref="AY129:BC129"/>
    <mergeCell ref="BD129:BH129"/>
    <mergeCell ref="BI129:BM129"/>
    <mergeCell ref="BN129:BR129"/>
    <mergeCell ref="A130:T130"/>
    <mergeCell ref="U130:Y130"/>
    <mergeCell ref="Z130:AD130"/>
    <mergeCell ref="AE130:AI130"/>
    <mergeCell ref="AJ130:AN130"/>
    <mergeCell ref="A129:T129"/>
    <mergeCell ref="U129:Y129"/>
    <mergeCell ref="Z129:AD129"/>
    <mergeCell ref="AE129:AI129"/>
    <mergeCell ref="AJ129:AN129"/>
    <mergeCell ref="AO129:AS129"/>
    <mergeCell ref="A138:C138"/>
    <mergeCell ref="D138:V138"/>
    <mergeCell ref="W138:Y138"/>
    <mergeCell ref="Z138:AB138"/>
    <mergeCell ref="AC138:AE138"/>
    <mergeCell ref="AF138:AH138"/>
    <mergeCell ref="BJ136:BL137"/>
    <mergeCell ref="W137:Y137"/>
    <mergeCell ref="Z137:AB137"/>
    <mergeCell ref="AC137:AE137"/>
    <mergeCell ref="AF137:AH137"/>
    <mergeCell ref="AI137:AK137"/>
    <mergeCell ref="AL137:AN137"/>
    <mergeCell ref="AO137:AQ137"/>
    <mergeCell ref="AR137:AT137"/>
    <mergeCell ref="BG135:BL135"/>
    <mergeCell ref="W136:AB136"/>
    <mergeCell ref="AC136:AH136"/>
    <mergeCell ref="AI136:AN136"/>
    <mergeCell ref="AO136:AT136"/>
    <mergeCell ref="AU136:AW137"/>
    <mergeCell ref="AX136:AZ137"/>
    <mergeCell ref="BA136:BC137"/>
    <mergeCell ref="BD136:BF137"/>
    <mergeCell ref="BG136:BI137"/>
    <mergeCell ref="A135:C137"/>
    <mergeCell ref="D135:V137"/>
    <mergeCell ref="W135:AH135"/>
    <mergeCell ref="AI135:AT135"/>
    <mergeCell ref="AU135:AZ135"/>
    <mergeCell ref="BA135:BF135"/>
    <mergeCell ref="BA139:BC139"/>
    <mergeCell ref="BD139:BF139"/>
    <mergeCell ref="BG139:BI139"/>
    <mergeCell ref="BJ139:BL139"/>
    <mergeCell ref="A140:C140"/>
    <mergeCell ref="D140:V140"/>
    <mergeCell ref="W140:Y140"/>
    <mergeCell ref="Z140:AB140"/>
    <mergeCell ref="AC140:AE140"/>
    <mergeCell ref="AF140:AH140"/>
    <mergeCell ref="AI139:AK139"/>
    <mergeCell ref="AL139:AN139"/>
    <mergeCell ref="AO139:AQ139"/>
    <mergeCell ref="AR139:AT139"/>
    <mergeCell ref="AU139:AW139"/>
    <mergeCell ref="AX139:AZ139"/>
    <mergeCell ref="BA138:BC138"/>
    <mergeCell ref="BD138:BF138"/>
    <mergeCell ref="BG138:BI138"/>
    <mergeCell ref="BJ138:BL138"/>
    <mergeCell ref="A139:C139"/>
    <mergeCell ref="D139:V139"/>
    <mergeCell ref="W139:Y139"/>
    <mergeCell ref="Z139:AB139"/>
    <mergeCell ref="AC139:AE139"/>
    <mergeCell ref="AF139:AH139"/>
    <mergeCell ref="AI138:AK138"/>
    <mergeCell ref="AL138:AN138"/>
    <mergeCell ref="AO138:AQ138"/>
    <mergeCell ref="AR138:AT138"/>
    <mergeCell ref="AU138:AW138"/>
    <mergeCell ref="AX138:AZ138"/>
    <mergeCell ref="AP147:AT147"/>
    <mergeCell ref="AU147:AY147"/>
    <mergeCell ref="AZ147:BD147"/>
    <mergeCell ref="BE147:BI147"/>
    <mergeCell ref="BJ147:BN147"/>
    <mergeCell ref="BO147:BS147"/>
    <mergeCell ref="A145:BS145"/>
    <mergeCell ref="A146:F147"/>
    <mergeCell ref="G146:S147"/>
    <mergeCell ref="T146:Z147"/>
    <mergeCell ref="AA146:AO146"/>
    <mergeCell ref="AP146:BD146"/>
    <mergeCell ref="BE146:BS146"/>
    <mergeCell ref="AA147:AE147"/>
    <mergeCell ref="AF147:AJ147"/>
    <mergeCell ref="AK147:AO147"/>
    <mergeCell ref="BA140:BC140"/>
    <mergeCell ref="BD140:BF140"/>
    <mergeCell ref="BG140:BI140"/>
    <mergeCell ref="BJ140:BL140"/>
    <mergeCell ref="A143:BL143"/>
    <mergeCell ref="A144:BS144"/>
    <mergeCell ref="AL141:AN141"/>
    <mergeCell ref="AO141:AQ141"/>
    <mergeCell ref="AR141:AT141"/>
    <mergeCell ref="AU141:AW141"/>
    <mergeCell ref="AI140:AK140"/>
    <mergeCell ref="AL140:AN140"/>
    <mergeCell ref="AO140:AQ140"/>
    <mergeCell ref="AR140:AT140"/>
    <mergeCell ref="AU140:AW140"/>
    <mergeCell ref="AX140:AZ140"/>
    <mergeCell ref="T150:Z150"/>
    <mergeCell ref="AA150:AE150"/>
    <mergeCell ref="AF150:AJ150"/>
    <mergeCell ref="AK150:AO150"/>
    <mergeCell ref="AP149:AT149"/>
    <mergeCell ref="AU149:AY149"/>
    <mergeCell ref="AZ149:BD149"/>
    <mergeCell ref="BE149:BI149"/>
    <mergeCell ref="BJ149:BN149"/>
    <mergeCell ref="BO149:BS149"/>
    <mergeCell ref="A149:F149"/>
    <mergeCell ref="G149:S149"/>
    <mergeCell ref="T149:Z149"/>
    <mergeCell ref="AA149:AE149"/>
    <mergeCell ref="AF149:AJ149"/>
    <mergeCell ref="AK149:AO149"/>
    <mergeCell ref="AP148:AT148"/>
    <mergeCell ref="AU148:AY148"/>
    <mergeCell ref="AZ148:BD148"/>
    <mergeCell ref="BE148:BI148"/>
    <mergeCell ref="BJ148:BN148"/>
    <mergeCell ref="BO148:BS148"/>
    <mergeCell ref="A148:F148"/>
    <mergeCell ref="G148:S148"/>
    <mergeCell ref="T148:Z148"/>
    <mergeCell ref="AA148:AE148"/>
    <mergeCell ref="AF148:AJ148"/>
    <mergeCell ref="AK148:AO148"/>
    <mergeCell ref="AP156:AT156"/>
    <mergeCell ref="AU156:AY156"/>
    <mergeCell ref="AZ156:BD156"/>
    <mergeCell ref="A157:F157"/>
    <mergeCell ref="G157:S157"/>
    <mergeCell ref="T157:Z157"/>
    <mergeCell ref="AA157:AE157"/>
    <mergeCell ref="AF157:AJ157"/>
    <mergeCell ref="AK157:AO157"/>
    <mergeCell ref="AP157:AT157"/>
    <mergeCell ref="A153:BL153"/>
    <mergeCell ref="A154:BD154"/>
    <mergeCell ref="A155:F156"/>
    <mergeCell ref="G155:S156"/>
    <mergeCell ref="T155:Z156"/>
    <mergeCell ref="AA155:AO155"/>
    <mergeCell ref="AP155:BD155"/>
    <mergeCell ref="AA156:AE156"/>
    <mergeCell ref="AF156:AJ156"/>
    <mergeCell ref="AK156:AO156"/>
    <mergeCell ref="AZ158:BD158"/>
    <mergeCell ref="A159:F159"/>
    <mergeCell ref="G159:S159"/>
    <mergeCell ref="T159:Z159"/>
    <mergeCell ref="AA159:AE159"/>
    <mergeCell ref="AF159:AJ159"/>
    <mergeCell ref="AK159:AO159"/>
    <mergeCell ref="AP159:AT159"/>
    <mergeCell ref="AU159:AY159"/>
    <mergeCell ref="AZ159:BD159"/>
    <mergeCell ref="AU157:AY157"/>
    <mergeCell ref="AZ157:BD157"/>
    <mergeCell ref="A158:F158"/>
    <mergeCell ref="G158:S158"/>
    <mergeCell ref="T158:Z158"/>
    <mergeCell ref="AA158:AE158"/>
    <mergeCell ref="AF158:AJ158"/>
    <mergeCell ref="AK158:AO158"/>
    <mergeCell ref="AP158:AT158"/>
    <mergeCell ref="AU158:AY158"/>
    <mergeCell ref="BB165:BF165"/>
    <mergeCell ref="BG165:BJ165"/>
    <mergeCell ref="BK165:BO165"/>
    <mergeCell ref="BP165:BS165"/>
    <mergeCell ref="A166:M166"/>
    <mergeCell ref="N166:U166"/>
    <mergeCell ref="V166:Z166"/>
    <mergeCell ref="AA166:AE166"/>
    <mergeCell ref="AF166:AI166"/>
    <mergeCell ref="AJ166:AN166"/>
    <mergeCell ref="AA165:AE165"/>
    <mergeCell ref="AF165:AI165"/>
    <mergeCell ref="AJ165:AN165"/>
    <mergeCell ref="AO165:AR165"/>
    <mergeCell ref="AS165:AW165"/>
    <mergeCell ref="AX165:BA165"/>
    <mergeCell ref="A162:BL162"/>
    <mergeCell ref="A163:BM163"/>
    <mergeCell ref="A164:M165"/>
    <mergeCell ref="N164:U165"/>
    <mergeCell ref="V164:Z165"/>
    <mergeCell ref="AA164:AI164"/>
    <mergeCell ref="AJ164:AR164"/>
    <mergeCell ref="AS164:BA164"/>
    <mergeCell ref="BB164:BJ164"/>
    <mergeCell ref="BK164:BS164"/>
    <mergeCell ref="BB167:BF167"/>
    <mergeCell ref="BG167:BJ167"/>
    <mergeCell ref="BK167:BO167"/>
    <mergeCell ref="BP167:BS167"/>
    <mergeCell ref="A168:M168"/>
    <mergeCell ref="N168:U168"/>
    <mergeCell ref="V168:Z168"/>
    <mergeCell ref="AA168:AE168"/>
    <mergeCell ref="AF168:AI168"/>
    <mergeCell ref="AJ168:AN168"/>
    <mergeCell ref="BP166:BS166"/>
    <mergeCell ref="A167:M167"/>
    <mergeCell ref="N167:U167"/>
    <mergeCell ref="V167:Z167"/>
    <mergeCell ref="AA167:AE167"/>
    <mergeCell ref="AF167:AI167"/>
    <mergeCell ref="AJ167:AN167"/>
    <mergeCell ref="AO167:AR167"/>
    <mergeCell ref="AS167:AW167"/>
    <mergeCell ref="AX167:BA167"/>
    <mergeCell ref="AO166:AR166"/>
    <mergeCell ref="AS166:AW166"/>
    <mergeCell ref="AX166:BA166"/>
    <mergeCell ref="BB166:BF166"/>
    <mergeCell ref="BG166:BJ166"/>
    <mergeCell ref="BK166:BO166"/>
    <mergeCell ref="AQ176:AV177"/>
    <mergeCell ref="AW176:BF176"/>
    <mergeCell ref="BG176:BL177"/>
    <mergeCell ref="AW177:BA177"/>
    <mergeCell ref="BB177:BF177"/>
    <mergeCell ref="A178:F178"/>
    <mergeCell ref="G178:S178"/>
    <mergeCell ref="T178:Y178"/>
    <mergeCell ref="Z178:AD178"/>
    <mergeCell ref="AE178:AJ178"/>
    <mergeCell ref="A176:F177"/>
    <mergeCell ref="G176:S177"/>
    <mergeCell ref="T176:Y177"/>
    <mergeCell ref="Z176:AD177"/>
    <mergeCell ref="AE176:AJ177"/>
    <mergeCell ref="AK176:AP177"/>
    <mergeCell ref="BP168:BS168"/>
    <mergeCell ref="A170:BL170"/>
    <mergeCell ref="A171:BL171"/>
    <mergeCell ref="A173:BL173"/>
    <mergeCell ref="A174:BL174"/>
    <mergeCell ref="A175:BL175"/>
    <mergeCell ref="AO168:AR168"/>
    <mergeCell ref="AS168:AW168"/>
    <mergeCell ref="AX168:BA168"/>
    <mergeCell ref="BB168:BF168"/>
    <mergeCell ref="BG168:BJ168"/>
    <mergeCell ref="BK168:BO168"/>
    <mergeCell ref="AK180:AP180"/>
    <mergeCell ref="AQ180:AV180"/>
    <mergeCell ref="AW180:BA180"/>
    <mergeCell ref="BB180:BF180"/>
    <mergeCell ref="BG180:BL180"/>
    <mergeCell ref="A182:BL182"/>
    <mergeCell ref="AK179:AP179"/>
    <mergeCell ref="AQ179:AV179"/>
    <mergeCell ref="AW179:BA179"/>
    <mergeCell ref="BB179:BF179"/>
    <mergeCell ref="BG179:BL179"/>
    <mergeCell ref="A180:F180"/>
    <mergeCell ref="G180:S180"/>
    <mergeCell ref="T180:Y180"/>
    <mergeCell ref="Z180:AD180"/>
    <mergeCell ref="AE180:AJ180"/>
    <mergeCell ref="AK178:AP178"/>
    <mergeCell ref="AQ178:AV178"/>
    <mergeCell ref="AW178:BA178"/>
    <mergeCell ref="BB178:BF178"/>
    <mergeCell ref="BG178:BL178"/>
    <mergeCell ref="A179:F179"/>
    <mergeCell ref="G179:S179"/>
    <mergeCell ref="T179:Y179"/>
    <mergeCell ref="Z179:AD179"/>
    <mergeCell ref="AE179:AJ179"/>
    <mergeCell ref="AT185:AW186"/>
    <mergeCell ref="AX185:BG185"/>
    <mergeCell ref="BH185:BL186"/>
    <mergeCell ref="Z186:AD186"/>
    <mergeCell ref="AE186:AI186"/>
    <mergeCell ref="AX186:BB186"/>
    <mergeCell ref="BC186:BG186"/>
    <mergeCell ref="A183:BL183"/>
    <mergeCell ref="A184:F186"/>
    <mergeCell ref="G184:P186"/>
    <mergeCell ref="Q184:AN184"/>
    <mergeCell ref="AO184:BL184"/>
    <mergeCell ref="Q185:U186"/>
    <mergeCell ref="V185:Y186"/>
    <mergeCell ref="Z185:AI185"/>
    <mergeCell ref="AJ185:AN186"/>
    <mergeCell ref="AO185:AS186"/>
    <mergeCell ref="AE189:AI189"/>
    <mergeCell ref="AJ188:AN188"/>
    <mergeCell ref="AO188:AS188"/>
    <mergeCell ref="AT188:AW188"/>
    <mergeCell ref="AX188:BB188"/>
    <mergeCell ref="BC188:BG188"/>
    <mergeCell ref="BH188:BL188"/>
    <mergeCell ref="A188:F188"/>
    <mergeCell ref="G188:P188"/>
    <mergeCell ref="Q188:U188"/>
    <mergeCell ref="V188:Y188"/>
    <mergeCell ref="Z188:AD188"/>
    <mergeCell ref="AE188:AI188"/>
    <mergeCell ref="AJ187:AN187"/>
    <mergeCell ref="AO187:AS187"/>
    <mergeCell ref="AT187:AW187"/>
    <mergeCell ref="AX187:BB187"/>
    <mergeCell ref="BC187:BG187"/>
    <mergeCell ref="BH187:BL187"/>
    <mergeCell ref="A187:F187"/>
    <mergeCell ref="G187:P187"/>
    <mergeCell ref="Q187:U187"/>
    <mergeCell ref="V187:Y187"/>
    <mergeCell ref="Z187:AD187"/>
    <mergeCell ref="AE187:AI187"/>
    <mergeCell ref="BE194:BL195"/>
    <mergeCell ref="A196:F196"/>
    <mergeCell ref="G196:S196"/>
    <mergeCell ref="T196:Y196"/>
    <mergeCell ref="Z196:AD196"/>
    <mergeCell ref="AE196:AJ196"/>
    <mergeCell ref="AK196:AP196"/>
    <mergeCell ref="AQ196:AV196"/>
    <mergeCell ref="AW196:BD196"/>
    <mergeCell ref="BE196:BL196"/>
    <mergeCell ref="A192:BL192"/>
    <mergeCell ref="A193:BL193"/>
    <mergeCell ref="A194:F195"/>
    <mergeCell ref="G194:S195"/>
    <mergeCell ref="T194:Y195"/>
    <mergeCell ref="Z194:AD195"/>
    <mergeCell ref="AE194:AJ195"/>
    <mergeCell ref="AK194:AP195"/>
    <mergeCell ref="AQ194:AV195"/>
    <mergeCell ref="AW194:BD195"/>
    <mergeCell ref="A203:BL203"/>
    <mergeCell ref="A204:BL204"/>
    <mergeCell ref="AQ197:AV197"/>
    <mergeCell ref="AW197:BD197"/>
    <mergeCell ref="BE197:BL197"/>
    <mergeCell ref="A198:F198"/>
    <mergeCell ref="G198:S198"/>
    <mergeCell ref="T198:Y198"/>
    <mergeCell ref="Z198:AD198"/>
    <mergeCell ref="AE198:AJ198"/>
    <mergeCell ref="AK198:AP198"/>
    <mergeCell ref="AQ198:AV198"/>
    <mergeCell ref="A197:F197"/>
    <mergeCell ref="G197:S197"/>
    <mergeCell ref="T197:Y197"/>
    <mergeCell ref="Z197:AD197"/>
    <mergeCell ref="AE197:AJ197"/>
    <mergeCell ref="AK197:AP197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09:AA209"/>
    <mergeCell ref="AH209:AP209"/>
    <mergeCell ref="AU209:BF209"/>
    <mergeCell ref="AH210:AP210"/>
    <mergeCell ref="AU210:BF210"/>
    <mergeCell ref="A31:D31"/>
    <mergeCell ref="E31:T31"/>
    <mergeCell ref="U31:Y31"/>
    <mergeCell ref="Z31:AD31"/>
    <mergeCell ref="AE31:AH31"/>
    <mergeCell ref="A205:BL205"/>
    <mergeCell ref="A206:AA206"/>
    <mergeCell ref="AH206:AP206"/>
    <mergeCell ref="AU206:BF206"/>
    <mergeCell ref="AH207:AP207"/>
    <mergeCell ref="AU207:BF207"/>
    <mergeCell ref="AW198:BD198"/>
    <mergeCell ref="BE198:BL198"/>
    <mergeCell ref="A200:BL200"/>
    <mergeCell ref="A201:BL201"/>
    <mergeCell ref="A67:D67"/>
    <mergeCell ref="E67:W67"/>
    <mergeCell ref="X67:AB67"/>
    <mergeCell ref="AC67:AG67"/>
    <mergeCell ref="AH67:AL67"/>
    <mergeCell ref="AM67:AQ67"/>
    <mergeCell ref="AR67:AV67"/>
    <mergeCell ref="BU50:BY50"/>
    <mergeCell ref="AS50:AW50"/>
    <mergeCell ref="AX50:BA50"/>
    <mergeCell ref="BB50:BF50"/>
    <mergeCell ref="BG50:BK50"/>
    <mergeCell ref="BL50:BP50"/>
    <mergeCell ref="BQ50:BT50"/>
    <mergeCell ref="A50:D50"/>
    <mergeCell ref="E50:T50"/>
    <mergeCell ref="U50:Y50"/>
    <mergeCell ref="Z50:AD50"/>
    <mergeCell ref="AE50:AH50"/>
    <mergeCell ref="AI50:AM50"/>
    <mergeCell ref="AN50:AR50"/>
    <mergeCell ref="AR66:AV66"/>
    <mergeCell ref="AW66:BA66"/>
    <mergeCell ref="BB66:BF66"/>
    <mergeCell ref="BG66:BK66"/>
    <mergeCell ref="AH63:AL63"/>
    <mergeCell ref="AM63:AQ63"/>
    <mergeCell ref="AR63:AV63"/>
    <mergeCell ref="AW63:BA63"/>
    <mergeCell ref="BB63:BF63"/>
    <mergeCell ref="BG63:BK63"/>
    <mergeCell ref="BQ58:BT58"/>
    <mergeCell ref="BD94:BH94"/>
    <mergeCell ref="A94:C94"/>
    <mergeCell ref="D94:T94"/>
    <mergeCell ref="U94:Y94"/>
    <mergeCell ref="Z94:AD94"/>
    <mergeCell ref="AE94:AI94"/>
    <mergeCell ref="BU85:BY85"/>
    <mergeCell ref="AS85:AW85"/>
    <mergeCell ref="AX85:BA85"/>
    <mergeCell ref="BB85:BF85"/>
    <mergeCell ref="BG85:BK85"/>
    <mergeCell ref="BL85:BP85"/>
    <mergeCell ref="BQ85:BT85"/>
    <mergeCell ref="A85:C85"/>
    <mergeCell ref="D85:T85"/>
    <mergeCell ref="U85:Y85"/>
    <mergeCell ref="Z85:AD85"/>
    <mergeCell ref="AE85:AH85"/>
    <mergeCell ref="AI85:AM85"/>
    <mergeCell ref="AN85:AR85"/>
    <mergeCell ref="AO92:AS92"/>
    <mergeCell ref="AT92:AX92"/>
    <mergeCell ref="AY92:BC92"/>
    <mergeCell ref="BD92:BH92"/>
    <mergeCell ref="AO91:AS91"/>
    <mergeCell ref="AT91:AX91"/>
    <mergeCell ref="AY91:BC91"/>
    <mergeCell ref="BD91:BH91"/>
    <mergeCell ref="A92:C92"/>
    <mergeCell ref="D92:T92"/>
    <mergeCell ref="U92:Y92"/>
    <mergeCell ref="Z92:AD92"/>
    <mergeCell ref="BE103:BI103"/>
    <mergeCell ref="BJ103:BN103"/>
    <mergeCell ref="BO103:BS103"/>
    <mergeCell ref="BT103:BX103"/>
    <mergeCell ref="A104:C104"/>
    <mergeCell ref="D104:P104"/>
    <mergeCell ref="Q104:U104"/>
    <mergeCell ref="V104:AE104"/>
    <mergeCell ref="AF104:AJ104"/>
    <mergeCell ref="AK104:AO104"/>
    <mergeCell ref="A103:C103"/>
    <mergeCell ref="D103:P103"/>
    <mergeCell ref="Q103:U103"/>
    <mergeCell ref="V103:AE103"/>
    <mergeCell ref="AF103:AJ103"/>
    <mergeCell ref="AK103:AO103"/>
    <mergeCell ref="AP103:AT103"/>
    <mergeCell ref="AU103:AY103"/>
    <mergeCell ref="AZ103:BD103"/>
    <mergeCell ref="BE105:BI105"/>
    <mergeCell ref="BJ105:BN105"/>
    <mergeCell ref="BO105:BS105"/>
    <mergeCell ref="BT105:BX105"/>
    <mergeCell ref="A106:C106"/>
    <mergeCell ref="D106:P106"/>
    <mergeCell ref="Q106:U106"/>
    <mergeCell ref="V106:AE106"/>
    <mergeCell ref="AF106:AJ106"/>
    <mergeCell ref="AK106:AO106"/>
    <mergeCell ref="BT104:BX104"/>
    <mergeCell ref="A105:C105"/>
    <mergeCell ref="D105:P105"/>
    <mergeCell ref="Q105:U105"/>
    <mergeCell ref="V105:AE105"/>
    <mergeCell ref="AF105:AJ105"/>
    <mergeCell ref="AK105:AO105"/>
    <mergeCell ref="AP105:AT105"/>
    <mergeCell ref="AU105:AY105"/>
    <mergeCell ref="AZ105:BD105"/>
    <mergeCell ref="AP104:AT104"/>
    <mergeCell ref="AU104:AY104"/>
    <mergeCell ref="AZ104:BD104"/>
    <mergeCell ref="BE104:BI104"/>
    <mergeCell ref="BJ104:BN104"/>
    <mergeCell ref="BO104:BS104"/>
    <mergeCell ref="BE107:BI107"/>
    <mergeCell ref="BJ107:BN107"/>
    <mergeCell ref="BO107:BS107"/>
    <mergeCell ref="BT107:BX107"/>
    <mergeCell ref="A108:C108"/>
    <mergeCell ref="D108:P108"/>
    <mergeCell ref="Q108:U108"/>
    <mergeCell ref="V108:AE108"/>
    <mergeCell ref="AF108:AJ108"/>
    <mergeCell ref="AK108:AO108"/>
    <mergeCell ref="BT106:BX106"/>
    <mergeCell ref="A107:C107"/>
    <mergeCell ref="D107:P107"/>
    <mergeCell ref="Q107:U107"/>
    <mergeCell ref="V107:AE107"/>
    <mergeCell ref="AF107:AJ107"/>
    <mergeCell ref="AK107:AO107"/>
    <mergeCell ref="AP107:AT107"/>
    <mergeCell ref="AU107:AY107"/>
    <mergeCell ref="AZ107:BD107"/>
    <mergeCell ref="AP106:AT106"/>
    <mergeCell ref="AU106:AY106"/>
    <mergeCell ref="AZ106:BD106"/>
    <mergeCell ref="BE106:BI106"/>
    <mergeCell ref="BJ106:BN106"/>
    <mergeCell ref="BO106:BS106"/>
    <mergeCell ref="A117:C117"/>
    <mergeCell ref="D117:P117"/>
    <mergeCell ref="Q117:U117"/>
    <mergeCell ref="V117:AE117"/>
    <mergeCell ref="AF117:AJ117"/>
    <mergeCell ref="AK117:AO117"/>
    <mergeCell ref="AP117:AT117"/>
    <mergeCell ref="AU117:AY117"/>
    <mergeCell ref="AZ117:BD117"/>
    <mergeCell ref="BE109:BI109"/>
    <mergeCell ref="BJ109:BN109"/>
    <mergeCell ref="BO109:BS109"/>
    <mergeCell ref="BT109:BX109"/>
    <mergeCell ref="BT108:BX108"/>
    <mergeCell ref="A109:C109"/>
    <mergeCell ref="D109:P109"/>
    <mergeCell ref="Q109:U109"/>
    <mergeCell ref="V109:AE109"/>
    <mergeCell ref="AF109:AJ109"/>
    <mergeCell ref="AK109:AO109"/>
    <mergeCell ref="AP109:AT109"/>
    <mergeCell ref="AU109:AY109"/>
    <mergeCell ref="AZ109:BD109"/>
    <mergeCell ref="AP108:AT108"/>
    <mergeCell ref="AU108:AY108"/>
    <mergeCell ref="AZ108:BD108"/>
    <mergeCell ref="BE108:BI108"/>
    <mergeCell ref="BJ108:BN108"/>
    <mergeCell ref="BO108:BS108"/>
    <mergeCell ref="AP115:AT115"/>
    <mergeCell ref="AU115:AY115"/>
    <mergeCell ref="AZ115:BD115"/>
    <mergeCell ref="BE119:BI119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BE118:BI118"/>
    <mergeCell ref="A119:C119"/>
    <mergeCell ref="D119:P119"/>
    <mergeCell ref="Q119:U119"/>
    <mergeCell ref="V119:AE119"/>
    <mergeCell ref="AF119:AJ119"/>
    <mergeCell ref="AK119:AO119"/>
    <mergeCell ref="AP119:AT119"/>
    <mergeCell ref="AU119:AY119"/>
    <mergeCell ref="AZ119:BD119"/>
    <mergeCell ref="V118:AE118"/>
    <mergeCell ref="AF118:AJ118"/>
    <mergeCell ref="AK118:AO118"/>
    <mergeCell ref="AP118:AT118"/>
    <mergeCell ref="AU118:AY118"/>
    <mergeCell ref="AZ118:BD118"/>
    <mergeCell ref="BE121:BI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BE120:BI120"/>
    <mergeCell ref="A121:C121"/>
    <mergeCell ref="D121:P121"/>
    <mergeCell ref="Q121:U121"/>
    <mergeCell ref="V121:AE121"/>
    <mergeCell ref="AF121:AJ121"/>
    <mergeCell ref="AK121:AO121"/>
    <mergeCell ref="AP121:AT121"/>
    <mergeCell ref="AU121:AY121"/>
    <mergeCell ref="AZ121:BD121"/>
    <mergeCell ref="A132:T132"/>
    <mergeCell ref="U132:Y132"/>
    <mergeCell ref="Z132:AD132"/>
    <mergeCell ref="AE132:AI132"/>
    <mergeCell ref="AJ132:AN132"/>
    <mergeCell ref="AO132:AS132"/>
    <mergeCell ref="AT132:AX132"/>
    <mergeCell ref="AY132:BC132"/>
    <mergeCell ref="BD132:BH132"/>
    <mergeCell ref="BE123:BI123"/>
    <mergeCell ref="BE122:BI122"/>
    <mergeCell ref="A123:C123"/>
    <mergeCell ref="D123:P123"/>
    <mergeCell ref="Q123:U123"/>
    <mergeCell ref="V123:AE123"/>
    <mergeCell ref="AF123:AJ123"/>
    <mergeCell ref="AK123:AO123"/>
    <mergeCell ref="AP123:AT123"/>
    <mergeCell ref="AU123:AY123"/>
    <mergeCell ref="AZ123:BD123"/>
    <mergeCell ref="AT131:AX131"/>
    <mergeCell ref="AY131:BC131"/>
    <mergeCell ref="BD131:BH131"/>
    <mergeCell ref="BI131:BM131"/>
    <mergeCell ref="AO128:AS128"/>
    <mergeCell ref="AT128:AX128"/>
    <mergeCell ref="AY128:BC128"/>
    <mergeCell ref="BD128:BH128"/>
    <mergeCell ref="BI128:BM128"/>
    <mergeCell ref="BO151:BS151"/>
    <mergeCell ref="AK151:AO151"/>
    <mergeCell ref="AP151:AT151"/>
    <mergeCell ref="AU151:AY151"/>
    <mergeCell ref="AZ151:BD151"/>
    <mergeCell ref="BE151:BI151"/>
    <mergeCell ref="BJ151:BN151"/>
    <mergeCell ref="A151:F151"/>
    <mergeCell ref="G151:S151"/>
    <mergeCell ref="T151:Z151"/>
    <mergeCell ref="AA151:AE151"/>
    <mergeCell ref="AF151:AJ151"/>
    <mergeCell ref="AX141:AZ141"/>
    <mergeCell ref="BA141:BC141"/>
    <mergeCell ref="BD141:BF141"/>
    <mergeCell ref="BG141:BI141"/>
    <mergeCell ref="BJ141:BL141"/>
    <mergeCell ref="A141:C141"/>
    <mergeCell ref="D141:V141"/>
    <mergeCell ref="W141:Y141"/>
    <mergeCell ref="Z141:AB141"/>
    <mergeCell ref="AC141:AE141"/>
    <mergeCell ref="AF141:AH141"/>
    <mergeCell ref="AI141:AK141"/>
    <mergeCell ref="AP150:AT150"/>
    <mergeCell ref="AU150:AY150"/>
    <mergeCell ref="AZ150:BD150"/>
    <mergeCell ref="BE150:BI150"/>
    <mergeCell ref="BJ150:BN150"/>
    <mergeCell ref="BO150:BS150"/>
    <mergeCell ref="A150:F150"/>
    <mergeCell ref="G150:S150"/>
    <mergeCell ref="AJ190:AN190"/>
    <mergeCell ref="AO190:AS190"/>
    <mergeCell ref="AT190:AW190"/>
    <mergeCell ref="AX190:BB190"/>
    <mergeCell ref="BC190:BG190"/>
    <mergeCell ref="BH190:BL190"/>
    <mergeCell ref="A190:F190"/>
    <mergeCell ref="G190:P190"/>
    <mergeCell ref="Q190:U190"/>
    <mergeCell ref="V190:Y190"/>
    <mergeCell ref="Z190:AD190"/>
    <mergeCell ref="AE190:AI190"/>
    <mergeCell ref="AU160:AY160"/>
    <mergeCell ref="AZ160:BD160"/>
    <mergeCell ref="A160:F160"/>
    <mergeCell ref="G160:S160"/>
    <mergeCell ref="T160:Z160"/>
    <mergeCell ref="AA160:AE160"/>
    <mergeCell ref="AF160:AJ160"/>
    <mergeCell ref="AK160:AO160"/>
    <mergeCell ref="AP160:AT160"/>
    <mergeCell ref="AJ189:AN189"/>
    <mergeCell ref="AO189:AS189"/>
    <mergeCell ref="AT189:AW189"/>
    <mergeCell ref="AX189:BB189"/>
    <mergeCell ref="BC189:BG189"/>
    <mergeCell ref="BH189:BL189"/>
    <mergeCell ref="A189:F189"/>
    <mergeCell ref="G189:P189"/>
    <mergeCell ref="Q189:U189"/>
    <mergeCell ref="V189:Y189"/>
    <mergeCell ref="Z189:AD189"/>
  </mergeCells>
  <conditionalFormatting sqref="A84 A140 A93">
    <cfRule type="cellIs" dxfId="34" priority="39" stopIfTrue="1" operator="equal">
      <formula>A83</formula>
    </cfRule>
  </conditionalFormatting>
  <conditionalFormatting sqref="A102:C102 A116:C116">
    <cfRule type="cellIs" dxfId="33" priority="40" stopIfTrue="1" operator="equal">
      <formula>A101</formula>
    </cfRule>
    <cfRule type="cellIs" dxfId="32" priority="41" stopIfTrue="1" operator="equal">
      <formula>0</formula>
    </cfRule>
  </conditionalFormatting>
  <conditionalFormatting sqref="A85">
    <cfRule type="cellIs" dxfId="31" priority="38" stopIfTrue="1" operator="equal">
      <formula>A84</formula>
    </cfRule>
  </conditionalFormatting>
  <conditionalFormatting sqref="A94">
    <cfRule type="cellIs" dxfId="29" priority="36" stopIfTrue="1" operator="equal">
      <formula>A93</formula>
    </cfRule>
  </conditionalFormatting>
  <conditionalFormatting sqref="A141">
    <cfRule type="cellIs" dxfId="28" priority="2" stopIfTrue="1" operator="equal">
      <formula>A140</formula>
    </cfRule>
  </conditionalFormatting>
  <conditionalFormatting sqref="A103:C103">
    <cfRule type="cellIs" dxfId="27" priority="33" stopIfTrue="1" operator="equal">
      <formula>A102</formula>
    </cfRule>
    <cfRule type="cellIs" dxfId="26" priority="34" stopIfTrue="1" operator="equal">
      <formula>0</formula>
    </cfRule>
  </conditionalFormatting>
  <conditionalFormatting sqref="A104:C104">
    <cfRule type="cellIs" dxfId="25" priority="31" stopIfTrue="1" operator="equal">
      <formula>A103</formula>
    </cfRule>
    <cfRule type="cellIs" dxfId="24" priority="32" stopIfTrue="1" operator="equal">
      <formula>0</formula>
    </cfRule>
  </conditionalFormatting>
  <conditionalFormatting sqref="A105:C105">
    <cfRule type="cellIs" dxfId="23" priority="29" stopIfTrue="1" operator="equal">
      <formula>A104</formula>
    </cfRule>
    <cfRule type="cellIs" dxfId="22" priority="30" stopIfTrue="1" operator="equal">
      <formula>0</formula>
    </cfRule>
  </conditionalFormatting>
  <conditionalFormatting sqref="A106:C106">
    <cfRule type="cellIs" dxfId="21" priority="27" stopIfTrue="1" operator="equal">
      <formula>A105</formula>
    </cfRule>
    <cfRule type="cellIs" dxfId="20" priority="28" stopIfTrue="1" operator="equal">
      <formula>0</formula>
    </cfRule>
  </conditionalFormatting>
  <conditionalFormatting sqref="A107:C107">
    <cfRule type="cellIs" dxfId="19" priority="25" stopIfTrue="1" operator="equal">
      <formula>A106</formula>
    </cfRule>
    <cfRule type="cellIs" dxfId="18" priority="26" stopIfTrue="1" operator="equal">
      <formula>0</formula>
    </cfRule>
  </conditionalFormatting>
  <conditionalFormatting sqref="A108:C108">
    <cfRule type="cellIs" dxfId="17" priority="23" stopIfTrue="1" operator="equal">
      <formula>A107</formula>
    </cfRule>
    <cfRule type="cellIs" dxfId="16" priority="24" stopIfTrue="1" operator="equal">
      <formula>0</formula>
    </cfRule>
  </conditionalFormatting>
  <conditionalFormatting sqref="A109:C109">
    <cfRule type="cellIs" dxfId="15" priority="21" stopIfTrue="1" operator="equal">
      <formula>A108</formula>
    </cfRule>
    <cfRule type="cellIs" dxfId="14" priority="22" stopIfTrue="1" operator="equal">
      <formula>0</formula>
    </cfRule>
  </conditionalFormatting>
  <conditionalFormatting sqref="A117:C117">
    <cfRule type="cellIs" dxfId="13" priority="17" stopIfTrue="1" operator="equal">
      <formula>A116</formula>
    </cfRule>
    <cfRule type="cellIs" dxfId="12" priority="18" stopIfTrue="1" operator="equal">
      <formula>0</formula>
    </cfRule>
  </conditionalFormatting>
  <conditionalFormatting sqref="A118:C118">
    <cfRule type="cellIs" dxfId="11" priority="15" stopIfTrue="1" operator="equal">
      <formula>A117</formula>
    </cfRule>
    <cfRule type="cellIs" dxfId="10" priority="16" stopIfTrue="1" operator="equal">
      <formula>0</formula>
    </cfRule>
  </conditionalFormatting>
  <conditionalFormatting sqref="A119:C119">
    <cfRule type="cellIs" dxfId="9" priority="13" stopIfTrue="1" operator="equal">
      <formula>A118</formula>
    </cfRule>
    <cfRule type="cellIs" dxfId="8" priority="14" stopIfTrue="1" operator="equal">
      <formula>0</formula>
    </cfRule>
  </conditionalFormatting>
  <conditionalFormatting sqref="A120:C120">
    <cfRule type="cellIs" dxfId="7" priority="11" stopIfTrue="1" operator="equal">
      <formula>A119</formula>
    </cfRule>
    <cfRule type="cellIs" dxfId="6" priority="12" stopIfTrue="1" operator="equal">
      <formula>0</formula>
    </cfRule>
  </conditionalFormatting>
  <conditionalFormatting sqref="A121:C121">
    <cfRule type="cellIs" dxfId="5" priority="9" stopIfTrue="1" operator="equal">
      <formula>A120</formula>
    </cfRule>
    <cfRule type="cellIs" dxfId="4" priority="10" stopIfTrue="1" operator="equal">
      <formula>0</formula>
    </cfRule>
  </conditionalFormatting>
  <conditionalFormatting sqref="A122:C122">
    <cfRule type="cellIs" dxfId="3" priority="7" stopIfTrue="1" operator="equal">
      <formula>A121</formula>
    </cfRule>
    <cfRule type="cellIs" dxfId="2" priority="8" stopIfTrue="1" operator="equal">
      <formula>0</formula>
    </cfRule>
  </conditionalFormatting>
  <conditionalFormatting sqref="A123:C123">
    <cfRule type="cellIs" dxfId="1" priority="5" stopIfTrue="1" operator="equal">
      <formula>A122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КПК0118420</vt:lpstr>
      <vt:lpstr>'Додаток2 КПК0118420'!Область_печати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2025-01-14T13:25:29Z</cp:lastPrinted>
  <dcterms:created xsi:type="dcterms:W3CDTF">2016-07-02T12:27:50Z</dcterms:created>
  <dcterms:modified xsi:type="dcterms:W3CDTF">2025-01-14T13:25:30Z</dcterms:modified>
</cp:coreProperties>
</file>