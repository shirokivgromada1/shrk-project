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Звіти до паспортів\за 2024 рік\Звіти\"/>
    </mc:Choice>
  </mc:AlternateContent>
  <xr:revisionPtr revIDLastSave="0" documentId="13_ncr:1_{1222C136-0BA4-42CE-8A64-CFDDD40F72A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8130" sheetId="1" r:id="rId1"/>
  </sheets>
  <definedNames>
    <definedName name="_xlnm.Print_Area" localSheetId="0">КПК0118130!$A$1:$BQ$140</definedName>
  </definedNames>
  <calcPr calcId="191029"/>
</workbook>
</file>

<file path=xl/calcChain.xml><?xml version="1.0" encoding="utf-8"?>
<calcChain xmlns="http://schemas.openxmlformats.org/spreadsheetml/2006/main">
  <c r="BH115" i="1" l="1"/>
  <c r="BC115" i="1"/>
  <c r="BH113" i="1"/>
  <c r="BC113" i="1"/>
  <c r="BH111" i="1"/>
  <c r="BC111" i="1"/>
  <c r="BH109" i="1"/>
  <c r="BC109" i="1"/>
  <c r="BD99" i="1"/>
  <c r="AY99" i="1"/>
  <c r="BI99" i="1" s="1"/>
  <c r="AS99" i="1"/>
  <c r="AC99" i="1"/>
  <c r="BD98" i="1"/>
  <c r="AY98" i="1"/>
  <c r="AS98" i="1"/>
  <c r="AC98" i="1"/>
  <c r="BI68" i="1"/>
  <c r="BD68" i="1"/>
  <c r="AZ68" i="1"/>
  <c r="AK68" i="1"/>
  <c r="BI67" i="1"/>
  <c r="BD67" i="1"/>
  <c r="AZ67" i="1"/>
  <c r="AK67" i="1"/>
  <c r="BI66" i="1"/>
  <c r="BD66" i="1"/>
  <c r="AZ66" i="1"/>
  <c r="AK66" i="1"/>
  <c r="BI65" i="1"/>
  <c r="BD65" i="1"/>
  <c r="AZ65" i="1"/>
  <c r="AK65" i="1"/>
  <c r="BI64" i="1"/>
  <c r="BD64" i="1"/>
  <c r="AZ64" i="1"/>
  <c r="AK64" i="1"/>
  <c r="BI63" i="1"/>
  <c r="BD63" i="1"/>
  <c r="AZ63" i="1"/>
  <c r="AK63" i="1"/>
  <c r="BI62" i="1"/>
  <c r="BD62" i="1"/>
  <c r="AZ62" i="1"/>
  <c r="AK62" i="1"/>
  <c r="BI61" i="1"/>
  <c r="BD61" i="1"/>
  <c r="AZ61" i="1"/>
  <c r="AK61" i="1"/>
  <c r="BI60" i="1"/>
  <c r="BD60" i="1"/>
  <c r="AZ60" i="1"/>
  <c r="AK60" i="1"/>
  <c r="BI59" i="1"/>
  <c r="BD59" i="1"/>
  <c r="AZ59" i="1"/>
  <c r="AK59" i="1"/>
  <c r="BI58" i="1"/>
  <c r="BD58" i="1"/>
  <c r="AZ58" i="1"/>
  <c r="AK58" i="1"/>
  <c r="BI57" i="1"/>
  <c r="BD57" i="1"/>
  <c r="AZ57" i="1"/>
  <c r="AK57" i="1"/>
  <c r="BI56" i="1"/>
  <c r="BD56" i="1"/>
  <c r="AZ56" i="1"/>
  <c r="AK56" i="1"/>
  <c r="BI55" i="1"/>
  <c r="BD55" i="1"/>
  <c r="AZ55" i="1"/>
  <c r="AK55" i="1"/>
  <c r="BI54" i="1"/>
  <c r="BD54" i="1"/>
  <c r="AZ54" i="1"/>
  <c r="AK54" i="1"/>
  <c r="BI53" i="1"/>
  <c r="BD53" i="1"/>
  <c r="AZ53" i="1"/>
  <c r="AK53" i="1"/>
  <c r="BI52" i="1"/>
  <c r="BD52" i="1"/>
  <c r="AZ52" i="1"/>
  <c r="AK52" i="1"/>
  <c r="BI51" i="1"/>
  <c r="BD51" i="1"/>
  <c r="AZ51" i="1"/>
  <c r="AK51" i="1"/>
  <c r="BI50" i="1"/>
  <c r="BD50" i="1"/>
  <c r="AZ50" i="1"/>
  <c r="AK50" i="1"/>
  <c r="BI49" i="1"/>
  <c r="BD49" i="1"/>
  <c r="AZ49" i="1"/>
  <c r="AK49" i="1"/>
  <c r="BI48" i="1"/>
  <c r="BD48" i="1"/>
  <c r="AZ48" i="1"/>
  <c r="AK48" i="1"/>
  <c r="BI47" i="1"/>
  <c r="BD47" i="1"/>
  <c r="AZ47" i="1"/>
  <c r="AK47" i="1"/>
  <c r="BI46" i="1"/>
  <c r="BD46" i="1"/>
  <c r="AZ46" i="1"/>
  <c r="AK46" i="1"/>
  <c r="BI45" i="1"/>
  <c r="BD45" i="1"/>
  <c r="AZ45" i="1"/>
  <c r="AK45" i="1"/>
  <c r="BI44" i="1"/>
  <c r="BD44" i="1"/>
  <c r="AZ44" i="1"/>
  <c r="AK44" i="1"/>
  <c r="BI43" i="1"/>
  <c r="BD43" i="1"/>
  <c r="AZ43" i="1"/>
  <c r="AK43" i="1"/>
  <c r="BI98" i="1" l="1"/>
  <c r="BN68" i="1"/>
  <c r="BN67" i="1"/>
  <c r="BN66" i="1"/>
  <c r="BN65" i="1"/>
  <c r="BN64" i="1"/>
  <c r="BN63" i="1"/>
  <c r="BN62" i="1"/>
  <c r="BN61" i="1"/>
  <c r="BN60" i="1"/>
  <c r="BN59" i="1"/>
  <c r="BN58" i="1"/>
  <c r="BN57" i="1"/>
  <c r="BN56" i="1"/>
  <c r="BN55" i="1"/>
  <c r="BN54" i="1"/>
  <c r="BN53" i="1"/>
  <c r="BN52" i="1"/>
  <c r="BN51" i="1"/>
  <c r="BN50" i="1"/>
  <c r="BN49" i="1"/>
  <c r="BN48" i="1"/>
  <c r="BN47" i="1"/>
  <c r="BN46" i="1"/>
  <c r="BN45" i="1"/>
  <c r="BN44" i="1"/>
  <c r="BN43" i="1"/>
</calcChain>
</file>

<file path=xl/sharedStrings.xml><?xml version="1.0" encoding="utf-8"?>
<sst xmlns="http://schemas.openxmlformats.org/spreadsheetml/2006/main" count="247" uniqueCount="157">
  <si>
    <t>Відхилення</t>
  </si>
  <si>
    <t>спеціальний фонд</t>
  </si>
  <si>
    <t>загальний фонд</t>
  </si>
  <si>
    <t>№ з/п</t>
  </si>
  <si>
    <t>Джерело інформації</t>
  </si>
  <si>
    <t>Одиниця виміру</t>
  </si>
  <si>
    <t>Показники</t>
  </si>
  <si>
    <t>1.</t>
  </si>
  <si>
    <t>(підпис)</t>
  </si>
  <si>
    <t>ps2</t>
  </si>
  <si>
    <t>pz2</t>
  </si>
  <si>
    <t>pvz2</t>
  </si>
  <si>
    <t>pvs2</t>
  </si>
  <si>
    <t>npp</t>
  </si>
  <si>
    <t>name</t>
  </si>
  <si>
    <t>od_vim</t>
  </si>
  <si>
    <t>formula=RC[-10]+RC[-5]</t>
  </si>
  <si>
    <t>formula=RC[-16]-RC[-32]</t>
  </si>
  <si>
    <t>ЗВІТ</t>
  </si>
  <si>
    <t>p5.5</t>
  </si>
  <si>
    <t>s5.5</t>
  </si>
  <si>
    <t>p5.6</t>
  </si>
  <si>
    <t>s5.6</t>
  </si>
  <si>
    <t>p5.7</t>
  </si>
  <si>
    <t>s5.7</t>
  </si>
  <si>
    <t>Затверджено у паспорті бюджетної програми</t>
  </si>
  <si>
    <t>усього</t>
  </si>
  <si>
    <t xml:space="preserve"> усього</t>
  </si>
  <si>
    <t>Найменування місцевої/регіональної програми</t>
  </si>
  <si>
    <t>s2</t>
  </si>
  <si>
    <t>pvz1</t>
  </si>
  <si>
    <t>formula=RC[-14]-RC[-29]</t>
  </si>
  <si>
    <t>formula=RC[-15]-RC[-30]</t>
  </si>
  <si>
    <t>2.</t>
  </si>
  <si>
    <t>3.</t>
  </si>
  <si>
    <t>про виконання паспорта бюджетної програми</t>
  </si>
  <si>
    <t>zp</t>
  </si>
  <si>
    <t>dger_inf</t>
  </si>
  <si>
    <t>Ціль державної політики</t>
  </si>
  <si>
    <t>Завдання</t>
  </si>
  <si>
    <t>5. Мета бюджетної програми</t>
  </si>
  <si>
    <t>6. Завдання бюджетної програми</t>
  </si>
  <si>
    <t>8. Видатки (надані кредити з бюджету) на реалізацію місцевих/регіональних програм, які виконуються в межах бюджетної програми</t>
  </si>
  <si>
    <t>9. Результативні показники бюджетної програми та аналіз їх виконання</t>
  </si>
  <si>
    <t>Касові видатки (надані кредити з бюджету)</t>
  </si>
  <si>
    <t>Фактичні результативні показники, досягнуті за рахунок касових видатків (наданих кредитів з бюджету)</t>
  </si>
  <si>
    <t>10. Узагальнений висновок про виконання бюджетної програми.</t>
  </si>
  <si>
    <t>s5.2</t>
  </si>
  <si>
    <t>s5.3</t>
  </si>
  <si>
    <t>p5.2</t>
  </si>
  <si>
    <t>p5.3</t>
  </si>
  <si>
    <t>(код Програмної класифікації видатків та кредитування місцевого бюджету)</t>
  </si>
  <si>
    <t xml:space="preserve">(найменування головного розпорядника коштів місцевого бюджету)                        </t>
  </si>
  <si>
    <t>(код за ЄДРПОУ)</t>
  </si>
  <si>
    <t xml:space="preserve">(найменування відповідального виконавця)                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</si>
  <si>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</si>
  <si>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</si>
  <si>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</si>
  <si>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</si>
  <si>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ЗАТВЕРДЖЕНО
Наказ Міністерства фінансів України
26.08.2014  № 836
(у редакції наказу Міністерства фінансів України
від 01 листопада 2022 року № 359)</t>
  </si>
  <si>
    <t>Пояснення</t>
  </si>
  <si>
    <t>s5.8</t>
  </si>
  <si>
    <t xml:space="preserve">  9.1. Аналіз показників бюджетної програми</t>
  </si>
  <si>
    <t xml:space="preserve">  9.2. Пояснення щодо причин розбіжностей між фактичними та затвердженими результативними показниками***</t>
  </si>
  <si>
    <t>Пояснення щодо причин розбіжностей між фактичними та затвердженими результативними показниками</t>
  </si>
  <si>
    <t xml:space="preserve"> 9.3. Аналіз стану виконання результативних показників</t>
  </si>
  <si>
    <t>s5.9</t>
  </si>
  <si>
    <t>Напрями використання бюджетних коштів*</t>
  </si>
  <si>
    <t>p5.8</t>
  </si>
  <si>
    <t>p5.9</t>
  </si>
  <si>
    <t>name_poj</t>
  </si>
  <si>
    <t>(Власне ім’я, ПРІЗВИЩЕ)</t>
  </si>
  <si>
    <t>7. Видатки (надані кредити з бюджету) та напрями використання бюджетних коштів за бюджетною програмою:</t>
  </si>
  <si>
    <t xml:space="preserve">  7.1. Аналіз розділу «Видатки (надані кредити з бюджету) та напрями використання бюджетних коштів за бюджетною програмою»</t>
  </si>
  <si>
    <t xml:space="preserve"> 7.2. Пояснення щодо причин відхилення обсягів касових видатків (наданих кредитів з бюджету) за напрямом використання бюджетних коштів 
від обсягів, затверджених у паспорті бюджетної програми**</t>
  </si>
  <si>
    <t>z1</t>
  </si>
  <si>
    <t>z2</t>
  </si>
  <si>
    <t>4. Цілі державної політики, на досягнення яких спрямовано реалізацію бюджетної програми</t>
  </si>
  <si>
    <t>Створення умов для безпечного та комфортного проживання мешканців на території териториторіальної громади</t>
  </si>
  <si>
    <t>Забезпечення здійснення контролю за дотриманням протипожежних вимог, запобігання пожежам і нещасним випадкам, гасіння пожеж</t>
  </si>
  <si>
    <t>Заробітна плата</t>
  </si>
  <si>
    <t>Нарахування на оплату праці</t>
  </si>
  <si>
    <t>Придбання канцелярського та письмового приладдя, паперу</t>
  </si>
  <si>
    <t>Придбання матеріалів, будівельних матеріалів, обладнання, інвентарю та інструментів для господарської діяльності</t>
  </si>
  <si>
    <t>Придбання пально-мастильних матеріалів</t>
  </si>
  <si>
    <t>Придбання запчастин до транспортних засобів</t>
  </si>
  <si>
    <t>Придбання засобів індивідуального захисту</t>
  </si>
  <si>
    <t>Придбання запчастин для інструменту (для пилок, косарок та ін.)</t>
  </si>
  <si>
    <t>Оплата послуг з поточного ремонту та технічного обслуговування комп'ютерної техніки та організаційної техніки</t>
  </si>
  <si>
    <t>Оплата послуг з технічного обслуговування електрообладання та електричних мереж</t>
  </si>
  <si>
    <t>Оплата послуг з перезарядки картриджів</t>
  </si>
  <si>
    <t>Оплата послуг з адміністрування (обслуговування) програмного забезпечення</t>
  </si>
  <si>
    <t>Оплата послуг Інтернет-провайдерів за користування мережою Інтернет</t>
  </si>
  <si>
    <t>Оплата послуг з технічного обслуговування та поточного ремонту транспортних засобів</t>
  </si>
  <si>
    <t>Оплата послуг із страхування транспортних засобів</t>
  </si>
  <si>
    <t>Оплата послуг з  перезарядки вогнегасників</t>
  </si>
  <si>
    <t>Оплата послуг медичних закладів (проведення медичного огляду)</t>
  </si>
  <si>
    <t>Оплата послуг з виготовлення технічних умов (водопостачання МПК-2  в с. Відрадне)</t>
  </si>
  <si>
    <t>Оплата водопостачання</t>
  </si>
  <si>
    <t>Оплата електроенергії</t>
  </si>
  <si>
    <t>Оплата послуг з поводження з побутовими відходами</t>
  </si>
  <si>
    <t>Оплата за державне обов"язкове особисте страхування працівників пожежної охорони</t>
  </si>
  <si>
    <t>Оплата за виготовлення та розміщення інформаційної продукції</t>
  </si>
  <si>
    <t>Оплата топографо-геодезичних робіт для отримання дозволів на підключення об"єкта до електричних та водопровідних мереж</t>
  </si>
  <si>
    <t>Видатки на відрядження</t>
  </si>
  <si>
    <t>УСЬОГО</t>
  </si>
  <si>
    <t>Наявність вакансій</t>
  </si>
  <si>
    <t>Придбання меншої кількості пально-мастильних матеріалів у зв"язку з обмеженим терміном дії паливних талонів</t>
  </si>
  <si>
    <t>Запасні частини закуповувалися по мірі необхідності</t>
  </si>
  <si>
    <t>Технічне обслуговування та поточний ремонт транспортних засобів проводилися по мірі необхідності</t>
  </si>
  <si>
    <t>Зменшення вартості страхового полісу</t>
  </si>
  <si>
    <t>Термін зарядки вогнегасників не завершився</t>
  </si>
  <si>
    <t>Працівники КНП "Місцева пожежно-рятувальна служба" медичний огляд не проходили</t>
  </si>
  <si>
    <t>Відсутність укладеного договору на виготовлення технічних умов з водопостачання</t>
  </si>
  <si>
    <t>Економне використання</t>
  </si>
  <si>
    <t>Планові та аварійні відключення електроенергії</t>
  </si>
  <si>
    <t>Відхилення між запланованими та фактичними видатками виникло в межах округлення до повних гривень. Сума відхилення є незначною та не вплинула на реалізацію бюджетної програми.</t>
  </si>
  <si>
    <t>Державне обов"язкове страхування проводилося для фактичної чисельності працюючих</t>
  </si>
  <si>
    <t>Відсутність заходів, які відповідають напрямку діяльності підприємства</t>
  </si>
  <si>
    <t>Програма підтримки та розвитку комунального некомерційного підприємства "Місцева пожежно-рятувальна служба Широківської громади" Широківської сільської ради Запорізького району Запорізької області на 2024-2026 роки</t>
  </si>
  <si>
    <t>Усього</t>
  </si>
  <si>
    <t>затрат</t>
  </si>
  <si>
    <t/>
  </si>
  <si>
    <t>кількість працівників особового складу</t>
  </si>
  <si>
    <t>од.</t>
  </si>
  <si>
    <t>Штатний розпис</t>
  </si>
  <si>
    <t>продукту</t>
  </si>
  <si>
    <t>кількість виїздів на об`єкти пожежного нагляду</t>
  </si>
  <si>
    <t>Журнал реєстрації</t>
  </si>
  <si>
    <t>ефективності</t>
  </si>
  <si>
    <t>середні видатки на ліквідацію однієї пожежі</t>
  </si>
  <si>
    <t>грн.</t>
  </si>
  <si>
    <t>Розрахунковий показник</t>
  </si>
  <si>
    <t>якості</t>
  </si>
  <si>
    <t>динаміка кількості виїздів порівняно з попереднім роком</t>
  </si>
  <si>
    <t>відс.</t>
  </si>
  <si>
    <t>розрахунковий показник</t>
  </si>
  <si>
    <t>Зростання вартості витратних матріалів, пально-мастильних матеріалів</t>
  </si>
  <si>
    <t>Підтримка належного рівня пожежної безпеки на об’єктах і в населених пунктах</t>
  </si>
  <si>
    <t>Результативні показники бюджетної програми виконані в повному обсязі</t>
  </si>
  <si>
    <t>Мета бюджетної програми виконана в повному обсязіі._x000D_
Бюджетні зобов'язання здійснювалися в межах бюджетних асигнувань, з забезпеченням цільового спрямування та використання бюджетних коштів. Для повного та вчасного використання коштів і  одночасно недопущення кредиторської та дебіторської заборгованості  оперативно та відповідально опрацьовувалися підтвердні документи._x000D_
В межах бюджетної програми реалізовані заходи та завдання Програми підтримки та розвитку комунального некомерційного підприємства "Місцева пожежно-рятувальна служба Широківської громади" Широківської сільської ради Запорізького району Запорізької області на 2024-2026 роки _x000D_
Недофінансування і перевитрати за захищеними та першочерговими статтями видатків загального фонду місцевого бюджету станом на 01.01.2025 року відсутні._x000D_
Прострочена кредиторська та дебіторська заборгованості станом на 01.01.2025 року за загальним фондом місцевого бюджету відсутні.</t>
  </si>
  <si>
    <t>0100000</t>
  </si>
  <si>
    <t>Широкiвська сiльська рада Запорiзького району Запорiзької областi</t>
  </si>
  <si>
    <t>Сільський голова</t>
  </si>
  <si>
    <t>Начальник відділу бухгалтерського обліку та звітності - головний бухгалтер</t>
  </si>
  <si>
    <t>Денис КОРОТЕНКО</t>
  </si>
  <si>
    <t>Одарка СВІРІНА</t>
  </si>
  <si>
    <t>26013402</t>
  </si>
  <si>
    <t>0852300000</t>
  </si>
  <si>
    <t xml:space="preserve">  гривень</t>
  </si>
  <si>
    <t>місцевого бюджету на 2024  рік</t>
  </si>
  <si>
    <t>0118130</t>
  </si>
  <si>
    <t>Забезпечення діяльності місцевої та добровільної пожежної охорони</t>
  </si>
  <si>
    <t>Широківська сільська рада Запорізького району Запорізької області</t>
  </si>
  <si>
    <t>0110000</t>
  </si>
  <si>
    <t>8130</t>
  </si>
  <si>
    <t>0320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</si>
</sst>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7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8"/>
      <name val="Times New Roman CYR"/>
      <charset val="204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Arial Cyr"/>
      <charset val="204"/>
    </font>
    <font>
      <b/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3" fillId="0" borderId="0" xfId="0" applyFont="1"/>
    <xf numFmtId="164" fontId="2" fillId="0" borderId="0" xfId="0" applyNumberFormat="1" applyFont="1" applyAlignment="1">
      <alignment vertical="center" wrapText="1"/>
    </xf>
    <xf numFmtId="0" fontId="8" fillId="0" borderId="0" xfId="0" applyFont="1"/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1" fillId="0" borderId="0" xfId="0" applyFont="1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top"/>
    </xf>
    <xf numFmtId="0" fontId="13" fillId="0" borderId="0" xfId="0" applyFont="1"/>
    <xf numFmtId="0" fontId="3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0" fontId="7" fillId="0" borderId="0" xfId="0" applyFont="1"/>
    <xf numFmtId="0" fontId="16" fillId="0" borderId="0" xfId="0" applyFont="1"/>
    <xf numFmtId="164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top" wrapText="1"/>
    </xf>
    <xf numFmtId="0" fontId="15" fillId="0" borderId="5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left" vertical="center" wrapText="1" shrinkToFit="1"/>
    </xf>
    <xf numFmtId="0" fontId="7" fillId="0" borderId="5" xfId="0" applyFont="1" applyBorder="1" applyAlignment="1">
      <alignment horizontal="left" vertical="center" wrapText="1" shrinkToFit="1"/>
    </xf>
    <xf numFmtId="0" fontId="15" fillId="0" borderId="5" xfId="0" applyFont="1" applyBorder="1" applyAlignment="1">
      <alignment horizontal="left" vertical="center" wrapText="1" shrinkToFit="1"/>
    </xf>
    <xf numFmtId="0" fontId="15" fillId="0" borderId="2" xfId="0" applyFont="1" applyBorder="1" applyAlignment="1">
      <alignment horizontal="left" vertical="center" wrapText="1" shrinkToFi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2" fillId="0" borderId="4" xfId="0" applyFont="1" applyBorder="1" applyAlignment="1">
      <alignment horizontal="left" vertical="center" wrapText="1" shrinkToFit="1"/>
    </xf>
    <xf numFmtId="0" fontId="2" fillId="0" borderId="5" xfId="0" applyFont="1" applyBorder="1" applyAlignment="1">
      <alignment horizontal="left" vertical="center" wrapText="1" shrinkToFit="1"/>
    </xf>
    <xf numFmtId="0" fontId="0" fillId="0" borderId="5" xfId="0" applyBorder="1" applyAlignment="1">
      <alignment horizontal="left" vertical="center" wrapText="1" shrinkToFit="1"/>
    </xf>
    <xf numFmtId="0" fontId="0" fillId="0" borderId="2" xfId="0" applyBorder="1" applyAlignment="1">
      <alignment horizontal="left" vertical="center" wrapText="1" shrinkToFit="1"/>
    </xf>
    <xf numFmtId="4" fontId="2" fillId="0" borderId="3" xfId="0" applyNumberFormat="1" applyFont="1" applyBorder="1" applyAlignment="1">
      <alignment horizontal="center" vertical="center" wrapText="1"/>
    </xf>
    <xf numFmtId="4" fontId="7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top" wrapText="1"/>
    </xf>
    <xf numFmtId="49" fontId="2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top" wrapText="1"/>
    </xf>
    <xf numFmtId="49" fontId="7" fillId="0" borderId="3" xfId="0" applyNumberFormat="1" applyFont="1" applyBorder="1" applyAlignment="1">
      <alignment horizontal="center" vertical="center" wrapText="1"/>
    </xf>
    <xf numFmtId="4" fontId="15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top" wrapText="1"/>
    </xf>
    <xf numFmtId="0" fontId="10" fillId="0" borderId="1" xfId="0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2" fillId="0" borderId="7" xfId="0" applyFont="1" applyBorder="1" applyAlignment="1">
      <alignment horizontal="center" vertical="top" wrapText="1"/>
    </xf>
    <xf numFmtId="0" fontId="11" fillId="0" borderId="1" xfId="0" quotePrefix="1" applyFont="1" applyBorder="1" applyAlignment="1">
      <alignment horizontal="left" vertical="top" wrapText="1"/>
    </xf>
    <xf numFmtId="0" fontId="8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3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4" fillId="0" borderId="4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13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 wrapText="1" shrinkToFit="1"/>
    </xf>
    <xf numFmtId="0" fontId="14" fillId="0" borderId="5" xfId="0" applyFont="1" applyBorder="1" applyAlignment="1">
      <alignment horizontal="left" vertical="center" wrapText="1" shrinkToFit="1"/>
    </xf>
    <xf numFmtId="0" fontId="14" fillId="0" borderId="2" xfId="0" applyFont="1" applyBorder="1" applyAlignment="1">
      <alignment horizontal="left" vertical="center" wrapText="1" shrinkToFi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4" fontId="0" fillId="0" borderId="3" xfId="0" applyNumberFormat="1" applyBorder="1" applyAlignment="1">
      <alignment horizontal="center" vertical="center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</cellXfs>
  <cellStyles count="1">
    <cellStyle name="Обычный" xfId="0" builtinId="0"/>
  </cellStyles>
  <dxfs count="37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40"/>
  <sheetViews>
    <sheetView tabSelected="1" topLeftCell="A2" zoomScaleNormal="100" workbookViewId="0">
      <selection activeCell="A139" sqref="A139:V139"/>
    </sheetView>
  </sheetViews>
  <sheetFormatPr defaultRowHeight="12.75" x14ac:dyDescent="0.2"/>
  <cols>
    <col min="1" max="1" width="3.28515625" style="1" customWidth="1"/>
    <col min="2" max="2" width="3.42578125" style="1" customWidth="1"/>
    <col min="3" max="77" width="2.85546875" style="1" customWidth="1"/>
    <col min="78" max="78" width="3" style="1" customWidth="1"/>
    <col min="79" max="79" width="4.42578125" style="1" hidden="1" customWidth="1"/>
    <col min="80" max="80" width="2.28515625" style="1" customWidth="1"/>
    <col min="81" max="16384" width="9.140625" style="1"/>
  </cols>
  <sheetData>
    <row r="1" spans="1:64" ht="9" hidden="1" customHeight="1" x14ac:dyDescent="0.2"/>
    <row r="2" spans="1:64" ht="9" customHeight="1" x14ac:dyDescent="0.2">
      <c r="AO2" s="86" t="s">
        <v>59</v>
      </c>
      <c r="AP2" s="86"/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86"/>
      <c r="BB2" s="86"/>
      <c r="BC2" s="86"/>
      <c r="BD2" s="86"/>
      <c r="BE2" s="86"/>
      <c r="BF2" s="86"/>
      <c r="BG2" s="86"/>
      <c r="BH2" s="86"/>
      <c r="BI2" s="86"/>
      <c r="BJ2" s="86"/>
      <c r="BK2" s="86"/>
      <c r="BL2" s="86"/>
    </row>
    <row r="3" spans="1:64" ht="9" customHeight="1" x14ac:dyDescent="0.2"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 s="86"/>
      <c r="BH3" s="86"/>
      <c r="BI3" s="86"/>
      <c r="BJ3" s="86"/>
      <c r="BK3" s="86"/>
      <c r="BL3" s="86"/>
    </row>
    <row r="4" spans="1:64" ht="15.75" customHeight="1" x14ac:dyDescent="0.2">
      <c r="AO4" s="86"/>
      <c r="AP4" s="86"/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6"/>
      <c r="BL4" s="86"/>
    </row>
    <row r="5" spans="1:64" ht="15.75" customHeight="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86"/>
      <c r="AP5" s="86"/>
      <c r="AQ5" s="86"/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6"/>
      <c r="BF5" s="86"/>
      <c r="BG5" s="86"/>
      <c r="BH5" s="86"/>
      <c r="BI5" s="86"/>
      <c r="BJ5" s="86"/>
      <c r="BK5" s="86"/>
      <c r="BL5" s="86"/>
    </row>
    <row r="6" spans="1:64" ht="15.75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86"/>
      <c r="AP6" s="86"/>
      <c r="AQ6" s="86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6"/>
      <c r="BF6" s="86"/>
      <c r="BG6" s="86"/>
      <c r="BH6" s="86"/>
      <c r="BI6" s="86"/>
      <c r="BJ6" s="86"/>
      <c r="BK6" s="86"/>
      <c r="BL6" s="86"/>
    </row>
    <row r="7" spans="1:64" ht="9.75" hidden="1" customHeight="1" x14ac:dyDescent="0.2">
      <c r="A7" s="87"/>
      <c r="B7" s="87"/>
      <c r="C7" s="87"/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7"/>
      <c r="AQ7" s="87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87"/>
      <c r="BF7" s="87"/>
      <c r="BG7" s="87"/>
      <c r="BH7" s="87"/>
      <c r="BI7" s="87"/>
      <c r="BJ7" s="87"/>
      <c r="BK7" s="87"/>
      <c r="BL7" s="87"/>
    </row>
    <row r="8" spans="1:64" ht="9.75" hidden="1" customHeight="1" x14ac:dyDescent="0.2">
      <c r="A8" s="87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7"/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7"/>
      <c r="BF8" s="87"/>
      <c r="BG8" s="87"/>
      <c r="BH8" s="87"/>
      <c r="BI8" s="87"/>
      <c r="BJ8" s="87"/>
      <c r="BK8" s="87"/>
      <c r="BL8" s="87"/>
    </row>
    <row r="9" spans="1:64" ht="8.25" hidden="1" customHeight="1" x14ac:dyDescent="0.2">
      <c r="A9" s="87"/>
      <c r="B9" s="87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7"/>
      <c r="BK9" s="87"/>
      <c r="BL9" s="87"/>
    </row>
    <row r="10" spans="1:64" ht="15.75" x14ac:dyDescent="0.2">
      <c r="A10" s="88" t="s">
        <v>18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88"/>
      <c r="BF10" s="88"/>
      <c r="BG10" s="88"/>
      <c r="BH10" s="88"/>
      <c r="BI10" s="88"/>
      <c r="BJ10" s="88"/>
      <c r="BK10" s="88"/>
      <c r="BL10" s="88"/>
    </row>
    <row r="11" spans="1:64" ht="15.75" customHeight="1" x14ac:dyDescent="0.2">
      <c r="A11" s="88" t="s">
        <v>35</v>
      </c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88"/>
      <c r="BF11" s="88"/>
      <c r="BG11" s="88"/>
      <c r="BH11" s="88"/>
      <c r="BI11" s="88"/>
      <c r="BJ11" s="88"/>
      <c r="BK11" s="88"/>
      <c r="BL11" s="88"/>
    </row>
    <row r="12" spans="1:64" ht="15.75" customHeight="1" x14ac:dyDescent="0.2">
      <c r="A12" s="88" t="s">
        <v>150</v>
      </c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88"/>
      <c r="BF12" s="88"/>
      <c r="BG12" s="88"/>
      <c r="BH12" s="88"/>
      <c r="BI12" s="88"/>
      <c r="BJ12" s="88"/>
      <c r="BK12" s="88"/>
      <c r="BL12" s="88"/>
    </row>
    <row r="13" spans="1:64" ht="6" customHeight="1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</row>
    <row r="14" spans="1:64" ht="27.95" customHeight="1" x14ac:dyDescent="0.2">
      <c r="A14" s="14" t="s">
        <v>7</v>
      </c>
      <c r="B14" s="70" t="s">
        <v>141</v>
      </c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15"/>
      <c r="N14" s="75" t="s">
        <v>142</v>
      </c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3"/>
      <c r="AQ14" s="73"/>
      <c r="AR14" s="73"/>
      <c r="AS14" s="73"/>
      <c r="AT14" s="16"/>
      <c r="AU14" s="70" t="s">
        <v>147</v>
      </c>
      <c r="AV14" s="71"/>
      <c r="AW14" s="71"/>
      <c r="AX14" s="71"/>
      <c r="AY14" s="71"/>
      <c r="AZ14" s="71"/>
      <c r="BA14" s="71"/>
      <c r="BB14" s="71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64" ht="21.75" customHeight="1" x14ac:dyDescent="0.2">
      <c r="A15" s="17"/>
      <c r="B15" s="69" t="s">
        <v>51</v>
      </c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17"/>
      <c r="N15" s="76" t="s">
        <v>52</v>
      </c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17"/>
      <c r="AU15" s="69" t="s">
        <v>53</v>
      </c>
      <c r="AV15" s="69"/>
      <c r="AW15" s="69"/>
      <c r="AX15" s="69"/>
      <c r="AY15" s="69"/>
      <c r="AZ15" s="69"/>
      <c r="BA15" s="69"/>
      <c r="BB15" s="69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64" ht="6" customHeight="1" x14ac:dyDescent="0.2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 s="18"/>
      <c r="BF16" s="18"/>
      <c r="BG16" s="18"/>
      <c r="BH16" s="18"/>
      <c r="BI16" s="18"/>
      <c r="BJ16" s="18"/>
      <c r="BK16" s="18"/>
      <c r="BL16" s="18"/>
    </row>
    <row r="17" spans="1:79" ht="27.95" customHeight="1" x14ac:dyDescent="0.2">
      <c r="A17" s="16" t="s">
        <v>33</v>
      </c>
      <c r="B17" s="70" t="s">
        <v>154</v>
      </c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15"/>
      <c r="N17" s="75" t="s">
        <v>153</v>
      </c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16"/>
      <c r="AU17" s="70" t="s">
        <v>147</v>
      </c>
      <c r="AV17" s="71"/>
      <c r="AW17" s="71"/>
      <c r="AX17" s="71"/>
      <c r="AY17" s="71"/>
      <c r="AZ17" s="71"/>
      <c r="BA17" s="71"/>
      <c r="BB17" s="71"/>
      <c r="BC17" s="19"/>
      <c r="BD17" s="19"/>
      <c r="BE17" s="19"/>
      <c r="BF17" s="19"/>
      <c r="BG17" s="19"/>
      <c r="BH17" s="19"/>
      <c r="BI17" s="19"/>
      <c r="BJ17" s="19"/>
      <c r="BK17" s="19"/>
      <c r="BL17" s="20"/>
    </row>
    <row r="18" spans="1:79" ht="23.25" customHeight="1" x14ac:dyDescent="0.2">
      <c r="A18" s="17"/>
      <c r="B18" s="69" t="s">
        <v>51</v>
      </c>
      <c r="C18" s="69"/>
      <c r="D18" s="69"/>
      <c r="E18" s="69"/>
      <c r="F18" s="69"/>
      <c r="G18" s="69"/>
      <c r="H18" s="69"/>
      <c r="I18" s="69"/>
      <c r="J18" s="69"/>
      <c r="K18" s="69"/>
      <c r="L18" s="69"/>
      <c r="M18" s="17"/>
      <c r="N18" s="76" t="s">
        <v>54</v>
      </c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17"/>
      <c r="AU18" s="69" t="s">
        <v>53</v>
      </c>
      <c r="AV18" s="69"/>
      <c r="AW18" s="69"/>
      <c r="AX18" s="69"/>
      <c r="AY18" s="69"/>
      <c r="AZ18" s="69"/>
      <c r="BA18" s="69"/>
      <c r="BB18" s="69"/>
      <c r="BC18" s="21"/>
      <c r="BD18" s="21"/>
      <c r="BE18" s="21"/>
      <c r="BF18" s="21"/>
      <c r="BG18" s="21"/>
      <c r="BH18" s="21"/>
      <c r="BI18" s="21"/>
      <c r="BJ18" s="21"/>
      <c r="BK18" s="21"/>
      <c r="BL18" s="21"/>
    </row>
    <row r="19" spans="1:79" ht="6.75" customHeight="1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</row>
    <row r="20" spans="1:79" ht="28.5" customHeight="1" x14ac:dyDescent="0.2">
      <c r="A20" s="14" t="s">
        <v>34</v>
      </c>
      <c r="B20" s="70" t="s">
        <v>151</v>
      </c>
      <c r="C20" s="71"/>
      <c r="D20" s="71"/>
      <c r="E20" s="71"/>
      <c r="F20" s="71"/>
      <c r="G20" s="71"/>
      <c r="H20" s="71"/>
      <c r="I20" s="71"/>
      <c r="J20" s="71"/>
      <c r="K20" s="71"/>
      <c r="L20" s="71"/>
      <c r="M20"/>
      <c r="N20" s="70" t="s">
        <v>155</v>
      </c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19"/>
      <c r="AA20" s="70" t="s">
        <v>156</v>
      </c>
      <c r="AB20" s="71"/>
      <c r="AC20" s="71"/>
      <c r="AD20" s="71"/>
      <c r="AE20" s="71"/>
      <c r="AF20" s="71"/>
      <c r="AG20" s="71"/>
      <c r="AH20" s="71"/>
      <c r="AI20" s="71"/>
      <c r="AJ20" s="19"/>
      <c r="AK20" s="72" t="s">
        <v>152</v>
      </c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19"/>
      <c r="BE20" s="70" t="s">
        <v>148</v>
      </c>
      <c r="BF20" s="71"/>
      <c r="BG20" s="71"/>
      <c r="BH20" s="71"/>
      <c r="BI20" s="71"/>
      <c r="BJ20" s="71"/>
      <c r="BK20" s="71"/>
      <c r="BL20" s="71"/>
    </row>
    <row r="21" spans="1:79" ht="23.25" customHeight="1" x14ac:dyDescent="0.2">
      <c r="A21"/>
      <c r="B21" s="69" t="s">
        <v>51</v>
      </c>
      <c r="C21" s="69"/>
      <c r="D21" s="69"/>
      <c r="E21" s="69"/>
      <c r="F21" s="69"/>
      <c r="G21" s="69"/>
      <c r="H21" s="69"/>
      <c r="I21" s="69"/>
      <c r="J21" s="69"/>
      <c r="K21" s="69"/>
      <c r="L21" s="69"/>
      <c r="M21"/>
      <c r="N21" s="69" t="s">
        <v>55</v>
      </c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21"/>
      <c r="AA21" s="74" t="s">
        <v>56</v>
      </c>
      <c r="AB21" s="74"/>
      <c r="AC21" s="74"/>
      <c r="AD21" s="74"/>
      <c r="AE21" s="74"/>
      <c r="AF21" s="74"/>
      <c r="AG21" s="74"/>
      <c r="AH21" s="74"/>
      <c r="AI21" s="74"/>
      <c r="AJ21" s="21"/>
      <c r="AK21" s="81" t="s">
        <v>57</v>
      </c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21"/>
      <c r="BE21" s="69" t="s">
        <v>58</v>
      </c>
      <c r="BF21" s="69"/>
      <c r="BG21" s="69"/>
      <c r="BH21" s="69"/>
      <c r="BI21" s="69"/>
      <c r="BJ21" s="69"/>
      <c r="BK21" s="69"/>
      <c r="BL21" s="69"/>
    </row>
    <row r="22" spans="1:79" ht="6.75" customHeight="1" x14ac:dyDescent="0.2"/>
    <row r="23" spans="1:79" ht="15.75" customHeight="1" x14ac:dyDescent="0.2">
      <c r="A23" s="56" t="s">
        <v>77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56"/>
      <c r="BI23" s="56"/>
      <c r="BJ23" s="56"/>
      <c r="BK23" s="56"/>
      <c r="BL23" s="56"/>
    </row>
    <row r="24" spans="1:79" ht="27.75" customHeight="1" x14ac:dyDescent="0.2">
      <c r="A24" s="77" t="s">
        <v>3</v>
      </c>
      <c r="B24" s="77"/>
      <c r="C24" s="77"/>
      <c r="D24" s="77"/>
      <c r="E24" s="77"/>
      <c r="F24" s="77"/>
      <c r="G24" s="78" t="s">
        <v>38</v>
      </c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79"/>
      <c r="BF24" s="79"/>
      <c r="BG24" s="79"/>
      <c r="BH24" s="79"/>
      <c r="BI24" s="79"/>
      <c r="BJ24" s="79"/>
      <c r="BK24" s="79"/>
      <c r="BL24" s="80"/>
    </row>
    <row r="25" spans="1:79" ht="10.5" hidden="1" customHeight="1" x14ac:dyDescent="0.2">
      <c r="A25" s="39" t="s">
        <v>36</v>
      </c>
      <c r="B25" s="39"/>
      <c r="C25" s="39"/>
      <c r="D25" s="39"/>
      <c r="E25" s="39"/>
      <c r="F25" s="39"/>
      <c r="G25" s="82" t="s">
        <v>14</v>
      </c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83"/>
      <c r="BG25" s="83"/>
      <c r="BH25" s="83"/>
      <c r="BI25" s="83"/>
      <c r="BJ25" s="83"/>
      <c r="BK25" s="83"/>
      <c r="BL25" s="84"/>
      <c r="CA25" s="1" t="s">
        <v>49</v>
      </c>
    </row>
    <row r="26" spans="1:79" ht="15.75" customHeight="1" x14ac:dyDescent="0.2">
      <c r="A26" s="39">
        <v>1</v>
      </c>
      <c r="B26" s="39"/>
      <c r="C26" s="39"/>
      <c r="D26" s="39"/>
      <c r="E26" s="39"/>
      <c r="F26" s="39"/>
      <c r="G26" s="110" t="s">
        <v>78</v>
      </c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11"/>
      <c r="AQ26" s="111"/>
      <c r="AR26" s="111"/>
      <c r="AS26" s="111"/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111"/>
      <c r="BE26" s="111"/>
      <c r="BF26" s="111"/>
      <c r="BG26" s="111"/>
      <c r="BH26" s="111"/>
      <c r="BI26" s="111"/>
      <c r="BJ26" s="111"/>
      <c r="BK26" s="111"/>
      <c r="BL26" s="112"/>
      <c r="CA26" s="1" t="s">
        <v>47</v>
      </c>
    </row>
    <row r="27" spans="1:79" ht="12.7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</row>
    <row r="28" spans="1:79" ht="15.95" customHeight="1" x14ac:dyDescent="0.2">
      <c r="A28" s="56" t="s">
        <v>40</v>
      </c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56"/>
      <c r="BI28" s="56"/>
      <c r="BJ28" s="56"/>
      <c r="BK28" s="56"/>
      <c r="BL28" s="56"/>
    </row>
    <row r="29" spans="1:79" ht="15.95" customHeight="1" x14ac:dyDescent="0.2">
      <c r="A29" s="114" t="s">
        <v>138</v>
      </c>
      <c r="B29" s="115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5"/>
      <c r="BF29" s="115"/>
      <c r="BG29" s="115"/>
      <c r="BH29" s="115"/>
      <c r="BI29" s="115"/>
      <c r="BJ29" s="115"/>
      <c r="BK29" s="115"/>
      <c r="BL29" s="115"/>
    </row>
    <row r="30" spans="1:79" ht="12.75" customHeight="1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</row>
    <row r="31" spans="1:79" ht="15.75" customHeight="1" x14ac:dyDescent="0.2">
      <c r="A31" s="56" t="s">
        <v>41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K31" s="56"/>
      <c r="BL31" s="56"/>
    </row>
    <row r="32" spans="1:79" ht="27.75" customHeight="1" x14ac:dyDescent="0.2">
      <c r="A32" s="77" t="s">
        <v>3</v>
      </c>
      <c r="B32" s="77"/>
      <c r="C32" s="77"/>
      <c r="D32" s="77"/>
      <c r="E32" s="77"/>
      <c r="F32" s="77"/>
      <c r="G32" s="78" t="s">
        <v>39</v>
      </c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79"/>
      <c r="BF32" s="79"/>
      <c r="BG32" s="79"/>
      <c r="BH32" s="79"/>
      <c r="BI32" s="79"/>
      <c r="BJ32" s="79"/>
      <c r="BK32" s="79"/>
      <c r="BL32" s="80"/>
    </row>
    <row r="33" spans="1:79" ht="10.5" hidden="1" customHeight="1" x14ac:dyDescent="0.2">
      <c r="A33" s="39" t="s">
        <v>13</v>
      </c>
      <c r="B33" s="39"/>
      <c r="C33" s="39"/>
      <c r="D33" s="39"/>
      <c r="E33" s="39"/>
      <c r="F33" s="39"/>
      <c r="G33" s="82" t="s">
        <v>14</v>
      </c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4"/>
      <c r="CA33" s="1" t="s">
        <v>50</v>
      </c>
    </row>
    <row r="34" spans="1:79" ht="15" customHeight="1" x14ac:dyDescent="0.2">
      <c r="A34" s="39">
        <v>1</v>
      </c>
      <c r="B34" s="39"/>
      <c r="C34" s="39"/>
      <c r="D34" s="39"/>
      <c r="E34" s="39"/>
      <c r="F34" s="39"/>
      <c r="G34" s="110" t="s">
        <v>79</v>
      </c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1"/>
      <c r="AQ34" s="111"/>
      <c r="AR34" s="111"/>
      <c r="AS34" s="111"/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111"/>
      <c r="BE34" s="111"/>
      <c r="BF34" s="111"/>
      <c r="BG34" s="111"/>
      <c r="BH34" s="111"/>
      <c r="BI34" s="111"/>
      <c r="BJ34" s="111"/>
      <c r="BK34" s="111"/>
      <c r="BL34" s="112"/>
      <c r="CA34" s="1" t="s">
        <v>48</v>
      </c>
    </row>
    <row r="36" spans="1:79" ht="15.75" customHeight="1" x14ac:dyDescent="0.2">
      <c r="A36" s="56" t="s">
        <v>72</v>
      </c>
      <c r="B36" s="56"/>
      <c r="C36" s="56"/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56"/>
      <c r="BI36" s="56"/>
      <c r="BJ36" s="56"/>
      <c r="BK36" s="56"/>
      <c r="BL36" s="56"/>
      <c r="BM36" s="56"/>
      <c r="BN36" s="56"/>
      <c r="BO36" s="56"/>
      <c r="BP36" s="56"/>
      <c r="BQ36" s="56"/>
    </row>
    <row r="37" spans="1:79" ht="15.75" customHeight="1" x14ac:dyDescent="0.2">
      <c r="A37" s="56" t="s">
        <v>73</v>
      </c>
      <c r="B37" s="56"/>
      <c r="C37" s="56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56"/>
      <c r="BI37" s="56"/>
      <c r="BJ37" s="56"/>
      <c r="BK37" s="56"/>
      <c r="BL37" s="56"/>
      <c r="BM37" s="56"/>
      <c r="BN37" s="56"/>
      <c r="BO37" s="56"/>
      <c r="BP37" s="56"/>
      <c r="BQ37" s="56"/>
    </row>
    <row r="38" spans="1:79" ht="15" customHeight="1" x14ac:dyDescent="0.2">
      <c r="A38" s="99" t="s">
        <v>149</v>
      </c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99"/>
      <c r="BB38" s="99"/>
      <c r="BC38" s="99"/>
      <c r="BD38" s="99"/>
      <c r="BE38" s="99"/>
      <c r="BF38" s="99"/>
      <c r="BG38" s="99"/>
      <c r="BH38" s="99"/>
      <c r="BI38" s="99"/>
      <c r="BJ38" s="99"/>
      <c r="BK38" s="99"/>
      <c r="BL38" s="99"/>
      <c r="BM38" s="99"/>
      <c r="BN38" s="99"/>
      <c r="BO38" s="99"/>
      <c r="BP38" s="99"/>
      <c r="BQ38" s="99"/>
    </row>
    <row r="39" spans="1:79" ht="48" customHeight="1" x14ac:dyDescent="0.2">
      <c r="A39" s="62" t="s">
        <v>3</v>
      </c>
      <c r="B39" s="62"/>
      <c r="C39" s="62" t="s">
        <v>67</v>
      </c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 t="s">
        <v>25</v>
      </c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 t="s">
        <v>44</v>
      </c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2" t="s">
        <v>0</v>
      </c>
      <c r="BE39" s="62"/>
      <c r="BF39" s="62"/>
      <c r="BG39" s="62"/>
      <c r="BH39" s="62"/>
      <c r="BI39" s="62"/>
      <c r="BJ39" s="62"/>
      <c r="BK39" s="62"/>
      <c r="BL39" s="62"/>
      <c r="BM39" s="62"/>
      <c r="BN39" s="62"/>
      <c r="BO39" s="62"/>
      <c r="BP39" s="62"/>
      <c r="BQ39" s="62"/>
    </row>
    <row r="40" spans="1:79" ht="29.1" customHeight="1" x14ac:dyDescent="0.2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 t="s">
        <v>2</v>
      </c>
      <c r="AB40" s="62"/>
      <c r="AC40" s="62"/>
      <c r="AD40" s="62"/>
      <c r="AE40" s="62"/>
      <c r="AF40" s="62" t="s">
        <v>1</v>
      </c>
      <c r="AG40" s="62"/>
      <c r="AH40" s="62"/>
      <c r="AI40" s="62"/>
      <c r="AJ40" s="62"/>
      <c r="AK40" s="62" t="s">
        <v>26</v>
      </c>
      <c r="AL40" s="62"/>
      <c r="AM40" s="62"/>
      <c r="AN40" s="62"/>
      <c r="AO40" s="62"/>
      <c r="AP40" s="62" t="s">
        <v>2</v>
      </c>
      <c r="AQ40" s="62"/>
      <c r="AR40" s="62"/>
      <c r="AS40" s="62"/>
      <c r="AT40" s="62"/>
      <c r="AU40" s="62" t="s">
        <v>1</v>
      </c>
      <c r="AV40" s="62"/>
      <c r="AW40" s="62"/>
      <c r="AX40" s="62"/>
      <c r="AY40" s="62"/>
      <c r="AZ40" s="62" t="s">
        <v>26</v>
      </c>
      <c r="BA40" s="62"/>
      <c r="BB40" s="62"/>
      <c r="BC40" s="62"/>
      <c r="BD40" s="62" t="s">
        <v>2</v>
      </c>
      <c r="BE40" s="62"/>
      <c r="BF40" s="62"/>
      <c r="BG40" s="62"/>
      <c r="BH40" s="62"/>
      <c r="BI40" s="62" t="s">
        <v>1</v>
      </c>
      <c r="BJ40" s="62"/>
      <c r="BK40" s="62"/>
      <c r="BL40" s="62"/>
      <c r="BM40" s="62"/>
      <c r="BN40" s="62" t="s">
        <v>27</v>
      </c>
      <c r="BO40" s="62"/>
      <c r="BP40" s="62"/>
      <c r="BQ40" s="62"/>
    </row>
    <row r="41" spans="1:79" ht="15.95" customHeight="1" x14ac:dyDescent="0.2">
      <c r="A41" s="62">
        <v>1</v>
      </c>
      <c r="B41" s="62"/>
      <c r="C41" s="62">
        <v>2</v>
      </c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7">
        <v>3</v>
      </c>
      <c r="AB41" s="63"/>
      <c r="AC41" s="63"/>
      <c r="AD41" s="63"/>
      <c r="AE41" s="64"/>
      <c r="AF41" s="57">
        <v>4</v>
      </c>
      <c r="AG41" s="63"/>
      <c r="AH41" s="63"/>
      <c r="AI41" s="63"/>
      <c r="AJ41" s="64"/>
      <c r="AK41" s="57">
        <v>5</v>
      </c>
      <c r="AL41" s="63"/>
      <c r="AM41" s="63"/>
      <c r="AN41" s="63"/>
      <c r="AO41" s="64"/>
      <c r="AP41" s="57">
        <v>6</v>
      </c>
      <c r="AQ41" s="63"/>
      <c r="AR41" s="63"/>
      <c r="AS41" s="63"/>
      <c r="AT41" s="64"/>
      <c r="AU41" s="57">
        <v>7</v>
      </c>
      <c r="AV41" s="63"/>
      <c r="AW41" s="63"/>
      <c r="AX41" s="63"/>
      <c r="AY41" s="64"/>
      <c r="AZ41" s="57">
        <v>8</v>
      </c>
      <c r="BA41" s="63"/>
      <c r="BB41" s="63"/>
      <c r="BC41" s="64"/>
      <c r="BD41" s="57">
        <v>9</v>
      </c>
      <c r="BE41" s="63"/>
      <c r="BF41" s="63"/>
      <c r="BG41" s="63"/>
      <c r="BH41" s="64"/>
      <c r="BI41" s="62">
        <v>10</v>
      </c>
      <c r="BJ41" s="62"/>
      <c r="BK41" s="62"/>
      <c r="BL41" s="62"/>
      <c r="BM41" s="62"/>
      <c r="BN41" s="62">
        <v>11</v>
      </c>
      <c r="BO41" s="62"/>
      <c r="BP41" s="62"/>
      <c r="BQ41" s="62"/>
    </row>
    <row r="42" spans="1:79" ht="15.75" hidden="1" customHeight="1" x14ac:dyDescent="0.2">
      <c r="A42" s="39" t="s">
        <v>13</v>
      </c>
      <c r="B42" s="39"/>
      <c r="C42" s="109" t="s">
        <v>14</v>
      </c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55"/>
      <c r="AA42" s="65" t="s">
        <v>10</v>
      </c>
      <c r="AB42" s="65"/>
      <c r="AC42" s="65"/>
      <c r="AD42" s="65"/>
      <c r="AE42" s="65"/>
      <c r="AF42" s="65" t="s">
        <v>9</v>
      </c>
      <c r="AG42" s="65"/>
      <c r="AH42" s="65"/>
      <c r="AI42" s="65"/>
      <c r="AJ42" s="65"/>
      <c r="AK42" s="31" t="s">
        <v>16</v>
      </c>
      <c r="AL42" s="31"/>
      <c r="AM42" s="31"/>
      <c r="AN42" s="31"/>
      <c r="AO42" s="31"/>
      <c r="AP42" s="65" t="s">
        <v>11</v>
      </c>
      <c r="AQ42" s="65"/>
      <c r="AR42" s="65"/>
      <c r="AS42" s="65"/>
      <c r="AT42" s="65"/>
      <c r="AU42" s="65" t="s">
        <v>12</v>
      </c>
      <c r="AV42" s="65"/>
      <c r="AW42" s="65"/>
      <c r="AX42" s="65"/>
      <c r="AY42" s="65"/>
      <c r="AZ42" s="31" t="s">
        <v>16</v>
      </c>
      <c r="BA42" s="31"/>
      <c r="BB42" s="31"/>
      <c r="BC42" s="31"/>
      <c r="BD42" s="39" t="s">
        <v>31</v>
      </c>
      <c r="BE42" s="39"/>
      <c r="BF42" s="39"/>
      <c r="BG42" s="39"/>
      <c r="BH42" s="39"/>
      <c r="BI42" s="39" t="s">
        <v>31</v>
      </c>
      <c r="BJ42" s="39"/>
      <c r="BK42" s="39"/>
      <c r="BL42" s="39"/>
      <c r="BM42" s="39"/>
      <c r="BN42" s="108" t="s">
        <v>16</v>
      </c>
      <c r="BO42" s="108"/>
      <c r="BP42" s="108"/>
      <c r="BQ42" s="108"/>
      <c r="CA42" s="1" t="s">
        <v>19</v>
      </c>
    </row>
    <row r="43" spans="1:79" ht="15" customHeight="1" x14ac:dyDescent="0.2">
      <c r="A43" s="39">
        <v>1</v>
      </c>
      <c r="B43" s="39"/>
      <c r="C43" s="40" t="s">
        <v>80</v>
      </c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2"/>
      <c r="AA43" s="47">
        <v>4019332</v>
      </c>
      <c r="AB43" s="47"/>
      <c r="AC43" s="47"/>
      <c r="AD43" s="47"/>
      <c r="AE43" s="47"/>
      <c r="AF43" s="47">
        <v>0</v>
      </c>
      <c r="AG43" s="47"/>
      <c r="AH43" s="47"/>
      <c r="AI43" s="47"/>
      <c r="AJ43" s="47"/>
      <c r="AK43" s="47">
        <f t="shared" ref="AK43:AK68" si="0">AA43+AF43</f>
        <v>4019332</v>
      </c>
      <c r="AL43" s="47"/>
      <c r="AM43" s="47"/>
      <c r="AN43" s="47"/>
      <c r="AO43" s="47"/>
      <c r="AP43" s="47">
        <v>3931761.76</v>
      </c>
      <c r="AQ43" s="47"/>
      <c r="AR43" s="47"/>
      <c r="AS43" s="47"/>
      <c r="AT43" s="47"/>
      <c r="AU43" s="47">
        <v>0</v>
      </c>
      <c r="AV43" s="47"/>
      <c r="AW43" s="47"/>
      <c r="AX43" s="47"/>
      <c r="AY43" s="47"/>
      <c r="AZ43" s="47">
        <f t="shared" ref="AZ43:AZ68" si="1">AP43+AU43</f>
        <v>3931761.76</v>
      </c>
      <c r="BA43" s="47"/>
      <c r="BB43" s="47"/>
      <c r="BC43" s="47"/>
      <c r="BD43" s="47">
        <f t="shared" ref="BD43:BD68" si="2">AP43-AA43</f>
        <v>-87570.240000000224</v>
      </c>
      <c r="BE43" s="47"/>
      <c r="BF43" s="47"/>
      <c r="BG43" s="47"/>
      <c r="BH43" s="47"/>
      <c r="BI43" s="47">
        <f t="shared" ref="BI43:BI68" si="3">AU43-AF43</f>
        <v>0</v>
      </c>
      <c r="BJ43" s="47"/>
      <c r="BK43" s="47"/>
      <c r="BL43" s="47"/>
      <c r="BM43" s="47"/>
      <c r="BN43" s="47">
        <f t="shared" ref="BN43:BN68" si="4">BD43+BI43</f>
        <v>-87570.240000000224</v>
      </c>
      <c r="BO43" s="47"/>
      <c r="BP43" s="47"/>
      <c r="BQ43" s="47"/>
      <c r="CA43" s="1" t="s">
        <v>20</v>
      </c>
    </row>
    <row r="44" spans="1:79" ht="15" customHeight="1" x14ac:dyDescent="0.2">
      <c r="A44" s="39">
        <v>2</v>
      </c>
      <c r="B44" s="39"/>
      <c r="C44" s="40" t="s">
        <v>81</v>
      </c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2"/>
      <c r="AA44" s="47">
        <v>867607</v>
      </c>
      <c r="AB44" s="47"/>
      <c r="AC44" s="47"/>
      <c r="AD44" s="47"/>
      <c r="AE44" s="47"/>
      <c r="AF44" s="47">
        <v>0</v>
      </c>
      <c r="AG44" s="47"/>
      <c r="AH44" s="47"/>
      <c r="AI44" s="47"/>
      <c r="AJ44" s="47"/>
      <c r="AK44" s="47">
        <f t="shared" si="0"/>
        <v>867607</v>
      </c>
      <c r="AL44" s="47"/>
      <c r="AM44" s="47"/>
      <c r="AN44" s="47"/>
      <c r="AO44" s="47"/>
      <c r="AP44" s="47">
        <v>846259.53</v>
      </c>
      <c r="AQ44" s="47"/>
      <c r="AR44" s="47"/>
      <c r="AS44" s="47"/>
      <c r="AT44" s="47"/>
      <c r="AU44" s="47">
        <v>0</v>
      </c>
      <c r="AV44" s="47"/>
      <c r="AW44" s="47"/>
      <c r="AX44" s="47"/>
      <c r="AY44" s="47"/>
      <c r="AZ44" s="47">
        <f t="shared" si="1"/>
        <v>846259.53</v>
      </c>
      <c r="BA44" s="47"/>
      <c r="BB44" s="47"/>
      <c r="BC44" s="47"/>
      <c r="BD44" s="47">
        <f t="shared" si="2"/>
        <v>-21347.469999999972</v>
      </c>
      <c r="BE44" s="47"/>
      <c r="BF44" s="47"/>
      <c r="BG44" s="47"/>
      <c r="BH44" s="47"/>
      <c r="BI44" s="47">
        <f t="shared" si="3"/>
        <v>0</v>
      </c>
      <c r="BJ44" s="47"/>
      <c r="BK44" s="47"/>
      <c r="BL44" s="47"/>
      <c r="BM44" s="47"/>
      <c r="BN44" s="47">
        <f t="shared" si="4"/>
        <v>-21347.469999999972</v>
      </c>
      <c r="BO44" s="47"/>
      <c r="BP44" s="47"/>
      <c r="BQ44" s="47"/>
    </row>
    <row r="45" spans="1:79" ht="15" customHeight="1" x14ac:dyDescent="0.2">
      <c r="A45" s="39">
        <v>3</v>
      </c>
      <c r="B45" s="39"/>
      <c r="C45" s="40" t="s">
        <v>82</v>
      </c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2"/>
      <c r="AA45" s="47">
        <v>4635</v>
      </c>
      <c r="AB45" s="47"/>
      <c r="AC45" s="47"/>
      <c r="AD45" s="47"/>
      <c r="AE45" s="47"/>
      <c r="AF45" s="47">
        <v>0</v>
      </c>
      <c r="AG45" s="47"/>
      <c r="AH45" s="47"/>
      <c r="AI45" s="47"/>
      <c r="AJ45" s="47"/>
      <c r="AK45" s="47">
        <f t="shared" si="0"/>
        <v>4635</v>
      </c>
      <c r="AL45" s="47"/>
      <c r="AM45" s="47"/>
      <c r="AN45" s="47"/>
      <c r="AO45" s="47"/>
      <c r="AP45" s="47">
        <v>4635</v>
      </c>
      <c r="AQ45" s="47"/>
      <c r="AR45" s="47"/>
      <c r="AS45" s="47"/>
      <c r="AT45" s="47"/>
      <c r="AU45" s="47">
        <v>0</v>
      </c>
      <c r="AV45" s="47"/>
      <c r="AW45" s="47"/>
      <c r="AX45" s="47"/>
      <c r="AY45" s="47"/>
      <c r="AZ45" s="47">
        <f t="shared" si="1"/>
        <v>4635</v>
      </c>
      <c r="BA45" s="47"/>
      <c r="BB45" s="47"/>
      <c r="BC45" s="47"/>
      <c r="BD45" s="47">
        <f t="shared" si="2"/>
        <v>0</v>
      </c>
      <c r="BE45" s="47"/>
      <c r="BF45" s="47"/>
      <c r="BG45" s="47"/>
      <c r="BH45" s="47"/>
      <c r="BI45" s="47">
        <f t="shared" si="3"/>
        <v>0</v>
      </c>
      <c r="BJ45" s="47"/>
      <c r="BK45" s="47"/>
      <c r="BL45" s="47"/>
      <c r="BM45" s="47"/>
      <c r="BN45" s="47">
        <f t="shared" si="4"/>
        <v>0</v>
      </c>
      <c r="BO45" s="47"/>
      <c r="BP45" s="47"/>
      <c r="BQ45" s="47"/>
    </row>
    <row r="46" spans="1:79" ht="25.5" customHeight="1" x14ac:dyDescent="0.2">
      <c r="A46" s="39">
        <v>4</v>
      </c>
      <c r="B46" s="39"/>
      <c r="C46" s="40" t="s">
        <v>83</v>
      </c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2"/>
      <c r="AA46" s="47">
        <v>4000</v>
      </c>
      <c r="AB46" s="47"/>
      <c r="AC46" s="47"/>
      <c r="AD46" s="47"/>
      <c r="AE46" s="47"/>
      <c r="AF46" s="47">
        <v>0</v>
      </c>
      <c r="AG46" s="47"/>
      <c r="AH46" s="47"/>
      <c r="AI46" s="47"/>
      <c r="AJ46" s="47"/>
      <c r="AK46" s="47">
        <f t="shared" si="0"/>
        <v>4000</v>
      </c>
      <c r="AL46" s="47"/>
      <c r="AM46" s="47"/>
      <c r="AN46" s="47"/>
      <c r="AO46" s="47"/>
      <c r="AP46" s="47">
        <v>4000</v>
      </c>
      <c r="AQ46" s="47"/>
      <c r="AR46" s="47"/>
      <c r="AS46" s="47"/>
      <c r="AT46" s="47"/>
      <c r="AU46" s="47">
        <v>0</v>
      </c>
      <c r="AV46" s="47"/>
      <c r="AW46" s="47"/>
      <c r="AX46" s="47"/>
      <c r="AY46" s="47"/>
      <c r="AZ46" s="47">
        <f t="shared" si="1"/>
        <v>4000</v>
      </c>
      <c r="BA46" s="47"/>
      <c r="BB46" s="47"/>
      <c r="BC46" s="47"/>
      <c r="BD46" s="47">
        <f t="shared" si="2"/>
        <v>0</v>
      </c>
      <c r="BE46" s="47"/>
      <c r="BF46" s="47"/>
      <c r="BG46" s="47"/>
      <c r="BH46" s="47"/>
      <c r="BI46" s="47">
        <f t="shared" si="3"/>
        <v>0</v>
      </c>
      <c r="BJ46" s="47"/>
      <c r="BK46" s="47"/>
      <c r="BL46" s="47"/>
      <c r="BM46" s="47"/>
      <c r="BN46" s="47">
        <f t="shared" si="4"/>
        <v>0</v>
      </c>
      <c r="BO46" s="47"/>
      <c r="BP46" s="47"/>
      <c r="BQ46" s="47"/>
    </row>
    <row r="47" spans="1:79" ht="15" customHeight="1" x14ac:dyDescent="0.2">
      <c r="A47" s="39">
        <v>5</v>
      </c>
      <c r="B47" s="39"/>
      <c r="C47" s="40" t="s">
        <v>84</v>
      </c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2"/>
      <c r="AA47" s="47">
        <v>643770</v>
      </c>
      <c r="AB47" s="47"/>
      <c r="AC47" s="47"/>
      <c r="AD47" s="47"/>
      <c r="AE47" s="47"/>
      <c r="AF47" s="47">
        <v>0</v>
      </c>
      <c r="AG47" s="47"/>
      <c r="AH47" s="47"/>
      <c r="AI47" s="47"/>
      <c r="AJ47" s="47"/>
      <c r="AK47" s="47">
        <f t="shared" si="0"/>
        <v>643770</v>
      </c>
      <c r="AL47" s="47"/>
      <c r="AM47" s="47"/>
      <c r="AN47" s="47"/>
      <c r="AO47" s="47"/>
      <c r="AP47" s="47">
        <v>616295.97</v>
      </c>
      <c r="AQ47" s="47"/>
      <c r="AR47" s="47"/>
      <c r="AS47" s="47"/>
      <c r="AT47" s="47"/>
      <c r="AU47" s="47">
        <v>0</v>
      </c>
      <c r="AV47" s="47"/>
      <c r="AW47" s="47"/>
      <c r="AX47" s="47"/>
      <c r="AY47" s="47"/>
      <c r="AZ47" s="47">
        <f t="shared" si="1"/>
        <v>616295.97</v>
      </c>
      <c r="BA47" s="47"/>
      <c r="BB47" s="47"/>
      <c r="BC47" s="47"/>
      <c r="BD47" s="47">
        <f t="shared" si="2"/>
        <v>-27474.030000000028</v>
      </c>
      <c r="BE47" s="47"/>
      <c r="BF47" s="47"/>
      <c r="BG47" s="47"/>
      <c r="BH47" s="47"/>
      <c r="BI47" s="47">
        <f t="shared" si="3"/>
        <v>0</v>
      </c>
      <c r="BJ47" s="47"/>
      <c r="BK47" s="47"/>
      <c r="BL47" s="47"/>
      <c r="BM47" s="47"/>
      <c r="BN47" s="47">
        <f t="shared" si="4"/>
        <v>-27474.030000000028</v>
      </c>
      <c r="BO47" s="47"/>
      <c r="BP47" s="47"/>
      <c r="BQ47" s="47"/>
    </row>
    <row r="48" spans="1:79" ht="15" customHeight="1" x14ac:dyDescent="0.2">
      <c r="A48" s="39">
        <v>6</v>
      </c>
      <c r="B48" s="39"/>
      <c r="C48" s="40" t="s">
        <v>85</v>
      </c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2"/>
      <c r="AA48" s="47">
        <v>78284</v>
      </c>
      <c r="AB48" s="47"/>
      <c r="AC48" s="47"/>
      <c r="AD48" s="47"/>
      <c r="AE48" s="47"/>
      <c r="AF48" s="47">
        <v>0</v>
      </c>
      <c r="AG48" s="47"/>
      <c r="AH48" s="47"/>
      <c r="AI48" s="47"/>
      <c r="AJ48" s="47"/>
      <c r="AK48" s="47">
        <f t="shared" si="0"/>
        <v>78284</v>
      </c>
      <c r="AL48" s="47"/>
      <c r="AM48" s="47"/>
      <c r="AN48" s="47"/>
      <c r="AO48" s="47"/>
      <c r="AP48" s="47">
        <v>10614</v>
      </c>
      <c r="AQ48" s="47"/>
      <c r="AR48" s="47"/>
      <c r="AS48" s="47"/>
      <c r="AT48" s="47"/>
      <c r="AU48" s="47">
        <v>0</v>
      </c>
      <c r="AV48" s="47"/>
      <c r="AW48" s="47"/>
      <c r="AX48" s="47"/>
      <c r="AY48" s="47"/>
      <c r="AZ48" s="47">
        <f t="shared" si="1"/>
        <v>10614</v>
      </c>
      <c r="BA48" s="47"/>
      <c r="BB48" s="47"/>
      <c r="BC48" s="47"/>
      <c r="BD48" s="47">
        <f t="shared" si="2"/>
        <v>-67670</v>
      </c>
      <c r="BE48" s="47"/>
      <c r="BF48" s="47"/>
      <c r="BG48" s="47"/>
      <c r="BH48" s="47"/>
      <c r="BI48" s="47">
        <f t="shared" si="3"/>
        <v>0</v>
      </c>
      <c r="BJ48" s="47"/>
      <c r="BK48" s="47"/>
      <c r="BL48" s="47"/>
      <c r="BM48" s="47"/>
      <c r="BN48" s="47">
        <f t="shared" si="4"/>
        <v>-67670</v>
      </c>
      <c r="BO48" s="47"/>
      <c r="BP48" s="47"/>
      <c r="BQ48" s="47"/>
    </row>
    <row r="49" spans="1:69" ht="15" customHeight="1" x14ac:dyDescent="0.2">
      <c r="A49" s="39">
        <v>7</v>
      </c>
      <c r="B49" s="39"/>
      <c r="C49" s="40" t="s">
        <v>86</v>
      </c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2"/>
      <c r="AA49" s="47">
        <v>52250</v>
      </c>
      <c r="AB49" s="47"/>
      <c r="AC49" s="47"/>
      <c r="AD49" s="47"/>
      <c r="AE49" s="47"/>
      <c r="AF49" s="47">
        <v>0</v>
      </c>
      <c r="AG49" s="47"/>
      <c r="AH49" s="47"/>
      <c r="AI49" s="47"/>
      <c r="AJ49" s="47"/>
      <c r="AK49" s="47">
        <f t="shared" si="0"/>
        <v>52250</v>
      </c>
      <c r="AL49" s="47"/>
      <c r="AM49" s="47"/>
      <c r="AN49" s="47"/>
      <c r="AO49" s="47"/>
      <c r="AP49" s="47">
        <v>36186.339999999997</v>
      </c>
      <c r="AQ49" s="47"/>
      <c r="AR49" s="47"/>
      <c r="AS49" s="47"/>
      <c r="AT49" s="47"/>
      <c r="AU49" s="47">
        <v>0</v>
      </c>
      <c r="AV49" s="47"/>
      <c r="AW49" s="47"/>
      <c r="AX49" s="47"/>
      <c r="AY49" s="47"/>
      <c r="AZ49" s="47">
        <f t="shared" si="1"/>
        <v>36186.339999999997</v>
      </c>
      <c r="BA49" s="47"/>
      <c r="BB49" s="47"/>
      <c r="BC49" s="47"/>
      <c r="BD49" s="47">
        <f t="shared" si="2"/>
        <v>-16063.660000000003</v>
      </c>
      <c r="BE49" s="47"/>
      <c r="BF49" s="47"/>
      <c r="BG49" s="47"/>
      <c r="BH49" s="47"/>
      <c r="BI49" s="47">
        <f t="shared" si="3"/>
        <v>0</v>
      </c>
      <c r="BJ49" s="47"/>
      <c r="BK49" s="47"/>
      <c r="BL49" s="47"/>
      <c r="BM49" s="47"/>
      <c r="BN49" s="47">
        <f t="shared" si="4"/>
        <v>-16063.660000000003</v>
      </c>
      <c r="BO49" s="47"/>
      <c r="BP49" s="47"/>
      <c r="BQ49" s="47"/>
    </row>
    <row r="50" spans="1:69" ht="15" customHeight="1" x14ac:dyDescent="0.2">
      <c r="A50" s="39">
        <v>8</v>
      </c>
      <c r="B50" s="39"/>
      <c r="C50" s="40" t="s">
        <v>87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2"/>
      <c r="AA50" s="47">
        <v>24662</v>
      </c>
      <c r="AB50" s="47"/>
      <c r="AC50" s="47"/>
      <c r="AD50" s="47"/>
      <c r="AE50" s="47"/>
      <c r="AF50" s="47">
        <v>0</v>
      </c>
      <c r="AG50" s="47"/>
      <c r="AH50" s="47"/>
      <c r="AI50" s="47"/>
      <c r="AJ50" s="47"/>
      <c r="AK50" s="47">
        <f t="shared" si="0"/>
        <v>24662</v>
      </c>
      <c r="AL50" s="47"/>
      <c r="AM50" s="47"/>
      <c r="AN50" s="47"/>
      <c r="AO50" s="47"/>
      <c r="AP50" s="47">
        <v>24662</v>
      </c>
      <c r="AQ50" s="47"/>
      <c r="AR50" s="47"/>
      <c r="AS50" s="47"/>
      <c r="AT50" s="47"/>
      <c r="AU50" s="47">
        <v>0</v>
      </c>
      <c r="AV50" s="47"/>
      <c r="AW50" s="47"/>
      <c r="AX50" s="47"/>
      <c r="AY50" s="47"/>
      <c r="AZ50" s="47">
        <f t="shared" si="1"/>
        <v>24662</v>
      </c>
      <c r="BA50" s="47"/>
      <c r="BB50" s="47"/>
      <c r="BC50" s="47"/>
      <c r="BD50" s="47">
        <f t="shared" si="2"/>
        <v>0</v>
      </c>
      <c r="BE50" s="47"/>
      <c r="BF50" s="47"/>
      <c r="BG50" s="47"/>
      <c r="BH50" s="47"/>
      <c r="BI50" s="47">
        <f t="shared" si="3"/>
        <v>0</v>
      </c>
      <c r="BJ50" s="47"/>
      <c r="BK50" s="47"/>
      <c r="BL50" s="47"/>
      <c r="BM50" s="47"/>
      <c r="BN50" s="47">
        <f t="shared" si="4"/>
        <v>0</v>
      </c>
      <c r="BO50" s="47"/>
      <c r="BP50" s="47"/>
      <c r="BQ50" s="47"/>
    </row>
    <row r="51" spans="1:69" ht="25.5" customHeight="1" x14ac:dyDescent="0.2">
      <c r="A51" s="39">
        <v>9</v>
      </c>
      <c r="B51" s="39"/>
      <c r="C51" s="40" t="s">
        <v>88</v>
      </c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2"/>
      <c r="AA51" s="47">
        <v>6000</v>
      </c>
      <c r="AB51" s="47"/>
      <c r="AC51" s="47"/>
      <c r="AD51" s="47"/>
      <c r="AE51" s="47"/>
      <c r="AF51" s="47">
        <v>0</v>
      </c>
      <c r="AG51" s="47"/>
      <c r="AH51" s="47"/>
      <c r="AI51" s="47"/>
      <c r="AJ51" s="47"/>
      <c r="AK51" s="47">
        <f t="shared" si="0"/>
        <v>6000</v>
      </c>
      <c r="AL51" s="47"/>
      <c r="AM51" s="47"/>
      <c r="AN51" s="47"/>
      <c r="AO51" s="47"/>
      <c r="AP51" s="47">
        <v>6000</v>
      </c>
      <c r="AQ51" s="47"/>
      <c r="AR51" s="47"/>
      <c r="AS51" s="47"/>
      <c r="AT51" s="47"/>
      <c r="AU51" s="47">
        <v>0</v>
      </c>
      <c r="AV51" s="47"/>
      <c r="AW51" s="47"/>
      <c r="AX51" s="47"/>
      <c r="AY51" s="47"/>
      <c r="AZ51" s="47">
        <f t="shared" si="1"/>
        <v>6000</v>
      </c>
      <c r="BA51" s="47"/>
      <c r="BB51" s="47"/>
      <c r="BC51" s="47"/>
      <c r="BD51" s="47">
        <f t="shared" si="2"/>
        <v>0</v>
      </c>
      <c r="BE51" s="47"/>
      <c r="BF51" s="47"/>
      <c r="BG51" s="47"/>
      <c r="BH51" s="47"/>
      <c r="BI51" s="47">
        <f t="shared" si="3"/>
        <v>0</v>
      </c>
      <c r="BJ51" s="47"/>
      <c r="BK51" s="47"/>
      <c r="BL51" s="47"/>
      <c r="BM51" s="47"/>
      <c r="BN51" s="47">
        <f t="shared" si="4"/>
        <v>0</v>
      </c>
      <c r="BO51" s="47"/>
      <c r="BP51" s="47"/>
      <c r="BQ51" s="47"/>
    </row>
    <row r="52" spans="1:69" ht="25.5" customHeight="1" x14ac:dyDescent="0.2">
      <c r="A52" s="39">
        <v>10</v>
      </c>
      <c r="B52" s="39"/>
      <c r="C52" s="40" t="s">
        <v>89</v>
      </c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2"/>
      <c r="AA52" s="47">
        <v>92400</v>
      </c>
      <c r="AB52" s="47"/>
      <c r="AC52" s="47"/>
      <c r="AD52" s="47"/>
      <c r="AE52" s="47"/>
      <c r="AF52" s="47">
        <v>0</v>
      </c>
      <c r="AG52" s="47"/>
      <c r="AH52" s="47"/>
      <c r="AI52" s="47"/>
      <c r="AJ52" s="47"/>
      <c r="AK52" s="47">
        <f t="shared" si="0"/>
        <v>92400</v>
      </c>
      <c r="AL52" s="47"/>
      <c r="AM52" s="47"/>
      <c r="AN52" s="47"/>
      <c r="AO52" s="47"/>
      <c r="AP52" s="47">
        <v>92400</v>
      </c>
      <c r="AQ52" s="47"/>
      <c r="AR52" s="47"/>
      <c r="AS52" s="47"/>
      <c r="AT52" s="47"/>
      <c r="AU52" s="47">
        <v>0</v>
      </c>
      <c r="AV52" s="47"/>
      <c r="AW52" s="47"/>
      <c r="AX52" s="47"/>
      <c r="AY52" s="47"/>
      <c r="AZ52" s="47">
        <f t="shared" si="1"/>
        <v>92400</v>
      </c>
      <c r="BA52" s="47"/>
      <c r="BB52" s="47"/>
      <c r="BC52" s="47"/>
      <c r="BD52" s="47">
        <f t="shared" si="2"/>
        <v>0</v>
      </c>
      <c r="BE52" s="47"/>
      <c r="BF52" s="47"/>
      <c r="BG52" s="47"/>
      <c r="BH52" s="47"/>
      <c r="BI52" s="47">
        <f t="shared" si="3"/>
        <v>0</v>
      </c>
      <c r="BJ52" s="47"/>
      <c r="BK52" s="47"/>
      <c r="BL52" s="47"/>
      <c r="BM52" s="47"/>
      <c r="BN52" s="47">
        <f t="shared" si="4"/>
        <v>0</v>
      </c>
      <c r="BO52" s="47"/>
      <c r="BP52" s="47"/>
      <c r="BQ52" s="47"/>
    </row>
    <row r="53" spans="1:69" ht="15" customHeight="1" x14ac:dyDescent="0.2">
      <c r="A53" s="39">
        <v>11</v>
      </c>
      <c r="B53" s="39"/>
      <c r="C53" s="40" t="s">
        <v>90</v>
      </c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2"/>
      <c r="AA53" s="47">
        <v>1500</v>
      </c>
      <c r="AB53" s="47"/>
      <c r="AC53" s="47"/>
      <c r="AD53" s="47"/>
      <c r="AE53" s="47"/>
      <c r="AF53" s="47">
        <v>0</v>
      </c>
      <c r="AG53" s="47"/>
      <c r="AH53" s="47"/>
      <c r="AI53" s="47"/>
      <c r="AJ53" s="47"/>
      <c r="AK53" s="47">
        <f t="shared" si="0"/>
        <v>1500</v>
      </c>
      <c r="AL53" s="47"/>
      <c r="AM53" s="47"/>
      <c r="AN53" s="47"/>
      <c r="AO53" s="47"/>
      <c r="AP53" s="47">
        <v>1500</v>
      </c>
      <c r="AQ53" s="47"/>
      <c r="AR53" s="47"/>
      <c r="AS53" s="47"/>
      <c r="AT53" s="47"/>
      <c r="AU53" s="47">
        <v>0</v>
      </c>
      <c r="AV53" s="47"/>
      <c r="AW53" s="47"/>
      <c r="AX53" s="47"/>
      <c r="AY53" s="47"/>
      <c r="AZ53" s="47">
        <f t="shared" si="1"/>
        <v>1500</v>
      </c>
      <c r="BA53" s="47"/>
      <c r="BB53" s="47"/>
      <c r="BC53" s="47"/>
      <c r="BD53" s="47">
        <f t="shared" si="2"/>
        <v>0</v>
      </c>
      <c r="BE53" s="47"/>
      <c r="BF53" s="47"/>
      <c r="BG53" s="47"/>
      <c r="BH53" s="47"/>
      <c r="BI53" s="47">
        <f t="shared" si="3"/>
        <v>0</v>
      </c>
      <c r="BJ53" s="47"/>
      <c r="BK53" s="47"/>
      <c r="BL53" s="47"/>
      <c r="BM53" s="47"/>
      <c r="BN53" s="47">
        <f t="shared" si="4"/>
        <v>0</v>
      </c>
      <c r="BO53" s="47"/>
      <c r="BP53" s="47"/>
      <c r="BQ53" s="47"/>
    </row>
    <row r="54" spans="1:69" ht="15" customHeight="1" x14ac:dyDescent="0.2">
      <c r="A54" s="39">
        <v>12</v>
      </c>
      <c r="B54" s="39"/>
      <c r="C54" s="40" t="s">
        <v>91</v>
      </c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2"/>
      <c r="AA54" s="47">
        <v>17700</v>
      </c>
      <c r="AB54" s="47"/>
      <c r="AC54" s="47"/>
      <c r="AD54" s="47"/>
      <c r="AE54" s="47"/>
      <c r="AF54" s="47">
        <v>0</v>
      </c>
      <c r="AG54" s="47"/>
      <c r="AH54" s="47"/>
      <c r="AI54" s="47"/>
      <c r="AJ54" s="47"/>
      <c r="AK54" s="47">
        <f t="shared" si="0"/>
        <v>17700</v>
      </c>
      <c r="AL54" s="47"/>
      <c r="AM54" s="47"/>
      <c r="AN54" s="47"/>
      <c r="AO54" s="47"/>
      <c r="AP54" s="47">
        <v>17700</v>
      </c>
      <c r="AQ54" s="47"/>
      <c r="AR54" s="47"/>
      <c r="AS54" s="47"/>
      <c r="AT54" s="47"/>
      <c r="AU54" s="47">
        <v>0</v>
      </c>
      <c r="AV54" s="47"/>
      <c r="AW54" s="47"/>
      <c r="AX54" s="47"/>
      <c r="AY54" s="47"/>
      <c r="AZ54" s="47">
        <f t="shared" si="1"/>
        <v>17700</v>
      </c>
      <c r="BA54" s="47"/>
      <c r="BB54" s="47"/>
      <c r="BC54" s="47"/>
      <c r="BD54" s="47">
        <f t="shared" si="2"/>
        <v>0</v>
      </c>
      <c r="BE54" s="47"/>
      <c r="BF54" s="47"/>
      <c r="BG54" s="47"/>
      <c r="BH54" s="47"/>
      <c r="BI54" s="47">
        <f t="shared" si="3"/>
        <v>0</v>
      </c>
      <c r="BJ54" s="47"/>
      <c r="BK54" s="47"/>
      <c r="BL54" s="47"/>
      <c r="BM54" s="47"/>
      <c r="BN54" s="47">
        <f t="shared" si="4"/>
        <v>0</v>
      </c>
      <c r="BO54" s="47"/>
      <c r="BP54" s="47"/>
      <c r="BQ54" s="47"/>
    </row>
    <row r="55" spans="1:69" ht="15" customHeight="1" x14ac:dyDescent="0.2">
      <c r="A55" s="39">
        <v>13</v>
      </c>
      <c r="B55" s="39"/>
      <c r="C55" s="40" t="s">
        <v>92</v>
      </c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2"/>
      <c r="AA55" s="47">
        <v>1920</v>
      </c>
      <c r="AB55" s="47"/>
      <c r="AC55" s="47"/>
      <c r="AD55" s="47"/>
      <c r="AE55" s="47"/>
      <c r="AF55" s="47">
        <v>0</v>
      </c>
      <c r="AG55" s="47"/>
      <c r="AH55" s="47"/>
      <c r="AI55" s="47"/>
      <c r="AJ55" s="47"/>
      <c r="AK55" s="47">
        <f t="shared" si="0"/>
        <v>1920</v>
      </c>
      <c r="AL55" s="47"/>
      <c r="AM55" s="47"/>
      <c r="AN55" s="47"/>
      <c r="AO55" s="47"/>
      <c r="AP55" s="47">
        <v>1920</v>
      </c>
      <c r="AQ55" s="47"/>
      <c r="AR55" s="47"/>
      <c r="AS55" s="47"/>
      <c r="AT55" s="47"/>
      <c r="AU55" s="47">
        <v>0</v>
      </c>
      <c r="AV55" s="47"/>
      <c r="AW55" s="47"/>
      <c r="AX55" s="47"/>
      <c r="AY55" s="47"/>
      <c r="AZ55" s="47">
        <f t="shared" si="1"/>
        <v>1920</v>
      </c>
      <c r="BA55" s="47"/>
      <c r="BB55" s="47"/>
      <c r="BC55" s="47"/>
      <c r="BD55" s="47">
        <f t="shared" si="2"/>
        <v>0</v>
      </c>
      <c r="BE55" s="47"/>
      <c r="BF55" s="47"/>
      <c r="BG55" s="47"/>
      <c r="BH55" s="47"/>
      <c r="BI55" s="47">
        <f t="shared" si="3"/>
        <v>0</v>
      </c>
      <c r="BJ55" s="47"/>
      <c r="BK55" s="47"/>
      <c r="BL55" s="47"/>
      <c r="BM55" s="47"/>
      <c r="BN55" s="47">
        <f t="shared" si="4"/>
        <v>0</v>
      </c>
      <c r="BO55" s="47"/>
      <c r="BP55" s="47"/>
      <c r="BQ55" s="47"/>
    </row>
    <row r="56" spans="1:69" ht="25.5" customHeight="1" x14ac:dyDescent="0.2">
      <c r="A56" s="39">
        <v>14</v>
      </c>
      <c r="B56" s="39"/>
      <c r="C56" s="40" t="s">
        <v>93</v>
      </c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2"/>
      <c r="AA56" s="47">
        <v>83000</v>
      </c>
      <c r="AB56" s="47"/>
      <c r="AC56" s="47"/>
      <c r="AD56" s="47"/>
      <c r="AE56" s="47"/>
      <c r="AF56" s="47">
        <v>0</v>
      </c>
      <c r="AG56" s="47"/>
      <c r="AH56" s="47"/>
      <c r="AI56" s="47"/>
      <c r="AJ56" s="47"/>
      <c r="AK56" s="47">
        <f t="shared" si="0"/>
        <v>83000</v>
      </c>
      <c r="AL56" s="47"/>
      <c r="AM56" s="47"/>
      <c r="AN56" s="47"/>
      <c r="AO56" s="47"/>
      <c r="AP56" s="47">
        <v>42707.199999999997</v>
      </c>
      <c r="AQ56" s="47"/>
      <c r="AR56" s="47"/>
      <c r="AS56" s="47"/>
      <c r="AT56" s="47"/>
      <c r="AU56" s="47">
        <v>0</v>
      </c>
      <c r="AV56" s="47"/>
      <c r="AW56" s="47"/>
      <c r="AX56" s="47"/>
      <c r="AY56" s="47"/>
      <c r="AZ56" s="47">
        <f t="shared" si="1"/>
        <v>42707.199999999997</v>
      </c>
      <c r="BA56" s="47"/>
      <c r="BB56" s="47"/>
      <c r="BC56" s="47"/>
      <c r="BD56" s="47">
        <f t="shared" si="2"/>
        <v>-40292.800000000003</v>
      </c>
      <c r="BE56" s="47"/>
      <c r="BF56" s="47"/>
      <c r="BG56" s="47"/>
      <c r="BH56" s="47"/>
      <c r="BI56" s="47">
        <f t="shared" si="3"/>
        <v>0</v>
      </c>
      <c r="BJ56" s="47"/>
      <c r="BK56" s="47"/>
      <c r="BL56" s="47"/>
      <c r="BM56" s="47"/>
      <c r="BN56" s="47">
        <f t="shared" si="4"/>
        <v>-40292.800000000003</v>
      </c>
      <c r="BO56" s="47"/>
      <c r="BP56" s="47"/>
      <c r="BQ56" s="47"/>
    </row>
    <row r="57" spans="1:69" ht="15" customHeight="1" x14ac:dyDescent="0.2">
      <c r="A57" s="39">
        <v>15</v>
      </c>
      <c r="B57" s="39"/>
      <c r="C57" s="40" t="s">
        <v>94</v>
      </c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2"/>
      <c r="AA57" s="47">
        <v>41069</v>
      </c>
      <c r="AB57" s="47"/>
      <c r="AC57" s="47"/>
      <c r="AD57" s="47"/>
      <c r="AE57" s="47"/>
      <c r="AF57" s="47">
        <v>0</v>
      </c>
      <c r="AG57" s="47"/>
      <c r="AH57" s="47"/>
      <c r="AI57" s="47"/>
      <c r="AJ57" s="47"/>
      <c r="AK57" s="47">
        <f t="shared" si="0"/>
        <v>41069</v>
      </c>
      <c r="AL57" s="47"/>
      <c r="AM57" s="47"/>
      <c r="AN57" s="47"/>
      <c r="AO57" s="47"/>
      <c r="AP57" s="47">
        <v>37302.26</v>
      </c>
      <c r="AQ57" s="47"/>
      <c r="AR57" s="47"/>
      <c r="AS57" s="47"/>
      <c r="AT57" s="47"/>
      <c r="AU57" s="47">
        <v>0</v>
      </c>
      <c r="AV57" s="47"/>
      <c r="AW57" s="47"/>
      <c r="AX57" s="47"/>
      <c r="AY57" s="47"/>
      <c r="AZ57" s="47">
        <f t="shared" si="1"/>
        <v>37302.26</v>
      </c>
      <c r="BA57" s="47"/>
      <c r="BB57" s="47"/>
      <c r="BC57" s="47"/>
      <c r="BD57" s="47">
        <f t="shared" si="2"/>
        <v>-3766.739999999998</v>
      </c>
      <c r="BE57" s="47"/>
      <c r="BF57" s="47"/>
      <c r="BG57" s="47"/>
      <c r="BH57" s="47"/>
      <c r="BI57" s="47">
        <f t="shared" si="3"/>
        <v>0</v>
      </c>
      <c r="BJ57" s="47"/>
      <c r="BK57" s="47"/>
      <c r="BL57" s="47"/>
      <c r="BM57" s="47"/>
      <c r="BN57" s="47">
        <f t="shared" si="4"/>
        <v>-3766.739999999998</v>
      </c>
      <c r="BO57" s="47"/>
      <c r="BP57" s="47"/>
      <c r="BQ57" s="47"/>
    </row>
    <row r="58" spans="1:69" ht="15" customHeight="1" x14ac:dyDescent="0.2">
      <c r="A58" s="39">
        <v>16</v>
      </c>
      <c r="B58" s="39"/>
      <c r="C58" s="40" t="s">
        <v>95</v>
      </c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2"/>
      <c r="AA58" s="47">
        <v>2000</v>
      </c>
      <c r="AB58" s="47"/>
      <c r="AC58" s="47"/>
      <c r="AD58" s="47"/>
      <c r="AE58" s="47"/>
      <c r="AF58" s="47">
        <v>0</v>
      </c>
      <c r="AG58" s="47"/>
      <c r="AH58" s="47"/>
      <c r="AI58" s="47"/>
      <c r="AJ58" s="47"/>
      <c r="AK58" s="47">
        <f t="shared" si="0"/>
        <v>2000</v>
      </c>
      <c r="AL58" s="47"/>
      <c r="AM58" s="47"/>
      <c r="AN58" s="47"/>
      <c r="AO58" s="47"/>
      <c r="AP58" s="47">
        <v>0</v>
      </c>
      <c r="AQ58" s="47"/>
      <c r="AR58" s="47"/>
      <c r="AS58" s="47"/>
      <c r="AT58" s="47"/>
      <c r="AU58" s="47">
        <v>0</v>
      </c>
      <c r="AV58" s="47"/>
      <c r="AW58" s="47"/>
      <c r="AX58" s="47"/>
      <c r="AY58" s="47"/>
      <c r="AZ58" s="47">
        <f t="shared" si="1"/>
        <v>0</v>
      </c>
      <c r="BA58" s="47"/>
      <c r="BB58" s="47"/>
      <c r="BC58" s="47"/>
      <c r="BD58" s="47">
        <f t="shared" si="2"/>
        <v>-2000</v>
      </c>
      <c r="BE58" s="47"/>
      <c r="BF58" s="47"/>
      <c r="BG58" s="47"/>
      <c r="BH58" s="47"/>
      <c r="BI58" s="47">
        <f t="shared" si="3"/>
        <v>0</v>
      </c>
      <c r="BJ58" s="47"/>
      <c r="BK58" s="47"/>
      <c r="BL58" s="47"/>
      <c r="BM58" s="47"/>
      <c r="BN58" s="47">
        <f t="shared" si="4"/>
        <v>-2000</v>
      </c>
      <c r="BO58" s="47"/>
      <c r="BP58" s="47"/>
      <c r="BQ58" s="47"/>
    </row>
    <row r="59" spans="1:69" ht="15" customHeight="1" x14ac:dyDescent="0.2">
      <c r="A59" s="39">
        <v>17</v>
      </c>
      <c r="B59" s="39"/>
      <c r="C59" s="40" t="s">
        <v>96</v>
      </c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2"/>
      <c r="AA59" s="47">
        <v>10200</v>
      </c>
      <c r="AB59" s="47"/>
      <c r="AC59" s="47"/>
      <c r="AD59" s="47"/>
      <c r="AE59" s="47"/>
      <c r="AF59" s="47">
        <v>0</v>
      </c>
      <c r="AG59" s="47"/>
      <c r="AH59" s="47"/>
      <c r="AI59" s="47"/>
      <c r="AJ59" s="47"/>
      <c r="AK59" s="47">
        <f t="shared" si="0"/>
        <v>10200</v>
      </c>
      <c r="AL59" s="47"/>
      <c r="AM59" s="47"/>
      <c r="AN59" s="47"/>
      <c r="AO59" s="47"/>
      <c r="AP59" s="47">
        <v>0</v>
      </c>
      <c r="AQ59" s="47"/>
      <c r="AR59" s="47"/>
      <c r="AS59" s="47"/>
      <c r="AT59" s="47"/>
      <c r="AU59" s="47">
        <v>0</v>
      </c>
      <c r="AV59" s="47"/>
      <c r="AW59" s="47"/>
      <c r="AX59" s="47"/>
      <c r="AY59" s="47"/>
      <c r="AZ59" s="47">
        <f t="shared" si="1"/>
        <v>0</v>
      </c>
      <c r="BA59" s="47"/>
      <c r="BB59" s="47"/>
      <c r="BC59" s="47"/>
      <c r="BD59" s="47">
        <f t="shared" si="2"/>
        <v>-10200</v>
      </c>
      <c r="BE59" s="47"/>
      <c r="BF59" s="47"/>
      <c r="BG59" s="47"/>
      <c r="BH59" s="47"/>
      <c r="BI59" s="47">
        <f t="shared" si="3"/>
        <v>0</v>
      </c>
      <c r="BJ59" s="47"/>
      <c r="BK59" s="47"/>
      <c r="BL59" s="47"/>
      <c r="BM59" s="47"/>
      <c r="BN59" s="47">
        <f t="shared" si="4"/>
        <v>-10200</v>
      </c>
      <c r="BO59" s="47"/>
      <c r="BP59" s="47"/>
      <c r="BQ59" s="47"/>
    </row>
    <row r="60" spans="1:69" ht="25.5" customHeight="1" x14ac:dyDescent="0.2">
      <c r="A60" s="39">
        <v>18</v>
      </c>
      <c r="B60" s="39"/>
      <c r="C60" s="40" t="s">
        <v>97</v>
      </c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2"/>
      <c r="AA60" s="47">
        <v>3159</v>
      </c>
      <c r="AB60" s="47"/>
      <c r="AC60" s="47"/>
      <c r="AD60" s="47"/>
      <c r="AE60" s="47"/>
      <c r="AF60" s="47">
        <v>0</v>
      </c>
      <c r="AG60" s="47"/>
      <c r="AH60" s="47"/>
      <c r="AI60" s="47"/>
      <c r="AJ60" s="47"/>
      <c r="AK60" s="47">
        <f t="shared" si="0"/>
        <v>3159</v>
      </c>
      <c r="AL60" s="47"/>
      <c r="AM60" s="47"/>
      <c r="AN60" s="47"/>
      <c r="AO60" s="47"/>
      <c r="AP60" s="47">
        <v>0</v>
      </c>
      <c r="AQ60" s="47"/>
      <c r="AR60" s="47"/>
      <c r="AS60" s="47"/>
      <c r="AT60" s="47"/>
      <c r="AU60" s="47">
        <v>0</v>
      </c>
      <c r="AV60" s="47"/>
      <c r="AW60" s="47"/>
      <c r="AX60" s="47"/>
      <c r="AY60" s="47"/>
      <c r="AZ60" s="47">
        <f t="shared" si="1"/>
        <v>0</v>
      </c>
      <c r="BA60" s="47"/>
      <c r="BB60" s="47"/>
      <c r="BC60" s="47"/>
      <c r="BD60" s="47">
        <f t="shared" si="2"/>
        <v>-3159</v>
      </c>
      <c r="BE60" s="47"/>
      <c r="BF60" s="47"/>
      <c r="BG60" s="47"/>
      <c r="BH60" s="47"/>
      <c r="BI60" s="47">
        <f t="shared" si="3"/>
        <v>0</v>
      </c>
      <c r="BJ60" s="47"/>
      <c r="BK60" s="47"/>
      <c r="BL60" s="47"/>
      <c r="BM60" s="47"/>
      <c r="BN60" s="47">
        <f t="shared" si="4"/>
        <v>-3159</v>
      </c>
      <c r="BO60" s="47"/>
      <c r="BP60" s="47"/>
      <c r="BQ60" s="47"/>
    </row>
    <row r="61" spans="1:69" ht="15" customHeight="1" x14ac:dyDescent="0.2">
      <c r="A61" s="39">
        <v>19</v>
      </c>
      <c r="B61" s="39"/>
      <c r="C61" s="40" t="s">
        <v>98</v>
      </c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2"/>
      <c r="AA61" s="47">
        <v>1080</v>
      </c>
      <c r="AB61" s="47"/>
      <c r="AC61" s="47"/>
      <c r="AD61" s="47"/>
      <c r="AE61" s="47"/>
      <c r="AF61" s="47">
        <v>0</v>
      </c>
      <c r="AG61" s="47"/>
      <c r="AH61" s="47"/>
      <c r="AI61" s="47"/>
      <c r="AJ61" s="47"/>
      <c r="AK61" s="47">
        <f t="shared" si="0"/>
        <v>1080</v>
      </c>
      <c r="AL61" s="47"/>
      <c r="AM61" s="47"/>
      <c r="AN61" s="47"/>
      <c r="AO61" s="47"/>
      <c r="AP61" s="47">
        <v>0</v>
      </c>
      <c r="AQ61" s="47"/>
      <c r="AR61" s="47"/>
      <c r="AS61" s="47"/>
      <c r="AT61" s="47"/>
      <c r="AU61" s="47">
        <v>0</v>
      </c>
      <c r="AV61" s="47"/>
      <c r="AW61" s="47"/>
      <c r="AX61" s="47"/>
      <c r="AY61" s="47"/>
      <c r="AZ61" s="47">
        <f t="shared" si="1"/>
        <v>0</v>
      </c>
      <c r="BA61" s="47"/>
      <c r="BB61" s="47"/>
      <c r="BC61" s="47"/>
      <c r="BD61" s="47">
        <f t="shared" si="2"/>
        <v>-1080</v>
      </c>
      <c r="BE61" s="47"/>
      <c r="BF61" s="47"/>
      <c r="BG61" s="47"/>
      <c r="BH61" s="47"/>
      <c r="BI61" s="47">
        <f t="shared" si="3"/>
        <v>0</v>
      </c>
      <c r="BJ61" s="47"/>
      <c r="BK61" s="47"/>
      <c r="BL61" s="47"/>
      <c r="BM61" s="47"/>
      <c r="BN61" s="47">
        <f t="shared" si="4"/>
        <v>-1080</v>
      </c>
      <c r="BO61" s="47"/>
      <c r="BP61" s="47"/>
      <c r="BQ61" s="47"/>
    </row>
    <row r="62" spans="1:69" ht="15" customHeight="1" x14ac:dyDescent="0.2">
      <c r="A62" s="39">
        <v>20</v>
      </c>
      <c r="B62" s="39"/>
      <c r="C62" s="40" t="s">
        <v>99</v>
      </c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2"/>
      <c r="AA62" s="47">
        <v>47000</v>
      </c>
      <c r="AB62" s="47"/>
      <c r="AC62" s="47"/>
      <c r="AD62" s="47"/>
      <c r="AE62" s="47"/>
      <c r="AF62" s="47">
        <v>0</v>
      </c>
      <c r="AG62" s="47"/>
      <c r="AH62" s="47"/>
      <c r="AI62" s="47"/>
      <c r="AJ62" s="47"/>
      <c r="AK62" s="47">
        <f t="shared" si="0"/>
        <v>47000</v>
      </c>
      <c r="AL62" s="47"/>
      <c r="AM62" s="47"/>
      <c r="AN62" s="47"/>
      <c r="AO62" s="47"/>
      <c r="AP62" s="47">
        <v>40372.33</v>
      </c>
      <c r="AQ62" s="47"/>
      <c r="AR62" s="47"/>
      <c r="AS62" s="47"/>
      <c r="AT62" s="47"/>
      <c r="AU62" s="47">
        <v>0</v>
      </c>
      <c r="AV62" s="47"/>
      <c r="AW62" s="47"/>
      <c r="AX62" s="47"/>
      <c r="AY62" s="47"/>
      <c r="AZ62" s="47">
        <f t="shared" si="1"/>
        <v>40372.33</v>
      </c>
      <c r="BA62" s="47"/>
      <c r="BB62" s="47"/>
      <c r="BC62" s="47"/>
      <c r="BD62" s="47">
        <f t="shared" si="2"/>
        <v>-6627.6699999999983</v>
      </c>
      <c r="BE62" s="47"/>
      <c r="BF62" s="47"/>
      <c r="BG62" s="47"/>
      <c r="BH62" s="47"/>
      <c r="BI62" s="47">
        <f t="shared" si="3"/>
        <v>0</v>
      </c>
      <c r="BJ62" s="47"/>
      <c r="BK62" s="47"/>
      <c r="BL62" s="47"/>
      <c r="BM62" s="47"/>
      <c r="BN62" s="47">
        <f t="shared" si="4"/>
        <v>-6627.6699999999983</v>
      </c>
      <c r="BO62" s="47"/>
      <c r="BP62" s="47"/>
      <c r="BQ62" s="47"/>
    </row>
    <row r="63" spans="1:69" ht="15" customHeight="1" x14ac:dyDescent="0.2">
      <c r="A63" s="39">
        <v>21</v>
      </c>
      <c r="B63" s="39"/>
      <c r="C63" s="40" t="s">
        <v>100</v>
      </c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2"/>
      <c r="AA63" s="47">
        <v>5391</v>
      </c>
      <c r="AB63" s="47"/>
      <c r="AC63" s="47"/>
      <c r="AD63" s="47"/>
      <c r="AE63" s="47"/>
      <c r="AF63" s="47">
        <v>0</v>
      </c>
      <c r="AG63" s="47"/>
      <c r="AH63" s="47"/>
      <c r="AI63" s="47"/>
      <c r="AJ63" s="47"/>
      <c r="AK63" s="47">
        <f t="shared" si="0"/>
        <v>5391</v>
      </c>
      <c r="AL63" s="47"/>
      <c r="AM63" s="47"/>
      <c r="AN63" s="47"/>
      <c r="AO63" s="47"/>
      <c r="AP63" s="47">
        <v>5390.16</v>
      </c>
      <c r="AQ63" s="47"/>
      <c r="AR63" s="47"/>
      <c r="AS63" s="47"/>
      <c r="AT63" s="47"/>
      <c r="AU63" s="47">
        <v>0</v>
      </c>
      <c r="AV63" s="47"/>
      <c r="AW63" s="47"/>
      <c r="AX63" s="47"/>
      <c r="AY63" s="47"/>
      <c r="AZ63" s="47">
        <f t="shared" si="1"/>
        <v>5390.16</v>
      </c>
      <c r="BA63" s="47"/>
      <c r="BB63" s="47"/>
      <c r="BC63" s="47"/>
      <c r="BD63" s="47">
        <f t="shared" si="2"/>
        <v>-0.84000000000014552</v>
      </c>
      <c r="BE63" s="47"/>
      <c r="BF63" s="47"/>
      <c r="BG63" s="47"/>
      <c r="BH63" s="47"/>
      <c r="BI63" s="47">
        <f t="shared" si="3"/>
        <v>0</v>
      </c>
      <c r="BJ63" s="47"/>
      <c r="BK63" s="47"/>
      <c r="BL63" s="47"/>
      <c r="BM63" s="47"/>
      <c r="BN63" s="47">
        <f t="shared" si="4"/>
        <v>-0.84000000000014552</v>
      </c>
      <c r="BO63" s="47"/>
      <c r="BP63" s="47"/>
      <c r="BQ63" s="47"/>
    </row>
    <row r="64" spans="1:69" ht="25.5" customHeight="1" x14ac:dyDescent="0.2">
      <c r="A64" s="39">
        <v>22</v>
      </c>
      <c r="B64" s="39"/>
      <c r="C64" s="40" t="s">
        <v>101</v>
      </c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2"/>
      <c r="AA64" s="47">
        <v>8000</v>
      </c>
      <c r="AB64" s="47"/>
      <c r="AC64" s="47"/>
      <c r="AD64" s="47"/>
      <c r="AE64" s="47"/>
      <c r="AF64" s="47">
        <v>0</v>
      </c>
      <c r="AG64" s="47"/>
      <c r="AH64" s="47"/>
      <c r="AI64" s="47"/>
      <c r="AJ64" s="47"/>
      <c r="AK64" s="47">
        <f t="shared" si="0"/>
        <v>8000</v>
      </c>
      <c r="AL64" s="47"/>
      <c r="AM64" s="47"/>
      <c r="AN64" s="47"/>
      <c r="AO64" s="47"/>
      <c r="AP64" s="47">
        <v>7200</v>
      </c>
      <c r="AQ64" s="47"/>
      <c r="AR64" s="47"/>
      <c r="AS64" s="47"/>
      <c r="AT64" s="47"/>
      <c r="AU64" s="47">
        <v>0</v>
      </c>
      <c r="AV64" s="47"/>
      <c r="AW64" s="47"/>
      <c r="AX64" s="47"/>
      <c r="AY64" s="47"/>
      <c r="AZ64" s="47">
        <f t="shared" si="1"/>
        <v>7200</v>
      </c>
      <c r="BA64" s="47"/>
      <c r="BB64" s="47"/>
      <c r="BC64" s="47"/>
      <c r="BD64" s="47">
        <f t="shared" si="2"/>
        <v>-800</v>
      </c>
      <c r="BE64" s="47"/>
      <c r="BF64" s="47"/>
      <c r="BG64" s="47"/>
      <c r="BH64" s="47"/>
      <c r="BI64" s="47">
        <f t="shared" si="3"/>
        <v>0</v>
      </c>
      <c r="BJ64" s="47"/>
      <c r="BK64" s="47"/>
      <c r="BL64" s="47"/>
      <c r="BM64" s="47"/>
      <c r="BN64" s="47">
        <f t="shared" si="4"/>
        <v>-800</v>
      </c>
      <c r="BO64" s="47"/>
      <c r="BP64" s="47"/>
      <c r="BQ64" s="47"/>
    </row>
    <row r="65" spans="1:79" ht="15" customHeight="1" x14ac:dyDescent="0.2">
      <c r="A65" s="39">
        <v>23</v>
      </c>
      <c r="B65" s="39"/>
      <c r="C65" s="40" t="s">
        <v>102</v>
      </c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2"/>
      <c r="AA65" s="47">
        <v>16837</v>
      </c>
      <c r="AB65" s="47"/>
      <c r="AC65" s="47"/>
      <c r="AD65" s="47"/>
      <c r="AE65" s="47"/>
      <c r="AF65" s="47">
        <v>0</v>
      </c>
      <c r="AG65" s="47"/>
      <c r="AH65" s="47"/>
      <c r="AI65" s="47"/>
      <c r="AJ65" s="47"/>
      <c r="AK65" s="47">
        <f t="shared" si="0"/>
        <v>16837</v>
      </c>
      <c r="AL65" s="47"/>
      <c r="AM65" s="47"/>
      <c r="AN65" s="47"/>
      <c r="AO65" s="47"/>
      <c r="AP65" s="47">
        <v>16837</v>
      </c>
      <c r="AQ65" s="47"/>
      <c r="AR65" s="47"/>
      <c r="AS65" s="47"/>
      <c r="AT65" s="47"/>
      <c r="AU65" s="47">
        <v>0</v>
      </c>
      <c r="AV65" s="47"/>
      <c r="AW65" s="47"/>
      <c r="AX65" s="47"/>
      <c r="AY65" s="47"/>
      <c r="AZ65" s="47">
        <f t="shared" si="1"/>
        <v>16837</v>
      </c>
      <c r="BA65" s="47"/>
      <c r="BB65" s="47"/>
      <c r="BC65" s="47"/>
      <c r="BD65" s="47">
        <f t="shared" si="2"/>
        <v>0</v>
      </c>
      <c r="BE65" s="47"/>
      <c r="BF65" s="47"/>
      <c r="BG65" s="47"/>
      <c r="BH65" s="47"/>
      <c r="BI65" s="47">
        <f t="shared" si="3"/>
        <v>0</v>
      </c>
      <c r="BJ65" s="47"/>
      <c r="BK65" s="47"/>
      <c r="BL65" s="47"/>
      <c r="BM65" s="47"/>
      <c r="BN65" s="47">
        <f t="shared" si="4"/>
        <v>0</v>
      </c>
      <c r="BO65" s="47"/>
      <c r="BP65" s="47"/>
      <c r="BQ65" s="47"/>
    </row>
    <row r="66" spans="1:79" ht="25.5" customHeight="1" x14ac:dyDescent="0.2">
      <c r="A66" s="39">
        <v>24</v>
      </c>
      <c r="B66" s="39"/>
      <c r="C66" s="40" t="s">
        <v>103</v>
      </c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2"/>
      <c r="AA66" s="47">
        <v>53716</v>
      </c>
      <c r="AB66" s="47"/>
      <c r="AC66" s="47"/>
      <c r="AD66" s="47"/>
      <c r="AE66" s="47"/>
      <c r="AF66" s="47">
        <v>0</v>
      </c>
      <c r="AG66" s="47"/>
      <c r="AH66" s="47"/>
      <c r="AI66" s="47"/>
      <c r="AJ66" s="47"/>
      <c r="AK66" s="47">
        <f t="shared" si="0"/>
        <v>53716</v>
      </c>
      <c r="AL66" s="47"/>
      <c r="AM66" s="47"/>
      <c r="AN66" s="47"/>
      <c r="AO66" s="47"/>
      <c r="AP66" s="47">
        <v>53715.199999999997</v>
      </c>
      <c r="AQ66" s="47"/>
      <c r="AR66" s="47"/>
      <c r="AS66" s="47"/>
      <c r="AT66" s="47"/>
      <c r="AU66" s="47">
        <v>0</v>
      </c>
      <c r="AV66" s="47"/>
      <c r="AW66" s="47"/>
      <c r="AX66" s="47"/>
      <c r="AY66" s="47"/>
      <c r="AZ66" s="47">
        <f t="shared" si="1"/>
        <v>53715.199999999997</v>
      </c>
      <c r="BA66" s="47"/>
      <c r="BB66" s="47"/>
      <c r="BC66" s="47"/>
      <c r="BD66" s="47">
        <f t="shared" si="2"/>
        <v>-0.80000000000291038</v>
      </c>
      <c r="BE66" s="47"/>
      <c r="BF66" s="47"/>
      <c r="BG66" s="47"/>
      <c r="BH66" s="47"/>
      <c r="BI66" s="47">
        <f t="shared" si="3"/>
        <v>0</v>
      </c>
      <c r="BJ66" s="47"/>
      <c r="BK66" s="47"/>
      <c r="BL66" s="47"/>
      <c r="BM66" s="47"/>
      <c r="BN66" s="47">
        <f t="shared" si="4"/>
        <v>-0.80000000000291038</v>
      </c>
      <c r="BO66" s="47"/>
      <c r="BP66" s="47"/>
      <c r="BQ66" s="47"/>
    </row>
    <row r="67" spans="1:79" ht="15" customHeight="1" x14ac:dyDescent="0.2">
      <c r="A67" s="39">
        <v>25</v>
      </c>
      <c r="B67" s="39"/>
      <c r="C67" s="40" t="s">
        <v>104</v>
      </c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2"/>
      <c r="AA67" s="47">
        <v>5000</v>
      </c>
      <c r="AB67" s="47"/>
      <c r="AC67" s="47"/>
      <c r="AD67" s="47"/>
      <c r="AE67" s="47"/>
      <c r="AF67" s="47">
        <v>0</v>
      </c>
      <c r="AG67" s="47"/>
      <c r="AH67" s="47"/>
      <c r="AI67" s="47"/>
      <c r="AJ67" s="47"/>
      <c r="AK67" s="47">
        <f t="shared" si="0"/>
        <v>5000</v>
      </c>
      <c r="AL67" s="47"/>
      <c r="AM67" s="47"/>
      <c r="AN67" s="47"/>
      <c r="AO67" s="47"/>
      <c r="AP67" s="47">
        <v>0</v>
      </c>
      <c r="AQ67" s="47"/>
      <c r="AR67" s="47"/>
      <c r="AS67" s="47"/>
      <c r="AT67" s="47"/>
      <c r="AU67" s="47">
        <v>0</v>
      </c>
      <c r="AV67" s="47"/>
      <c r="AW67" s="47"/>
      <c r="AX67" s="47"/>
      <c r="AY67" s="47"/>
      <c r="AZ67" s="47">
        <f t="shared" si="1"/>
        <v>0</v>
      </c>
      <c r="BA67" s="47"/>
      <c r="BB67" s="47"/>
      <c r="BC67" s="47"/>
      <c r="BD67" s="47">
        <f t="shared" si="2"/>
        <v>-5000</v>
      </c>
      <c r="BE67" s="47"/>
      <c r="BF67" s="47"/>
      <c r="BG67" s="47"/>
      <c r="BH67" s="47"/>
      <c r="BI67" s="47">
        <f t="shared" si="3"/>
        <v>0</v>
      </c>
      <c r="BJ67" s="47"/>
      <c r="BK67" s="47"/>
      <c r="BL67" s="47"/>
      <c r="BM67" s="47"/>
      <c r="BN67" s="47">
        <f t="shared" si="4"/>
        <v>-5000</v>
      </c>
      <c r="BO67" s="47"/>
      <c r="BP67" s="47"/>
      <c r="BQ67" s="47"/>
    </row>
    <row r="68" spans="1:79" s="27" customFormat="1" ht="15" customHeight="1" x14ac:dyDescent="0.2">
      <c r="A68" s="31"/>
      <c r="B68" s="31"/>
      <c r="C68" s="32" t="s">
        <v>105</v>
      </c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4"/>
      <c r="AA68" s="48">
        <v>6090512</v>
      </c>
      <c r="AB68" s="48"/>
      <c r="AC68" s="48"/>
      <c r="AD68" s="48"/>
      <c r="AE68" s="48"/>
      <c r="AF68" s="48">
        <v>0</v>
      </c>
      <c r="AG68" s="48"/>
      <c r="AH68" s="48"/>
      <c r="AI68" s="48"/>
      <c r="AJ68" s="48"/>
      <c r="AK68" s="48">
        <f t="shared" si="0"/>
        <v>6090512</v>
      </c>
      <c r="AL68" s="48"/>
      <c r="AM68" s="48"/>
      <c r="AN68" s="48"/>
      <c r="AO68" s="48"/>
      <c r="AP68" s="48">
        <v>5797458.75</v>
      </c>
      <c r="AQ68" s="48"/>
      <c r="AR68" s="48"/>
      <c r="AS68" s="48"/>
      <c r="AT68" s="48"/>
      <c r="AU68" s="48">
        <v>0</v>
      </c>
      <c r="AV68" s="48"/>
      <c r="AW68" s="48"/>
      <c r="AX68" s="48"/>
      <c r="AY68" s="48"/>
      <c r="AZ68" s="48">
        <f t="shared" si="1"/>
        <v>5797458.75</v>
      </c>
      <c r="BA68" s="48"/>
      <c r="BB68" s="48"/>
      <c r="BC68" s="48"/>
      <c r="BD68" s="48">
        <f t="shared" si="2"/>
        <v>-293053.25</v>
      </c>
      <c r="BE68" s="48"/>
      <c r="BF68" s="48"/>
      <c r="BG68" s="48"/>
      <c r="BH68" s="48"/>
      <c r="BI68" s="48">
        <f t="shared" si="3"/>
        <v>0</v>
      </c>
      <c r="BJ68" s="48"/>
      <c r="BK68" s="48"/>
      <c r="BL68" s="48"/>
      <c r="BM68" s="48"/>
      <c r="BN68" s="48">
        <f t="shared" si="4"/>
        <v>-293053.25</v>
      </c>
      <c r="BO68" s="48"/>
      <c r="BP68" s="48"/>
      <c r="BQ68" s="48"/>
    </row>
    <row r="70" spans="1:79" ht="29.25" customHeight="1" x14ac:dyDescent="0.2">
      <c r="A70" s="56" t="s">
        <v>74</v>
      </c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  <c r="BD70" s="56"/>
      <c r="BE70" s="56"/>
      <c r="BF70" s="56"/>
      <c r="BG70" s="56"/>
      <c r="BH70" s="56"/>
      <c r="BI70" s="56"/>
      <c r="BJ70" s="56"/>
      <c r="BK70" s="56"/>
      <c r="BL70" s="56"/>
      <c r="BM70" s="56"/>
      <c r="BN70" s="56"/>
      <c r="BO70" s="56"/>
      <c r="BP70" s="56"/>
      <c r="BQ70" s="56"/>
    </row>
    <row r="71" spans="1:79" ht="9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</row>
    <row r="72" spans="1:79" ht="15.75" customHeight="1" x14ac:dyDescent="0.2">
      <c r="A72" s="62" t="s">
        <v>3</v>
      </c>
      <c r="B72" s="62"/>
      <c r="C72" s="62" t="s">
        <v>60</v>
      </c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  <c r="AR72" s="62"/>
      <c r="AS72" s="62"/>
      <c r="AT72" s="62"/>
      <c r="AU72" s="62"/>
      <c r="AV72" s="62"/>
      <c r="AW72" s="62"/>
      <c r="AX72" s="62"/>
      <c r="AY72" s="62"/>
      <c r="AZ72" s="62"/>
      <c r="BA72" s="62"/>
      <c r="BB72" s="62"/>
      <c r="BC72" s="62"/>
      <c r="BD72" s="62"/>
      <c r="BE72" s="62"/>
      <c r="BF72" s="62"/>
      <c r="BG72" s="62"/>
      <c r="BH72" s="62"/>
      <c r="BI72" s="62"/>
      <c r="BJ72" s="62"/>
      <c r="BK72" s="62"/>
      <c r="BL72" s="62"/>
      <c r="BM72" s="62"/>
      <c r="BN72" s="62"/>
      <c r="BO72" s="62"/>
      <c r="BP72" s="62"/>
      <c r="BQ72" s="62"/>
    </row>
    <row r="73" spans="1:79" ht="15.75" x14ac:dyDescent="0.2">
      <c r="A73" s="62">
        <v>1</v>
      </c>
      <c r="B73" s="62"/>
      <c r="C73" s="100">
        <v>2</v>
      </c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  <c r="AG73" s="100"/>
      <c r="AH73" s="100"/>
      <c r="AI73" s="100"/>
      <c r="AJ73" s="100"/>
      <c r="AK73" s="100"/>
      <c r="AL73" s="100"/>
      <c r="AM73" s="100"/>
      <c r="AN73" s="100"/>
      <c r="AO73" s="100"/>
      <c r="AP73" s="100"/>
      <c r="AQ73" s="100"/>
      <c r="AR73" s="100"/>
      <c r="AS73" s="100"/>
      <c r="AT73" s="100"/>
      <c r="AU73" s="100"/>
      <c r="AV73" s="100"/>
      <c r="AW73" s="100"/>
      <c r="AX73" s="100"/>
      <c r="AY73" s="100"/>
      <c r="AZ73" s="100"/>
      <c r="BA73" s="100"/>
      <c r="BB73" s="100"/>
      <c r="BC73" s="100"/>
      <c r="BD73" s="100"/>
      <c r="BE73" s="100"/>
      <c r="BF73" s="100"/>
      <c r="BG73" s="100"/>
      <c r="BH73" s="100"/>
      <c r="BI73" s="100"/>
      <c r="BJ73" s="100"/>
      <c r="BK73" s="100"/>
      <c r="BL73" s="100"/>
      <c r="BM73" s="100"/>
      <c r="BN73" s="100"/>
      <c r="BO73" s="100"/>
      <c r="BP73" s="100"/>
      <c r="BQ73" s="100"/>
    </row>
    <row r="74" spans="1:79" hidden="1" x14ac:dyDescent="0.2">
      <c r="A74" s="97" t="s">
        <v>13</v>
      </c>
      <c r="B74" s="98"/>
      <c r="C74" s="101" t="s">
        <v>14</v>
      </c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2"/>
      <c r="AE74" s="102"/>
      <c r="AF74" s="102"/>
      <c r="AG74" s="102"/>
      <c r="AH74" s="102"/>
      <c r="AI74" s="102"/>
      <c r="AJ74" s="102"/>
      <c r="AK74" s="102"/>
      <c r="AL74" s="102"/>
      <c r="AM74" s="102"/>
      <c r="AN74" s="102"/>
      <c r="AO74" s="102"/>
      <c r="AP74" s="102"/>
      <c r="AQ74" s="102"/>
      <c r="AR74" s="102"/>
      <c r="AS74" s="102"/>
      <c r="AT74" s="102"/>
      <c r="AU74" s="102"/>
      <c r="AV74" s="102"/>
      <c r="AW74" s="102"/>
      <c r="AX74" s="102"/>
      <c r="AY74" s="102"/>
      <c r="AZ74" s="102"/>
      <c r="BA74" s="102"/>
      <c r="BB74" s="102"/>
      <c r="BC74" s="102"/>
      <c r="BD74" s="102"/>
      <c r="BE74" s="102"/>
      <c r="BF74" s="102"/>
      <c r="BG74" s="102"/>
      <c r="BH74" s="102"/>
      <c r="BI74" s="102"/>
      <c r="BJ74" s="102"/>
      <c r="BK74" s="102"/>
      <c r="BL74" s="102"/>
      <c r="BM74" s="102"/>
      <c r="BN74" s="102"/>
      <c r="BO74" s="102"/>
      <c r="BP74" s="102"/>
      <c r="BQ74" s="103"/>
      <c r="CA74" s="1" t="s">
        <v>68</v>
      </c>
    </row>
    <row r="75" spans="1:79" ht="14.25" customHeight="1" x14ac:dyDescent="0.2">
      <c r="A75" s="54">
        <v>1</v>
      </c>
      <c r="B75" s="55"/>
      <c r="C75" s="40" t="s">
        <v>106</v>
      </c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2"/>
      <c r="CA75" s="1" t="s">
        <v>61</v>
      </c>
    </row>
    <row r="76" spans="1:79" ht="14.25" customHeight="1" x14ac:dyDescent="0.2">
      <c r="A76" s="54">
        <v>2</v>
      </c>
      <c r="B76" s="55"/>
      <c r="C76" s="40" t="s">
        <v>106</v>
      </c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2"/>
    </row>
    <row r="77" spans="1:79" ht="14.25" customHeight="1" x14ac:dyDescent="0.2">
      <c r="A77" s="54">
        <v>5</v>
      </c>
      <c r="B77" s="55"/>
      <c r="C77" s="40" t="s">
        <v>107</v>
      </c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2"/>
    </row>
    <row r="78" spans="1:79" ht="14.25" customHeight="1" x14ac:dyDescent="0.2">
      <c r="A78" s="54">
        <v>6</v>
      </c>
      <c r="B78" s="55"/>
      <c r="C78" s="40" t="s">
        <v>108</v>
      </c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2"/>
    </row>
    <row r="79" spans="1:79" ht="14.25" customHeight="1" x14ac:dyDescent="0.2">
      <c r="A79" s="54">
        <v>7</v>
      </c>
      <c r="B79" s="55"/>
      <c r="C79" s="40" t="s">
        <v>106</v>
      </c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2"/>
    </row>
    <row r="80" spans="1:79" ht="14.25" customHeight="1" x14ac:dyDescent="0.2">
      <c r="A80" s="54">
        <v>14</v>
      </c>
      <c r="B80" s="55"/>
      <c r="C80" s="40" t="s">
        <v>109</v>
      </c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2"/>
    </row>
    <row r="81" spans="1:69" ht="14.25" customHeight="1" x14ac:dyDescent="0.2">
      <c r="A81" s="54">
        <v>15</v>
      </c>
      <c r="B81" s="55"/>
      <c r="C81" s="40" t="s">
        <v>110</v>
      </c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2"/>
    </row>
    <row r="82" spans="1:69" ht="14.25" customHeight="1" x14ac:dyDescent="0.2">
      <c r="A82" s="54">
        <v>16</v>
      </c>
      <c r="B82" s="55"/>
      <c r="C82" s="40" t="s">
        <v>111</v>
      </c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2"/>
    </row>
    <row r="83" spans="1:69" ht="14.25" customHeight="1" x14ac:dyDescent="0.2">
      <c r="A83" s="54">
        <v>17</v>
      </c>
      <c r="B83" s="55"/>
      <c r="C83" s="40" t="s">
        <v>112</v>
      </c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2"/>
    </row>
    <row r="84" spans="1:69" ht="14.25" customHeight="1" x14ac:dyDescent="0.2">
      <c r="A84" s="54">
        <v>18</v>
      </c>
      <c r="B84" s="55"/>
      <c r="C84" s="40" t="s">
        <v>113</v>
      </c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2"/>
    </row>
    <row r="85" spans="1:69" ht="14.25" customHeight="1" x14ac:dyDescent="0.2">
      <c r="A85" s="54">
        <v>19</v>
      </c>
      <c r="B85" s="55"/>
      <c r="C85" s="40" t="s">
        <v>114</v>
      </c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2"/>
    </row>
    <row r="86" spans="1:69" ht="14.25" customHeight="1" x14ac:dyDescent="0.2">
      <c r="A86" s="54">
        <v>20</v>
      </c>
      <c r="B86" s="55"/>
      <c r="C86" s="40" t="s">
        <v>115</v>
      </c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2"/>
    </row>
    <row r="87" spans="1:69" ht="14.25" customHeight="1" x14ac:dyDescent="0.2">
      <c r="A87" s="54">
        <v>21</v>
      </c>
      <c r="B87" s="55"/>
      <c r="C87" s="40" t="s">
        <v>116</v>
      </c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2"/>
    </row>
    <row r="88" spans="1:69" ht="14.25" customHeight="1" x14ac:dyDescent="0.2">
      <c r="A88" s="54">
        <v>22</v>
      </c>
      <c r="B88" s="55"/>
      <c r="C88" s="40" t="s">
        <v>117</v>
      </c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2"/>
    </row>
    <row r="89" spans="1:69" ht="14.25" customHeight="1" x14ac:dyDescent="0.2">
      <c r="A89" s="54">
        <v>24</v>
      </c>
      <c r="B89" s="55"/>
      <c r="C89" s="40" t="s">
        <v>116</v>
      </c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2"/>
    </row>
    <row r="90" spans="1:69" ht="14.25" customHeight="1" x14ac:dyDescent="0.2">
      <c r="A90" s="54">
        <v>25</v>
      </c>
      <c r="B90" s="55"/>
      <c r="C90" s="40" t="s">
        <v>118</v>
      </c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2"/>
    </row>
    <row r="92" spans="1:69" ht="15.75" customHeight="1" x14ac:dyDescent="0.2">
      <c r="A92" s="56" t="s">
        <v>42</v>
      </c>
      <c r="B92" s="56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  <c r="BD92" s="56"/>
      <c r="BE92" s="56"/>
      <c r="BF92" s="56"/>
      <c r="BG92" s="56"/>
      <c r="BH92" s="56"/>
      <c r="BI92" s="56"/>
      <c r="BJ92" s="56"/>
      <c r="BK92" s="56"/>
      <c r="BL92" s="56"/>
      <c r="BM92" s="56"/>
      <c r="BN92" s="56"/>
    </row>
    <row r="93" spans="1:69" ht="15" customHeight="1" x14ac:dyDescent="0.2">
      <c r="A93" s="99" t="s">
        <v>149</v>
      </c>
      <c r="B93" s="99"/>
      <c r="C93" s="99"/>
      <c r="D93" s="99"/>
      <c r="E93" s="99"/>
      <c r="F93" s="99"/>
      <c r="G93" s="99"/>
      <c r="H93" s="99"/>
      <c r="I93" s="99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  <c r="AA93" s="99"/>
      <c r="AB93" s="99"/>
      <c r="AC93" s="99"/>
      <c r="AD93" s="99"/>
      <c r="AE93" s="99"/>
      <c r="AF93" s="99"/>
      <c r="AG93" s="99"/>
      <c r="AH93" s="99"/>
      <c r="AI93" s="99"/>
      <c r="AJ93" s="99"/>
      <c r="AK93" s="99"/>
      <c r="AL93" s="99"/>
      <c r="AM93" s="99"/>
      <c r="AN93" s="99"/>
      <c r="AO93" s="99"/>
      <c r="AP93" s="99"/>
      <c r="AQ93" s="99"/>
      <c r="AR93" s="99"/>
      <c r="AS93" s="99"/>
      <c r="AT93" s="99"/>
      <c r="AU93" s="99"/>
      <c r="AV93" s="99"/>
      <c r="AW93" s="99"/>
      <c r="AX93" s="99"/>
      <c r="AY93" s="99"/>
      <c r="AZ93" s="99"/>
      <c r="BA93" s="99"/>
      <c r="BB93" s="99"/>
      <c r="BC93" s="99"/>
      <c r="BD93" s="99"/>
      <c r="BE93" s="99"/>
      <c r="BF93" s="99"/>
      <c r="BG93" s="99"/>
      <c r="BH93" s="99"/>
      <c r="BI93" s="99"/>
      <c r="BJ93" s="99"/>
      <c r="BK93" s="99"/>
      <c r="BL93" s="99"/>
      <c r="BM93" s="99"/>
      <c r="BN93" s="99"/>
    </row>
    <row r="94" spans="1:69" ht="28.5" customHeight="1" x14ac:dyDescent="0.2">
      <c r="A94" s="66" t="s">
        <v>3</v>
      </c>
      <c r="B94" s="68"/>
      <c r="C94" s="62" t="s">
        <v>28</v>
      </c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 t="s">
        <v>25</v>
      </c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 t="s">
        <v>44</v>
      </c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 t="s">
        <v>0</v>
      </c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2"/>
      <c r="BP94" s="2"/>
      <c r="BQ94" s="2"/>
    </row>
    <row r="95" spans="1:69" ht="29.1" customHeight="1" x14ac:dyDescent="0.2">
      <c r="A95" s="104"/>
      <c r="B95" s="106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 t="s">
        <v>2</v>
      </c>
      <c r="T95" s="62"/>
      <c r="U95" s="62"/>
      <c r="V95" s="62"/>
      <c r="W95" s="62"/>
      <c r="X95" s="62" t="s">
        <v>1</v>
      </c>
      <c r="Y95" s="62"/>
      <c r="Z95" s="62"/>
      <c r="AA95" s="62"/>
      <c r="AB95" s="62"/>
      <c r="AC95" s="62" t="s">
        <v>26</v>
      </c>
      <c r="AD95" s="62"/>
      <c r="AE95" s="62"/>
      <c r="AF95" s="62"/>
      <c r="AG95" s="62"/>
      <c r="AH95" s="62"/>
      <c r="AI95" s="62" t="s">
        <v>2</v>
      </c>
      <c r="AJ95" s="62"/>
      <c r="AK95" s="62"/>
      <c r="AL95" s="62"/>
      <c r="AM95" s="62"/>
      <c r="AN95" s="62" t="s">
        <v>1</v>
      </c>
      <c r="AO95" s="62"/>
      <c r="AP95" s="62"/>
      <c r="AQ95" s="62"/>
      <c r="AR95" s="62"/>
      <c r="AS95" s="62" t="s">
        <v>26</v>
      </c>
      <c r="AT95" s="62"/>
      <c r="AU95" s="62"/>
      <c r="AV95" s="62"/>
      <c r="AW95" s="62"/>
      <c r="AX95" s="62"/>
      <c r="AY95" s="57" t="s">
        <v>2</v>
      </c>
      <c r="AZ95" s="63"/>
      <c r="BA95" s="63"/>
      <c r="BB95" s="63"/>
      <c r="BC95" s="64"/>
      <c r="BD95" s="57" t="s">
        <v>1</v>
      </c>
      <c r="BE95" s="63"/>
      <c r="BF95" s="63"/>
      <c r="BG95" s="63"/>
      <c r="BH95" s="64"/>
      <c r="BI95" s="62" t="s">
        <v>26</v>
      </c>
      <c r="BJ95" s="62"/>
      <c r="BK95" s="62"/>
      <c r="BL95" s="62"/>
      <c r="BM95" s="62"/>
      <c r="BN95" s="62"/>
      <c r="BO95" s="2"/>
      <c r="BP95" s="2"/>
      <c r="BQ95" s="2"/>
    </row>
    <row r="96" spans="1:69" ht="15.95" customHeight="1" x14ac:dyDescent="0.25">
      <c r="A96" s="62">
        <v>1</v>
      </c>
      <c r="B96" s="62"/>
      <c r="C96" s="62">
        <v>2</v>
      </c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>
        <v>3</v>
      </c>
      <c r="T96" s="62"/>
      <c r="U96" s="62"/>
      <c r="V96" s="62"/>
      <c r="W96" s="62"/>
      <c r="X96" s="62">
        <v>4</v>
      </c>
      <c r="Y96" s="62"/>
      <c r="Z96" s="62"/>
      <c r="AA96" s="62"/>
      <c r="AB96" s="62"/>
      <c r="AC96" s="62">
        <v>5</v>
      </c>
      <c r="AD96" s="62"/>
      <c r="AE96" s="62"/>
      <c r="AF96" s="62"/>
      <c r="AG96" s="62"/>
      <c r="AH96" s="62"/>
      <c r="AI96" s="62">
        <v>6</v>
      </c>
      <c r="AJ96" s="62"/>
      <c r="AK96" s="62"/>
      <c r="AL96" s="62"/>
      <c r="AM96" s="62"/>
      <c r="AN96" s="62">
        <v>7</v>
      </c>
      <c r="AO96" s="62"/>
      <c r="AP96" s="62"/>
      <c r="AQ96" s="62"/>
      <c r="AR96" s="62"/>
      <c r="AS96" s="62">
        <v>8</v>
      </c>
      <c r="AT96" s="62"/>
      <c r="AU96" s="62"/>
      <c r="AV96" s="62"/>
      <c r="AW96" s="62"/>
      <c r="AX96" s="62"/>
      <c r="AY96" s="62">
        <v>9</v>
      </c>
      <c r="AZ96" s="62"/>
      <c r="BA96" s="62"/>
      <c r="BB96" s="62"/>
      <c r="BC96" s="62"/>
      <c r="BD96" s="62">
        <v>10</v>
      </c>
      <c r="BE96" s="62"/>
      <c r="BF96" s="62"/>
      <c r="BG96" s="62"/>
      <c r="BH96" s="62"/>
      <c r="BI96" s="57">
        <v>11</v>
      </c>
      <c r="BJ96" s="63"/>
      <c r="BK96" s="63"/>
      <c r="BL96" s="63"/>
      <c r="BM96" s="63"/>
      <c r="BN96" s="64"/>
      <c r="BO96" s="6"/>
      <c r="BP96" s="6"/>
      <c r="BQ96" s="6"/>
    </row>
    <row r="97" spans="1:79" ht="18" hidden="1" customHeight="1" x14ac:dyDescent="0.2">
      <c r="A97" s="39" t="s">
        <v>13</v>
      </c>
      <c r="B97" s="39"/>
      <c r="C97" s="107" t="s">
        <v>14</v>
      </c>
      <c r="D97" s="107"/>
      <c r="E97" s="107"/>
      <c r="F97" s="107"/>
      <c r="G97" s="107"/>
      <c r="H97" s="107"/>
      <c r="I97" s="107"/>
      <c r="J97" s="107"/>
      <c r="K97" s="107"/>
      <c r="L97" s="107"/>
      <c r="M97" s="107"/>
      <c r="N97" s="107"/>
      <c r="O97" s="107"/>
      <c r="P97" s="107"/>
      <c r="Q97" s="107"/>
      <c r="R97" s="107"/>
      <c r="S97" s="65" t="s">
        <v>10</v>
      </c>
      <c r="T97" s="65"/>
      <c r="U97" s="65"/>
      <c r="V97" s="65"/>
      <c r="W97" s="65"/>
      <c r="X97" s="65" t="s">
        <v>9</v>
      </c>
      <c r="Y97" s="65"/>
      <c r="Z97" s="65"/>
      <c r="AA97" s="65"/>
      <c r="AB97" s="65"/>
      <c r="AC97" s="31" t="s">
        <v>16</v>
      </c>
      <c r="AD97" s="108"/>
      <c r="AE97" s="108"/>
      <c r="AF97" s="108"/>
      <c r="AG97" s="108"/>
      <c r="AH97" s="108"/>
      <c r="AI97" s="65" t="s">
        <v>11</v>
      </c>
      <c r="AJ97" s="65"/>
      <c r="AK97" s="65"/>
      <c r="AL97" s="65"/>
      <c r="AM97" s="65"/>
      <c r="AN97" s="65" t="s">
        <v>12</v>
      </c>
      <c r="AO97" s="65"/>
      <c r="AP97" s="65"/>
      <c r="AQ97" s="65"/>
      <c r="AR97" s="65"/>
      <c r="AS97" s="31" t="s">
        <v>16</v>
      </c>
      <c r="AT97" s="108"/>
      <c r="AU97" s="108"/>
      <c r="AV97" s="108"/>
      <c r="AW97" s="108"/>
      <c r="AX97" s="108"/>
      <c r="AY97" s="54" t="s">
        <v>17</v>
      </c>
      <c r="AZ97" s="109"/>
      <c r="BA97" s="109"/>
      <c r="BB97" s="109"/>
      <c r="BC97" s="55"/>
      <c r="BD97" s="54" t="s">
        <v>17</v>
      </c>
      <c r="BE97" s="109"/>
      <c r="BF97" s="109"/>
      <c r="BG97" s="109"/>
      <c r="BH97" s="55"/>
      <c r="BI97" s="108" t="s">
        <v>16</v>
      </c>
      <c r="BJ97" s="108"/>
      <c r="BK97" s="108"/>
      <c r="BL97" s="108"/>
      <c r="BM97" s="108"/>
      <c r="BN97" s="108"/>
      <c r="BO97" s="7"/>
      <c r="BP97" s="7"/>
      <c r="BQ97" s="7"/>
      <c r="CA97" s="1" t="s">
        <v>21</v>
      </c>
    </row>
    <row r="98" spans="1:79" ht="63.75" customHeight="1" x14ac:dyDescent="0.2">
      <c r="A98" s="39">
        <v>1</v>
      </c>
      <c r="B98" s="39"/>
      <c r="C98" s="40" t="s">
        <v>119</v>
      </c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2"/>
      <c r="S98" s="47">
        <v>6090512</v>
      </c>
      <c r="T98" s="47"/>
      <c r="U98" s="47"/>
      <c r="V98" s="47"/>
      <c r="W98" s="47"/>
      <c r="X98" s="47">
        <v>0</v>
      </c>
      <c r="Y98" s="47"/>
      <c r="Z98" s="47"/>
      <c r="AA98" s="47"/>
      <c r="AB98" s="47"/>
      <c r="AC98" s="47">
        <f>S98+X98</f>
        <v>6090512</v>
      </c>
      <c r="AD98" s="47"/>
      <c r="AE98" s="47"/>
      <c r="AF98" s="47"/>
      <c r="AG98" s="47"/>
      <c r="AH98" s="47"/>
      <c r="AI98" s="47">
        <v>5797458.75</v>
      </c>
      <c r="AJ98" s="47"/>
      <c r="AK98" s="47"/>
      <c r="AL98" s="47"/>
      <c r="AM98" s="47"/>
      <c r="AN98" s="47">
        <v>0</v>
      </c>
      <c r="AO98" s="47"/>
      <c r="AP98" s="47"/>
      <c r="AQ98" s="47"/>
      <c r="AR98" s="47"/>
      <c r="AS98" s="47">
        <f>AI98+AN98</f>
        <v>5797458.75</v>
      </c>
      <c r="AT98" s="47"/>
      <c r="AU98" s="47"/>
      <c r="AV98" s="47"/>
      <c r="AW98" s="47"/>
      <c r="AX98" s="47"/>
      <c r="AY98" s="47">
        <f>AI98-S98</f>
        <v>-293053.25</v>
      </c>
      <c r="AZ98" s="47"/>
      <c r="BA98" s="47"/>
      <c r="BB98" s="47"/>
      <c r="BC98" s="47"/>
      <c r="BD98" s="113">
        <f>AN98-X98</f>
        <v>0</v>
      </c>
      <c r="BE98" s="113"/>
      <c r="BF98" s="113"/>
      <c r="BG98" s="113"/>
      <c r="BH98" s="113"/>
      <c r="BI98" s="113">
        <f>AY98+BD98</f>
        <v>-293053.25</v>
      </c>
      <c r="BJ98" s="113"/>
      <c r="BK98" s="113"/>
      <c r="BL98" s="113"/>
      <c r="BM98" s="113"/>
      <c r="BN98" s="113"/>
      <c r="BO98" s="8"/>
      <c r="BP98" s="8"/>
      <c r="BQ98" s="8"/>
      <c r="CA98" s="1" t="s">
        <v>22</v>
      </c>
    </row>
    <row r="99" spans="1:79" s="27" customFormat="1" ht="15" customHeight="1" x14ac:dyDescent="0.2">
      <c r="A99" s="31"/>
      <c r="B99" s="31"/>
      <c r="C99" s="32" t="s">
        <v>120</v>
      </c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4"/>
      <c r="S99" s="48">
        <v>6090512</v>
      </c>
      <c r="T99" s="48"/>
      <c r="U99" s="48"/>
      <c r="V99" s="48"/>
      <c r="W99" s="48"/>
      <c r="X99" s="48">
        <v>0</v>
      </c>
      <c r="Y99" s="48"/>
      <c r="Z99" s="48"/>
      <c r="AA99" s="48"/>
      <c r="AB99" s="48"/>
      <c r="AC99" s="48">
        <f>S99+X99</f>
        <v>6090512</v>
      </c>
      <c r="AD99" s="48"/>
      <c r="AE99" s="48"/>
      <c r="AF99" s="48"/>
      <c r="AG99" s="48"/>
      <c r="AH99" s="48"/>
      <c r="AI99" s="48">
        <v>5797458.75</v>
      </c>
      <c r="AJ99" s="48"/>
      <c r="AK99" s="48"/>
      <c r="AL99" s="48"/>
      <c r="AM99" s="48"/>
      <c r="AN99" s="48">
        <v>0</v>
      </c>
      <c r="AO99" s="48"/>
      <c r="AP99" s="48"/>
      <c r="AQ99" s="48"/>
      <c r="AR99" s="48"/>
      <c r="AS99" s="48">
        <f>AI99+AN99</f>
        <v>5797458.75</v>
      </c>
      <c r="AT99" s="48"/>
      <c r="AU99" s="48"/>
      <c r="AV99" s="48"/>
      <c r="AW99" s="48"/>
      <c r="AX99" s="48"/>
      <c r="AY99" s="48">
        <f>AI99-S99</f>
        <v>-293053.25</v>
      </c>
      <c r="AZ99" s="48"/>
      <c r="BA99" s="48"/>
      <c r="BB99" s="48"/>
      <c r="BC99" s="48"/>
      <c r="BD99" s="53">
        <f>AN99-X99</f>
        <v>0</v>
      </c>
      <c r="BE99" s="53"/>
      <c r="BF99" s="53"/>
      <c r="BG99" s="53"/>
      <c r="BH99" s="53"/>
      <c r="BI99" s="53">
        <f>AY99+BD99</f>
        <v>-293053.25</v>
      </c>
      <c r="BJ99" s="53"/>
      <c r="BK99" s="53"/>
      <c r="BL99" s="53"/>
      <c r="BM99" s="53"/>
      <c r="BN99" s="53"/>
      <c r="BO99" s="28"/>
      <c r="BP99" s="28"/>
      <c r="BQ99" s="28"/>
    </row>
    <row r="101" spans="1:79" ht="15.75" customHeight="1" x14ac:dyDescent="0.2">
      <c r="A101" s="56" t="s">
        <v>43</v>
      </c>
      <c r="B101" s="56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  <c r="BD101" s="56"/>
      <c r="BE101" s="56"/>
      <c r="BF101" s="56"/>
      <c r="BG101" s="56"/>
      <c r="BH101" s="56"/>
      <c r="BI101" s="56"/>
      <c r="BJ101" s="56"/>
      <c r="BK101" s="56"/>
      <c r="BL101" s="56"/>
      <c r="BM101" s="56"/>
      <c r="BN101" s="56"/>
      <c r="BO101" s="56"/>
      <c r="BP101" s="56"/>
      <c r="BQ101" s="56"/>
    </row>
    <row r="102" spans="1:79" ht="15.75" customHeight="1" x14ac:dyDescent="0.2">
      <c r="A102" s="56" t="s">
        <v>62</v>
      </c>
      <c r="B102" s="56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  <c r="BD102" s="56"/>
      <c r="BE102" s="56"/>
      <c r="BF102" s="56"/>
      <c r="BG102" s="56"/>
      <c r="BH102" s="56"/>
      <c r="BI102" s="56"/>
      <c r="BJ102" s="56"/>
      <c r="BK102" s="56"/>
      <c r="BL102" s="56"/>
      <c r="BM102" s="56"/>
      <c r="BN102" s="56"/>
      <c r="BO102" s="56"/>
      <c r="BP102" s="56"/>
      <c r="BQ102" s="56"/>
    </row>
    <row r="103" spans="1:79" ht="8.25" customHeight="1" x14ac:dyDescent="0.2"/>
    <row r="104" spans="1:79" ht="45" customHeight="1" x14ac:dyDescent="0.2">
      <c r="A104" s="66" t="s">
        <v>3</v>
      </c>
      <c r="B104" s="68"/>
      <c r="C104" s="66" t="s">
        <v>6</v>
      </c>
      <c r="D104" s="67"/>
      <c r="E104" s="67"/>
      <c r="F104" s="67"/>
      <c r="G104" s="67"/>
      <c r="H104" s="67"/>
      <c r="I104" s="68"/>
      <c r="J104" s="66" t="s">
        <v>5</v>
      </c>
      <c r="K104" s="67"/>
      <c r="L104" s="67"/>
      <c r="M104" s="67"/>
      <c r="N104" s="68"/>
      <c r="O104" s="66" t="s">
        <v>4</v>
      </c>
      <c r="P104" s="67"/>
      <c r="Q104" s="67"/>
      <c r="R104" s="67"/>
      <c r="S104" s="67"/>
      <c r="T104" s="67"/>
      <c r="U104" s="67"/>
      <c r="V104" s="67"/>
      <c r="W104" s="67"/>
      <c r="X104" s="68"/>
      <c r="Y104" s="62" t="s">
        <v>25</v>
      </c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  <c r="AL104" s="62"/>
      <c r="AM104" s="62"/>
      <c r="AN104" s="62" t="s">
        <v>45</v>
      </c>
      <c r="AO104" s="62"/>
      <c r="AP104" s="62"/>
      <c r="AQ104" s="62"/>
      <c r="AR104" s="62"/>
      <c r="AS104" s="62"/>
      <c r="AT104" s="62"/>
      <c r="AU104" s="62"/>
      <c r="AV104" s="62"/>
      <c r="AW104" s="62"/>
      <c r="AX104" s="62"/>
      <c r="AY104" s="62"/>
      <c r="AZ104" s="62"/>
      <c r="BA104" s="62"/>
      <c r="BB104" s="62"/>
      <c r="BC104" s="85" t="s">
        <v>0</v>
      </c>
      <c r="BD104" s="85"/>
      <c r="BE104" s="85"/>
      <c r="BF104" s="85"/>
      <c r="BG104" s="85"/>
      <c r="BH104" s="85"/>
      <c r="BI104" s="85"/>
      <c r="BJ104" s="85"/>
      <c r="BK104" s="85"/>
      <c r="BL104" s="85"/>
      <c r="BM104" s="85"/>
      <c r="BN104" s="85"/>
      <c r="BO104" s="85"/>
      <c r="BP104" s="85"/>
      <c r="BQ104" s="85"/>
      <c r="BR104" s="9"/>
      <c r="BS104" s="9"/>
      <c r="BT104" s="9"/>
      <c r="BU104" s="9"/>
      <c r="BV104" s="9"/>
      <c r="BW104" s="9"/>
      <c r="BX104" s="9"/>
      <c r="BY104" s="9"/>
    </row>
    <row r="105" spans="1:79" ht="32.25" customHeight="1" x14ac:dyDescent="0.2">
      <c r="A105" s="104"/>
      <c r="B105" s="106"/>
      <c r="C105" s="104"/>
      <c r="D105" s="105"/>
      <c r="E105" s="105"/>
      <c r="F105" s="105"/>
      <c r="G105" s="105"/>
      <c r="H105" s="105"/>
      <c r="I105" s="106"/>
      <c r="J105" s="104"/>
      <c r="K105" s="105"/>
      <c r="L105" s="105"/>
      <c r="M105" s="105"/>
      <c r="N105" s="106"/>
      <c r="O105" s="104"/>
      <c r="P105" s="105"/>
      <c r="Q105" s="105"/>
      <c r="R105" s="105"/>
      <c r="S105" s="105"/>
      <c r="T105" s="105"/>
      <c r="U105" s="105"/>
      <c r="V105" s="105"/>
      <c r="W105" s="105"/>
      <c r="X105" s="106"/>
      <c r="Y105" s="57" t="s">
        <v>2</v>
      </c>
      <c r="Z105" s="63"/>
      <c r="AA105" s="63"/>
      <c r="AB105" s="63"/>
      <c r="AC105" s="64"/>
      <c r="AD105" s="57" t="s">
        <v>1</v>
      </c>
      <c r="AE105" s="63"/>
      <c r="AF105" s="63"/>
      <c r="AG105" s="63"/>
      <c r="AH105" s="64"/>
      <c r="AI105" s="62" t="s">
        <v>26</v>
      </c>
      <c r="AJ105" s="62"/>
      <c r="AK105" s="62"/>
      <c r="AL105" s="62"/>
      <c r="AM105" s="62"/>
      <c r="AN105" s="62" t="s">
        <v>2</v>
      </c>
      <c r="AO105" s="62"/>
      <c r="AP105" s="62"/>
      <c r="AQ105" s="62"/>
      <c r="AR105" s="62"/>
      <c r="AS105" s="62" t="s">
        <v>1</v>
      </c>
      <c r="AT105" s="62"/>
      <c r="AU105" s="62"/>
      <c r="AV105" s="62"/>
      <c r="AW105" s="62"/>
      <c r="AX105" s="62" t="s">
        <v>26</v>
      </c>
      <c r="AY105" s="62"/>
      <c r="AZ105" s="62"/>
      <c r="BA105" s="62"/>
      <c r="BB105" s="62"/>
      <c r="BC105" s="62" t="s">
        <v>2</v>
      </c>
      <c r="BD105" s="62"/>
      <c r="BE105" s="62"/>
      <c r="BF105" s="62"/>
      <c r="BG105" s="62"/>
      <c r="BH105" s="62" t="s">
        <v>1</v>
      </c>
      <c r="BI105" s="62"/>
      <c r="BJ105" s="62"/>
      <c r="BK105" s="62"/>
      <c r="BL105" s="62"/>
      <c r="BM105" s="62" t="s">
        <v>26</v>
      </c>
      <c r="BN105" s="62"/>
      <c r="BO105" s="62"/>
      <c r="BP105" s="62"/>
      <c r="BQ105" s="62"/>
      <c r="BR105" s="2"/>
      <c r="BS105" s="2"/>
      <c r="BT105" s="2"/>
      <c r="BU105" s="2"/>
      <c r="BV105" s="2"/>
      <c r="BW105" s="2"/>
      <c r="BX105" s="2"/>
      <c r="BY105" s="2"/>
    </row>
    <row r="106" spans="1:79" ht="15.95" customHeight="1" x14ac:dyDescent="0.2">
      <c r="A106" s="62">
        <v>1</v>
      </c>
      <c r="B106" s="62"/>
      <c r="C106" s="62">
        <v>2</v>
      </c>
      <c r="D106" s="62"/>
      <c r="E106" s="62"/>
      <c r="F106" s="62"/>
      <c r="G106" s="62"/>
      <c r="H106" s="62"/>
      <c r="I106" s="62"/>
      <c r="J106" s="62">
        <v>3</v>
      </c>
      <c r="K106" s="62"/>
      <c r="L106" s="62"/>
      <c r="M106" s="62"/>
      <c r="N106" s="62"/>
      <c r="O106" s="62">
        <v>4</v>
      </c>
      <c r="P106" s="62"/>
      <c r="Q106" s="62"/>
      <c r="R106" s="62"/>
      <c r="S106" s="62"/>
      <c r="T106" s="62"/>
      <c r="U106" s="62"/>
      <c r="V106" s="62"/>
      <c r="W106" s="62"/>
      <c r="X106" s="62"/>
      <c r="Y106" s="62">
        <v>5</v>
      </c>
      <c r="Z106" s="62"/>
      <c r="AA106" s="62"/>
      <c r="AB106" s="62"/>
      <c r="AC106" s="62"/>
      <c r="AD106" s="62">
        <v>6</v>
      </c>
      <c r="AE106" s="62"/>
      <c r="AF106" s="62"/>
      <c r="AG106" s="62"/>
      <c r="AH106" s="62"/>
      <c r="AI106" s="62">
        <v>7</v>
      </c>
      <c r="AJ106" s="62"/>
      <c r="AK106" s="62"/>
      <c r="AL106" s="62"/>
      <c r="AM106" s="62"/>
      <c r="AN106" s="57">
        <v>8</v>
      </c>
      <c r="AO106" s="63"/>
      <c r="AP106" s="63"/>
      <c r="AQ106" s="63"/>
      <c r="AR106" s="64"/>
      <c r="AS106" s="57">
        <v>9</v>
      </c>
      <c r="AT106" s="63"/>
      <c r="AU106" s="63"/>
      <c r="AV106" s="63"/>
      <c r="AW106" s="64"/>
      <c r="AX106" s="57">
        <v>10</v>
      </c>
      <c r="AY106" s="63"/>
      <c r="AZ106" s="63"/>
      <c r="BA106" s="63"/>
      <c r="BB106" s="64"/>
      <c r="BC106" s="57">
        <v>11</v>
      </c>
      <c r="BD106" s="63"/>
      <c r="BE106" s="63"/>
      <c r="BF106" s="63"/>
      <c r="BG106" s="64"/>
      <c r="BH106" s="57">
        <v>12</v>
      </c>
      <c r="BI106" s="63"/>
      <c r="BJ106" s="63"/>
      <c r="BK106" s="63"/>
      <c r="BL106" s="64"/>
      <c r="BM106" s="57">
        <v>13</v>
      </c>
      <c r="BN106" s="63"/>
      <c r="BO106" s="63"/>
      <c r="BP106" s="63"/>
      <c r="BQ106" s="64"/>
      <c r="BR106" s="2"/>
      <c r="BS106" s="2"/>
      <c r="BT106" s="2"/>
      <c r="BU106" s="2"/>
      <c r="BV106" s="2"/>
      <c r="BW106" s="2"/>
      <c r="BX106" s="2"/>
      <c r="BY106" s="2"/>
    </row>
    <row r="107" spans="1:79" ht="12.75" hidden="1" customHeight="1" x14ac:dyDescent="0.2">
      <c r="A107" s="39" t="s">
        <v>36</v>
      </c>
      <c r="B107" s="39"/>
      <c r="C107" s="82" t="s">
        <v>14</v>
      </c>
      <c r="D107" s="83"/>
      <c r="E107" s="83"/>
      <c r="F107" s="83"/>
      <c r="G107" s="83"/>
      <c r="H107" s="83"/>
      <c r="I107" s="84"/>
      <c r="J107" s="39" t="s">
        <v>15</v>
      </c>
      <c r="K107" s="39"/>
      <c r="L107" s="39"/>
      <c r="M107" s="39"/>
      <c r="N107" s="39"/>
      <c r="O107" s="107" t="s">
        <v>37</v>
      </c>
      <c r="P107" s="107"/>
      <c r="Q107" s="107"/>
      <c r="R107" s="107"/>
      <c r="S107" s="107"/>
      <c r="T107" s="107"/>
      <c r="U107" s="107"/>
      <c r="V107" s="107"/>
      <c r="W107" s="107"/>
      <c r="X107" s="82"/>
      <c r="Y107" s="65" t="s">
        <v>10</v>
      </c>
      <c r="Z107" s="65"/>
      <c r="AA107" s="65"/>
      <c r="AB107" s="65"/>
      <c r="AC107" s="65"/>
      <c r="AD107" s="65" t="s">
        <v>29</v>
      </c>
      <c r="AE107" s="65"/>
      <c r="AF107" s="65"/>
      <c r="AG107" s="65"/>
      <c r="AH107" s="65"/>
      <c r="AI107" s="65" t="s">
        <v>75</v>
      </c>
      <c r="AJ107" s="65"/>
      <c r="AK107" s="65"/>
      <c r="AL107" s="65"/>
      <c r="AM107" s="65"/>
      <c r="AN107" s="65" t="s">
        <v>30</v>
      </c>
      <c r="AO107" s="65"/>
      <c r="AP107" s="65"/>
      <c r="AQ107" s="65"/>
      <c r="AR107" s="65"/>
      <c r="AS107" s="65" t="s">
        <v>11</v>
      </c>
      <c r="AT107" s="65"/>
      <c r="AU107" s="65"/>
      <c r="AV107" s="65"/>
      <c r="AW107" s="65"/>
      <c r="AX107" s="65" t="s">
        <v>76</v>
      </c>
      <c r="AY107" s="65"/>
      <c r="AZ107" s="65"/>
      <c r="BA107" s="65"/>
      <c r="BB107" s="65"/>
      <c r="BC107" s="65" t="s">
        <v>32</v>
      </c>
      <c r="BD107" s="65"/>
      <c r="BE107" s="65"/>
      <c r="BF107" s="65"/>
      <c r="BG107" s="65"/>
      <c r="BH107" s="65" t="s">
        <v>32</v>
      </c>
      <c r="BI107" s="65"/>
      <c r="BJ107" s="65"/>
      <c r="BK107" s="65"/>
      <c r="BL107" s="65"/>
      <c r="BM107" s="89" t="s">
        <v>16</v>
      </c>
      <c r="BN107" s="89"/>
      <c r="BO107" s="89"/>
      <c r="BP107" s="89"/>
      <c r="BQ107" s="89"/>
      <c r="CA107" s="1" t="s">
        <v>23</v>
      </c>
    </row>
    <row r="108" spans="1:79" s="27" customFormat="1" ht="15.75" x14ac:dyDescent="0.2">
      <c r="A108" s="31">
        <v>0</v>
      </c>
      <c r="B108" s="31"/>
      <c r="C108" s="52" t="s">
        <v>121</v>
      </c>
      <c r="D108" s="52"/>
      <c r="E108" s="52"/>
      <c r="F108" s="52"/>
      <c r="G108" s="52"/>
      <c r="H108" s="52"/>
      <c r="I108" s="52"/>
      <c r="J108" s="52" t="s">
        <v>122</v>
      </c>
      <c r="K108" s="52"/>
      <c r="L108" s="52"/>
      <c r="M108" s="52"/>
      <c r="N108" s="52"/>
      <c r="O108" s="52" t="s">
        <v>122</v>
      </c>
      <c r="P108" s="52"/>
      <c r="Q108" s="52"/>
      <c r="R108" s="52"/>
      <c r="S108" s="52"/>
      <c r="T108" s="52"/>
      <c r="U108" s="52"/>
      <c r="V108" s="52"/>
      <c r="W108" s="52"/>
      <c r="X108" s="52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29"/>
      <c r="BS108" s="29"/>
      <c r="BT108" s="29"/>
      <c r="BU108" s="29"/>
      <c r="BV108" s="29"/>
      <c r="BW108" s="29"/>
      <c r="BX108" s="29"/>
      <c r="BY108" s="29"/>
      <c r="CA108" s="27" t="s">
        <v>24</v>
      </c>
    </row>
    <row r="109" spans="1:79" ht="25.5" customHeight="1" x14ac:dyDescent="0.2">
      <c r="A109" s="39">
        <v>1</v>
      </c>
      <c r="B109" s="39"/>
      <c r="C109" s="49" t="s">
        <v>123</v>
      </c>
      <c r="D109" s="41"/>
      <c r="E109" s="41"/>
      <c r="F109" s="41"/>
      <c r="G109" s="41"/>
      <c r="H109" s="41"/>
      <c r="I109" s="42"/>
      <c r="J109" s="50" t="s">
        <v>124</v>
      </c>
      <c r="K109" s="50"/>
      <c r="L109" s="50"/>
      <c r="M109" s="50"/>
      <c r="N109" s="50"/>
      <c r="O109" s="50" t="s">
        <v>125</v>
      </c>
      <c r="P109" s="50"/>
      <c r="Q109" s="50"/>
      <c r="R109" s="50"/>
      <c r="S109" s="50"/>
      <c r="T109" s="50"/>
      <c r="U109" s="50"/>
      <c r="V109" s="50"/>
      <c r="W109" s="50"/>
      <c r="X109" s="50"/>
      <c r="Y109" s="47">
        <v>24.5</v>
      </c>
      <c r="Z109" s="47"/>
      <c r="AA109" s="47"/>
      <c r="AB109" s="47"/>
      <c r="AC109" s="47"/>
      <c r="AD109" s="47">
        <v>0</v>
      </c>
      <c r="AE109" s="47"/>
      <c r="AF109" s="47"/>
      <c r="AG109" s="47"/>
      <c r="AH109" s="47"/>
      <c r="AI109" s="47">
        <v>24.5</v>
      </c>
      <c r="AJ109" s="47"/>
      <c r="AK109" s="47"/>
      <c r="AL109" s="47"/>
      <c r="AM109" s="47"/>
      <c r="AN109" s="47">
        <v>20.2</v>
      </c>
      <c r="AO109" s="47"/>
      <c r="AP109" s="47"/>
      <c r="AQ109" s="47"/>
      <c r="AR109" s="47"/>
      <c r="AS109" s="47">
        <v>0</v>
      </c>
      <c r="AT109" s="47"/>
      <c r="AU109" s="47"/>
      <c r="AV109" s="47"/>
      <c r="AW109" s="47"/>
      <c r="AX109" s="47">
        <v>20.2</v>
      </c>
      <c r="AY109" s="47"/>
      <c r="AZ109" s="47"/>
      <c r="BA109" s="47"/>
      <c r="BB109" s="47"/>
      <c r="BC109" s="47">
        <f>AN109-Y109</f>
        <v>-4.3000000000000007</v>
      </c>
      <c r="BD109" s="47"/>
      <c r="BE109" s="47"/>
      <c r="BF109" s="47"/>
      <c r="BG109" s="47"/>
      <c r="BH109" s="47">
        <f>AS109-AD109</f>
        <v>0</v>
      </c>
      <c r="BI109" s="47"/>
      <c r="BJ109" s="47"/>
      <c r="BK109" s="47"/>
      <c r="BL109" s="47"/>
      <c r="BM109" s="47">
        <v>-4.3000000000000007</v>
      </c>
      <c r="BN109" s="47"/>
      <c r="BO109" s="47"/>
      <c r="BP109" s="47"/>
      <c r="BQ109" s="47"/>
      <c r="BR109" s="10"/>
      <c r="BS109" s="10"/>
      <c r="BT109" s="10"/>
      <c r="BU109" s="10"/>
      <c r="BV109" s="10"/>
      <c r="BW109" s="10"/>
      <c r="BX109" s="10"/>
      <c r="BY109" s="10"/>
    </row>
    <row r="110" spans="1:79" s="27" customFormat="1" ht="15.75" x14ac:dyDescent="0.2">
      <c r="A110" s="31">
        <v>0</v>
      </c>
      <c r="B110" s="31"/>
      <c r="C110" s="51" t="s">
        <v>126</v>
      </c>
      <c r="D110" s="33"/>
      <c r="E110" s="33"/>
      <c r="F110" s="33"/>
      <c r="G110" s="33"/>
      <c r="H110" s="33"/>
      <c r="I110" s="34"/>
      <c r="J110" s="52" t="s">
        <v>122</v>
      </c>
      <c r="K110" s="52"/>
      <c r="L110" s="52"/>
      <c r="M110" s="52"/>
      <c r="N110" s="52"/>
      <c r="O110" s="52" t="s">
        <v>122</v>
      </c>
      <c r="P110" s="52"/>
      <c r="Q110" s="52"/>
      <c r="R110" s="52"/>
      <c r="S110" s="52"/>
      <c r="T110" s="52"/>
      <c r="U110" s="52"/>
      <c r="V110" s="52"/>
      <c r="W110" s="52"/>
      <c r="X110" s="52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29"/>
      <c r="BS110" s="29"/>
      <c r="BT110" s="29"/>
      <c r="BU110" s="29"/>
      <c r="BV110" s="29"/>
      <c r="BW110" s="29"/>
      <c r="BX110" s="29"/>
      <c r="BY110" s="29"/>
    </row>
    <row r="111" spans="1:79" ht="38.25" customHeight="1" x14ac:dyDescent="0.2">
      <c r="A111" s="39">
        <v>1</v>
      </c>
      <c r="B111" s="39"/>
      <c r="C111" s="49" t="s">
        <v>127</v>
      </c>
      <c r="D111" s="41"/>
      <c r="E111" s="41"/>
      <c r="F111" s="41"/>
      <c r="G111" s="41"/>
      <c r="H111" s="41"/>
      <c r="I111" s="42"/>
      <c r="J111" s="50" t="s">
        <v>124</v>
      </c>
      <c r="K111" s="50"/>
      <c r="L111" s="50"/>
      <c r="M111" s="50"/>
      <c r="N111" s="50"/>
      <c r="O111" s="49" t="s">
        <v>128</v>
      </c>
      <c r="P111" s="41"/>
      <c r="Q111" s="41"/>
      <c r="R111" s="41"/>
      <c r="S111" s="41"/>
      <c r="T111" s="41"/>
      <c r="U111" s="41"/>
      <c r="V111" s="41"/>
      <c r="W111" s="41"/>
      <c r="X111" s="42"/>
      <c r="Y111" s="47">
        <v>120</v>
      </c>
      <c r="Z111" s="47"/>
      <c r="AA111" s="47"/>
      <c r="AB111" s="47"/>
      <c r="AC111" s="47"/>
      <c r="AD111" s="47">
        <v>0</v>
      </c>
      <c r="AE111" s="47"/>
      <c r="AF111" s="47"/>
      <c r="AG111" s="47"/>
      <c r="AH111" s="47"/>
      <c r="AI111" s="47">
        <v>120</v>
      </c>
      <c r="AJ111" s="47"/>
      <c r="AK111" s="47"/>
      <c r="AL111" s="47"/>
      <c r="AM111" s="47"/>
      <c r="AN111" s="47">
        <v>120</v>
      </c>
      <c r="AO111" s="47"/>
      <c r="AP111" s="47"/>
      <c r="AQ111" s="47"/>
      <c r="AR111" s="47"/>
      <c r="AS111" s="47">
        <v>0</v>
      </c>
      <c r="AT111" s="47"/>
      <c r="AU111" s="47"/>
      <c r="AV111" s="47"/>
      <c r="AW111" s="47"/>
      <c r="AX111" s="47">
        <v>120</v>
      </c>
      <c r="AY111" s="47"/>
      <c r="AZ111" s="47"/>
      <c r="BA111" s="47"/>
      <c r="BB111" s="47"/>
      <c r="BC111" s="47">
        <f>AN111-Y111</f>
        <v>0</v>
      </c>
      <c r="BD111" s="47"/>
      <c r="BE111" s="47"/>
      <c r="BF111" s="47"/>
      <c r="BG111" s="47"/>
      <c r="BH111" s="47">
        <f>AS111-AD111</f>
        <v>0</v>
      </c>
      <c r="BI111" s="47"/>
      <c r="BJ111" s="47"/>
      <c r="BK111" s="47"/>
      <c r="BL111" s="47"/>
      <c r="BM111" s="47">
        <v>0</v>
      </c>
      <c r="BN111" s="47"/>
      <c r="BO111" s="47"/>
      <c r="BP111" s="47"/>
      <c r="BQ111" s="47"/>
      <c r="BR111" s="10"/>
      <c r="BS111" s="10"/>
      <c r="BT111" s="10"/>
      <c r="BU111" s="10"/>
      <c r="BV111" s="10"/>
      <c r="BW111" s="10"/>
      <c r="BX111" s="10"/>
      <c r="BY111" s="10"/>
    </row>
    <row r="112" spans="1:79" s="27" customFormat="1" ht="15.75" x14ac:dyDescent="0.2">
      <c r="A112" s="31">
        <v>0</v>
      </c>
      <c r="B112" s="31"/>
      <c r="C112" s="51" t="s">
        <v>129</v>
      </c>
      <c r="D112" s="33"/>
      <c r="E112" s="33"/>
      <c r="F112" s="33"/>
      <c r="G112" s="33"/>
      <c r="H112" s="33"/>
      <c r="I112" s="34"/>
      <c r="J112" s="52" t="s">
        <v>122</v>
      </c>
      <c r="K112" s="52"/>
      <c r="L112" s="52"/>
      <c r="M112" s="52"/>
      <c r="N112" s="52"/>
      <c r="O112" s="51" t="s">
        <v>122</v>
      </c>
      <c r="P112" s="33"/>
      <c r="Q112" s="33"/>
      <c r="R112" s="33"/>
      <c r="S112" s="33"/>
      <c r="T112" s="33"/>
      <c r="U112" s="33"/>
      <c r="V112" s="33"/>
      <c r="W112" s="33"/>
      <c r="X112" s="34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29"/>
      <c r="BS112" s="29"/>
      <c r="BT112" s="29"/>
      <c r="BU112" s="29"/>
      <c r="BV112" s="29"/>
      <c r="BW112" s="29"/>
      <c r="BX112" s="29"/>
      <c r="BY112" s="29"/>
    </row>
    <row r="113" spans="1:79" ht="38.25" customHeight="1" x14ac:dyDescent="0.2">
      <c r="A113" s="39">
        <v>1</v>
      </c>
      <c r="B113" s="39"/>
      <c r="C113" s="49" t="s">
        <v>130</v>
      </c>
      <c r="D113" s="41"/>
      <c r="E113" s="41"/>
      <c r="F113" s="41"/>
      <c r="G113" s="41"/>
      <c r="H113" s="41"/>
      <c r="I113" s="42"/>
      <c r="J113" s="50" t="s">
        <v>131</v>
      </c>
      <c r="K113" s="50"/>
      <c r="L113" s="50"/>
      <c r="M113" s="50"/>
      <c r="N113" s="50"/>
      <c r="O113" s="49" t="s">
        <v>132</v>
      </c>
      <c r="P113" s="41"/>
      <c r="Q113" s="41"/>
      <c r="R113" s="41"/>
      <c r="S113" s="41"/>
      <c r="T113" s="41"/>
      <c r="U113" s="41"/>
      <c r="V113" s="41"/>
      <c r="W113" s="41"/>
      <c r="X113" s="42"/>
      <c r="Y113" s="47">
        <v>14057</v>
      </c>
      <c r="Z113" s="47"/>
      <c r="AA113" s="47"/>
      <c r="AB113" s="47"/>
      <c r="AC113" s="47"/>
      <c r="AD113" s="47">
        <v>0</v>
      </c>
      <c r="AE113" s="47"/>
      <c r="AF113" s="47"/>
      <c r="AG113" s="47"/>
      <c r="AH113" s="47"/>
      <c r="AI113" s="47">
        <v>14057</v>
      </c>
      <c r="AJ113" s="47"/>
      <c r="AK113" s="47"/>
      <c r="AL113" s="47"/>
      <c r="AM113" s="47"/>
      <c r="AN113" s="47">
        <v>14705</v>
      </c>
      <c r="AO113" s="47"/>
      <c r="AP113" s="47"/>
      <c r="AQ113" s="47"/>
      <c r="AR113" s="47"/>
      <c r="AS113" s="47">
        <v>0</v>
      </c>
      <c r="AT113" s="47"/>
      <c r="AU113" s="47"/>
      <c r="AV113" s="47"/>
      <c r="AW113" s="47"/>
      <c r="AX113" s="47">
        <v>14705</v>
      </c>
      <c r="AY113" s="47"/>
      <c r="AZ113" s="47"/>
      <c r="BA113" s="47"/>
      <c r="BB113" s="47"/>
      <c r="BC113" s="47">
        <f>AN113-Y113</f>
        <v>648</v>
      </c>
      <c r="BD113" s="47"/>
      <c r="BE113" s="47"/>
      <c r="BF113" s="47"/>
      <c r="BG113" s="47"/>
      <c r="BH113" s="47">
        <f>AS113-AD113</f>
        <v>0</v>
      </c>
      <c r="BI113" s="47"/>
      <c r="BJ113" s="47"/>
      <c r="BK113" s="47"/>
      <c r="BL113" s="47"/>
      <c r="BM113" s="47">
        <v>648</v>
      </c>
      <c r="BN113" s="47"/>
      <c r="BO113" s="47"/>
      <c r="BP113" s="47"/>
      <c r="BQ113" s="47"/>
      <c r="BR113" s="10"/>
      <c r="BS113" s="10"/>
      <c r="BT113" s="10"/>
      <c r="BU113" s="10"/>
      <c r="BV113" s="10"/>
      <c r="BW113" s="10"/>
      <c r="BX113" s="10"/>
      <c r="BY113" s="10"/>
    </row>
    <row r="114" spans="1:79" s="27" customFormat="1" ht="15.75" x14ac:dyDescent="0.2">
      <c r="A114" s="31">
        <v>0</v>
      </c>
      <c r="B114" s="31"/>
      <c r="C114" s="51" t="s">
        <v>133</v>
      </c>
      <c r="D114" s="33"/>
      <c r="E114" s="33"/>
      <c r="F114" s="33"/>
      <c r="G114" s="33"/>
      <c r="H114" s="33"/>
      <c r="I114" s="34"/>
      <c r="J114" s="52" t="s">
        <v>122</v>
      </c>
      <c r="K114" s="52"/>
      <c r="L114" s="52"/>
      <c r="M114" s="52"/>
      <c r="N114" s="52"/>
      <c r="O114" s="51" t="s">
        <v>122</v>
      </c>
      <c r="P114" s="33"/>
      <c r="Q114" s="33"/>
      <c r="R114" s="33"/>
      <c r="S114" s="33"/>
      <c r="T114" s="33"/>
      <c r="U114" s="33"/>
      <c r="V114" s="33"/>
      <c r="W114" s="33"/>
      <c r="X114" s="34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  <c r="AR114" s="48"/>
      <c r="AS114" s="48"/>
      <c r="AT114" s="48"/>
      <c r="AU114" s="48"/>
      <c r="AV114" s="48"/>
      <c r="AW114" s="48"/>
      <c r="AX114" s="48"/>
      <c r="AY114" s="48"/>
      <c r="AZ114" s="48"/>
      <c r="BA114" s="48"/>
      <c r="BB114" s="48"/>
      <c r="BC114" s="48"/>
      <c r="BD114" s="48"/>
      <c r="BE114" s="48"/>
      <c r="BF114" s="48"/>
      <c r="BG114" s="48"/>
      <c r="BH114" s="48"/>
      <c r="BI114" s="48"/>
      <c r="BJ114" s="48"/>
      <c r="BK114" s="48"/>
      <c r="BL114" s="48"/>
      <c r="BM114" s="48"/>
      <c r="BN114" s="48"/>
      <c r="BO114" s="48"/>
      <c r="BP114" s="48"/>
      <c r="BQ114" s="48"/>
      <c r="BR114" s="29"/>
      <c r="BS114" s="29"/>
      <c r="BT114" s="29"/>
      <c r="BU114" s="29"/>
      <c r="BV114" s="29"/>
      <c r="BW114" s="29"/>
      <c r="BX114" s="29"/>
      <c r="BY114" s="29"/>
    </row>
    <row r="115" spans="1:79" ht="38.25" customHeight="1" x14ac:dyDescent="0.2">
      <c r="A115" s="39">
        <v>1</v>
      </c>
      <c r="B115" s="39"/>
      <c r="C115" s="49" t="s">
        <v>134</v>
      </c>
      <c r="D115" s="41"/>
      <c r="E115" s="41"/>
      <c r="F115" s="41"/>
      <c r="G115" s="41"/>
      <c r="H115" s="41"/>
      <c r="I115" s="42"/>
      <c r="J115" s="50" t="s">
        <v>135</v>
      </c>
      <c r="K115" s="50"/>
      <c r="L115" s="50"/>
      <c r="M115" s="50"/>
      <c r="N115" s="50"/>
      <c r="O115" s="49" t="s">
        <v>136</v>
      </c>
      <c r="P115" s="41"/>
      <c r="Q115" s="41"/>
      <c r="R115" s="41"/>
      <c r="S115" s="41"/>
      <c r="T115" s="41"/>
      <c r="U115" s="41"/>
      <c r="V115" s="41"/>
      <c r="W115" s="41"/>
      <c r="X115" s="42"/>
      <c r="Y115" s="47">
        <v>100</v>
      </c>
      <c r="Z115" s="47"/>
      <c r="AA115" s="47"/>
      <c r="AB115" s="47"/>
      <c r="AC115" s="47"/>
      <c r="AD115" s="47">
        <v>0</v>
      </c>
      <c r="AE115" s="47"/>
      <c r="AF115" s="47"/>
      <c r="AG115" s="47"/>
      <c r="AH115" s="47"/>
      <c r="AI115" s="47">
        <v>100</v>
      </c>
      <c r="AJ115" s="47"/>
      <c r="AK115" s="47"/>
      <c r="AL115" s="47"/>
      <c r="AM115" s="47"/>
      <c r="AN115" s="47">
        <v>100</v>
      </c>
      <c r="AO115" s="47"/>
      <c r="AP115" s="47"/>
      <c r="AQ115" s="47"/>
      <c r="AR115" s="47"/>
      <c r="AS115" s="47">
        <v>0</v>
      </c>
      <c r="AT115" s="47"/>
      <c r="AU115" s="47"/>
      <c r="AV115" s="47"/>
      <c r="AW115" s="47"/>
      <c r="AX115" s="47">
        <v>100</v>
      </c>
      <c r="AY115" s="47"/>
      <c r="AZ115" s="47"/>
      <c r="BA115" s="47"/>
      <c r="BB115" s="47"/>
      <c r="BC115" s="47">
        <f>AN115-Y115</f>
        <v>0</v>
      </c>
      <c r="BD115" s="47"/>
      <c r="BE115" s="47"/>
      <c r="BF115" s="47"/>
      <c r="BG115" s="47"/>
      <c r="BH115" s="47">
        <f>AS115-AD115</f>
        <v>0</v>
      </c>
      <c r="BI115" s="47"/>
      <c r="BJ115" s="47"/>
      <c r="BK115" s="47"/>
      <c r="BL115" s="47"/>
      <c r="BM115" s="47">
        <v>0</v>
      </c>
      <c r="BN115" s="47"/>
      <c r="BO115" s="47"/>
      <c r="BP115" s="47"/>
      <c r="BQ115" s="47"/>
      <c r="BR115" s="10"/>
      <c r="BS115" s="10"/>
      <c r="BT115" s="10"/>
      <c r="BU115" s="10"/>
      <c r="BV115" s="10"/>
      <c r="BW115" s="10"/>
      <c r="BX115" s="10"/>
      <c r="BY115" s="10"/>
    </row>
    <row r="116" spans="1:79" ht="15.75" x14ac:dyDescent="0.2">
      <c r="A116" s="23"/>
      <c r="B116" s="23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10"/>
      <c r="BS116" s="10"/>
      <c r="BT116" s="10"/>
      <c r="BU116" s="10"/>
      <c r="BV116" s="10"/>
      <c r="BW116" s="10"/>
      <c r="BX116" s="10"/>
      <c r="BY116" s="10"/>
    </row>
    <row r="117" spans="1:79" ht="15.75" customHeight="1" x14ac:dyDescent="0.2">
      <c r="A117" s="56" t="s">
        <v>63</v>
      </c>
      <c r="B117" s="56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  <c r="BD117" s="56"/>
      <c r="BE117" s="56"/>
      <c r="BF117" s="56"/>
      <c r="BG117" s="56"/>
      <c r="BH117" s="56"/>
      <c r="BI117" s="56"/>
      <c r="BJ117" s="56"/>
      <c r="BK117" s="56"/>
      <c r="BL117" s="56"/>
      <c r="BM117" s="56"/>
      <c r="BN117" s="56"/>
      <c r="BO117" s="56"/>
      <c r="BP117" s="56"/>
      <c r="BQ117" s="56"/>
    </row>
    <row r="118" spans="1:79" ht="9" customHeight="1" x14ac:dyDescent="0.2">
      <c r="A118" s="23"/>
      <c r="B118" s="23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10"/>
      <c r="BS118" s="10"/>
      <c r="BT118" s="10"/>
      <c r="BU118" s="10"/>
      <c r="BV118" s="10"/>
      <c r="BW118" s="10"/>
      <c r="BX118" s="10"/>
      <c r="BY118" s="10"/>
    </row>
    <row r="119" spans="1:79" ht="45" customHeight="1" x14ac:dyDescent="0.2">
      <c r="A119" s="66" t="s">
        <v>3</v>
      </c>
      <c r="B119" s="68"/>
      <c r="C119" s="66" t="s">
        <v>6</v>
      </c>
      <c r="D119" s="67"/>
      <c r="E119" s="67"/>
      <c r="F119" s="67"/>
      <c r="G119" s="67"/>
      <c r="H119" s="67"/>
      <c r="I119" s="68"/>
      <c r="J119" s="66" t="s">
        <v>5</v>
      </c>
      <c r="K119" s="67"/>
      <c r="L119" s="67"/>
      <c r="M119" s="67"/>
      <c r="N119" s="68"/>
      <c r="O119" s="57" t="s">
        <v>64</v>
      </c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  <c r="AM119" s="58"/>
      <c r="AN119" s="58"/>
      <c r="AO119" s="58"/>
      <c r="AP119" s="58"/>
      <c r="AQ119" s="58"/>
      <c r="AR119" s="58"/>
      <c r="AS119" s="58"/>
      <c r="AT119" s="58"/>
      <c r="AU119" s="58"/>
      <c r="AV119" s="58"/>
      <c r="AW119" s="58"/>
      <c r="AX119" s="58"/>
      <c r="AY119" s="58"/>
      <c r="AZ119" s="58"/>
      <c r="BA119" s="58"/>
      <c r="BB119" s="58"/>
      <c r="BC119" s="58"/>
      <c r="BD119" s="58"/>
      <c r="BE119" s="58"/>
      <c r="BF119" s="58"/>
      <c r="BG119" s="58"/>
      <c r="BH119" s="58"/>
      <c r="BI119" s="58"/>
      <c r="BJ119" s="58"/>
      <c r="BK119" s="58"/>
      <c r="BL119" s="58"/>
      <c r="BM119" s="58"/>
      <c r="BN119" s="58"/>
      <c r="BO119" s="58"/>
      <c r="BP119" s="58"/>
      <c r="BQ119" s="59"/>
      <c r="BR119" s="9"/>
      <c r="BS119" s="9"/>
      <c r="BT119" s="9"/>
      <c r="BU119" s="9"/>
      <c r="BV119" s="9"/>
      <c r="BW119" s="9"/>
      <c r="BX119" s="9"/>
      <c r="BY119" s="9"/>
    </row>
    <row r="120" spans="1:79" ht="15.95" customHeight="1" x14ac:dyDescent="0.2">
      <c r="A120" s="62">
        <v>1</v>
      </c>
      <c r="B120" s="62"/>
      <c r="C120" s="62">
        <v>2</v>
      </c>
      <c r="D120" s="62"/>
      <c r="E120" s="62"/>
      <c r="F120" s="62"/>
      <c r="G120" s="62"/>
      <c r="H120" s="62"/>
      <c r="I120" s="62"/>
      <c r="J120" s="62">
        <v>3</v>
      </c>
      <c r="K120" s="62"/>
      <c r="L120" s="62"/>
      <c r="M120" s="62"/>
      <c r="N120" s="62"/>
      <c r="O120" s="57">
        <v>4</v>
      </c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  <c r="AX120" s="60"/>
      <c r="AY120" s="60"/>
      <c r="AZ120" s="60"/>
      <c r="BA120" s="60"/>
      <c r="BB120" s="60"/>
      <c r="BC120" s="60"/>
      <c r="BD120" s="60"/>
      <c r="BE120" s="60"/>
      <c r="BF120" s="60"/>
      <c r="BG120" s="60"/>
      <c r="BH120" s="60"/>
      <c r="BI120" s="60"/>
      <c r="BJ120" s="60"/>
      <c r="BK120" s="60"/>
      <c r="BL120" s="60"/>
      <c r="BM120" s="60"/>
      <c r="BN120" s="60"/>
      <c r="BO120" s="60"/>
      <c r="BP120" s="60"/>
      <c r="BQ120" s="61"/>
      <c r="BR120" s="2"/>
      <c r="BS120" s="2"/>
      <c r="BT120" s="2"/>
      <c r="BU120" s="2"/>
      <c r="BV120" s="2"/>
      <c r="BW120" s="2"/>
      <c r="BX120" s="2"/>
      <c r="BY120" s="2"/>
    </row>
    <row r="121" spans="1:79" ht="12.75" hidden="1" customHeight="1" x14ac:dyDescent="0.2">
      <c r="A121" s="39" t="s">
        <v>36</v>
      </c>
      <c r="B121" s="39"/>
      <c r="C121" s="82" t="s">
        <v>14</v>
      </c>
      <c r="D121" s="83"/>
      <c r="E121" s="83"/>
      <c r="F121" s="83"/>
      <c r="G121" s="83"/>
      <c r="H121" s="83"/>
      <c r="I121" s="84"/>
      <c r="J121" s="39" t="s">
        <v>15</v>
      </c>
      <c r="K121" s="39"/>
      <c r="L121" s="39"/>
      <c r="M121" s="39"/>
      <c r="N121" s="39"/>
      <c r="O121" s="40" t="s">
        <v>70</v>
      </c>
      <c r="P121" s="92"/>
      <c r="Q121" s="92"/>
      <c r="R121" s="92"/>
      <c r="S121" s="92"/>
      <c r="T121" s="92"/>
      <c r="U121" s="92"/>
      <c r="V121" s="92"/>
      <c r="W121" s="92"/>
      <c r="X121" s="92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  <c r="AM121" s="93"/>
      <c r="AN121" s="93"/>
      <c r="AO121" s="93"/>
      <c r="AP121" s="93"/>
      <c r="AQ121" s="93"/>
      <c r="AR121" s="93"/>
      <c r="AS121" s="93"/>
      <c r="AT121" s="93"/>
      <c r="AU121" s="93"/>
      <c r="AV121" s="93"/>
      <c r="AW121" s="93"/>
      <c r="AX121" s="93"/>
      <c r="AY121" s="93"/>
      <c r="AZ121" s="93"/>
      <c r="BA121" s="93"/>
      <c r="BB121" s="93"/>
      <c r="BC121" s="93"/>
      <c r="BD121" s="93"/>
      <c r="BE121" s="93"/>
      <c r="BF121" s="93"/>
      <c r="BG121" s="93"/>
      <c r="BH121" s="93"/>
      <c r="BI121" s="93"/>
      <c r="BJ121" s="93"/>
      <c r="BK121" s="93"/>
      <c r="BL121" s="93"/>
      <c r="BM121" s="93"/>
      <c r="BN121" s="93"/>
      <c r="BO121" s="93"/>
      <c r="BP121" s="93"/>
      <c r="BQ121" s="94"/>
      <c r="CA121" s="1" t="s">
        <v>69</v>
      </c>
    </row>
    <row r="122" spans="1:79" s="27" customFormat="1" ht="15.75" x14ac:dyDescent="0.2">
      <c r="A122" s="31">
        <v>0</v>
      </c>
      <c r="B122" s="31"/>
      <c r="C122" s="31" t="s">
        <v>121</v>
      </c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5"/>
      <c r="P122" s="36"/>
      <c r="Q122" s="36"/>
      <c r="R122" s="36"/>
      <c r="S122" s="36"/>
      <c r="T122" s="36"/>
      <c r="U122" s="36"/>
      <c r="V122" s="36"/>
      <c r="W122" s="36"/>
      <c r="X122" s="36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  <c r="BL122" s="37"/>
      <c r="BM122" s="37"/>
      <c r="BN122" s="37"/>
      <c r="BO122" s="37"/>
      <c r="BP122" s="37"/>
      <c r="BQ122" s="38"/>
      <c r="BR122" s="30"/>
      <c r="BS122" s="30"/>
      <c r="BT122" s="30"/>
      <c r="BU122" s="30"/>
      <c r="BV122" s="30"/>
      <c r="BW122" s="30"/>
      <c r="BX122" s="30"/>
      <c r="BY122" s="30"/>
      <c r="CA122" s="27" t="s">
        <v>66</v>
      </c>
    </row>
    <row r="123" spans="1:79" ht="25.5" customHeight="1" x14ac:dyDescent="0.2">
      <c r="A123" s="39">
        <v>1</v>
      </c>
      <c r="B123" s="39"/>
      <c r="C123" s="40" t="s">
        <v>123</v>
      </c>
      <c r="D123" s="41"/>
      <c r="E123" s="41"/>
      <c r="F123" s="41"/>
      <c r="G123" s="41"/>
      <c r="H123" s="41"/>
      <c r="I123" s="42"/>
      <c r="J123" s="39" t="s">
        <v>124</v>
      </c>
      <c r="K123" s="39"/>
      <c r="L123" s="39"/>
      <c r="M123" s="39"/>
      <c r="N123" s="39"/>
      <c r="O123" s="43" t="s">
        <v>106</v>
      </c>
      <c r="P123" s="44"/>
      <c r="Q123" s="44"/>
      <c r="R123" s="44"/>
      <c r="S123" s="44"/>
      <c r="T123" s="44"/>
      <c r="U123" s="44"/>
      <c r="V123" s="44"/>
      <c r="W123" s="44"/>
      <c r="X123" s="44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/>
      <c r="AV123" s="45"/>
      <c r="AW123" s="45"/>
      <c r="AX123" s="45"/>
      <c r="AY123" s="45"/>
      <c r="AZ123" s="45"/>
      <c r="BA123" s="45"/>
      <c r="BB123" s="45"/>
      <c r="BC123" s="45"/>
      <c r="BD123" s="45"/>
      <c r="BE123" s="45"/>
      <c r="BF123" s="45"/>
      <c r="BG123" s="45"/>
      <c r="BH123" s="45"/>
      <c r="BI123" s="45"/>
      <c r="BJ123" s="45"/>
      <c r="BK123" s="45"/>
      <c r="BL123" s="45"/>
      <c r="BM123" s="45"/>
      <c r="BN123" s="45"/>
      <c r="BO123" s="45"/>
      <c r="BP123" s="45"/>
      <c r="BQ123" s="46"/>
      <c r="BR123" s="2"/>
      <c r="BS123" s="2"/>
      <c r="BT123" s="2"/>
      <c r="BU123" s="2"/>
      <c r="BV123" s="2"/>
      <c r="BW123" s="2"/>
      <c r="BX123" s="2"/>
      <c r="BY123" s="2"/>
    </row>
    <row r="124" spans="1:79" s="27" customFormat="1" ht="15.75" x14ac:dyDescent="0.2">
      <c r="A124" s="31">
        <v>0</v>
      </c>
      <c r="B124" s="31"/>
      <c r="C124" s="32" t="s">
        <v>126</v>
      </c>
      <c r="D124" s="33"/>
      <c r="E124" s="33"/>
      <c r="F124" s="33"/>
      <c r="G124" s="33"/>
      <c r="H124" s="33"/>
      <c r="I124" s="34"/>
      <c r="J124" s="31"/>
      <c r="K124" s="31"/>
      <c r="L124" s="31"/>
      <c r="M124" s="31"/>
      <c r="N124" s="31"/>
      <c r="O124" s="35"/>
      <c r="P124" s="36"/>
      <c r="Q124" s="36"/>
      <c r="R124" s="36"/>
      <c r="S124" s="36"/>
      <c r="T124" s="36"/>
      <c r="U124" s="36"/>
      <c r="V124" s="36"/>
      <c r="W124" s="36"/>
      <c r="X124" s="36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37"/>
      <c r="BL124" s="37"/>
      <c r="BM124" s="37"/>
      <c r="BN124" s="37"/>
      <c r="BO124" s="37"/>
      <c r="BP124" s="37"/>
      <c r="BQ124" s="38"/>
      <c r="BR124" s="30"/>
      <c r="BS124" s="30"/>
      <c r="BT124" s="30"/>
      <c r="BU124" s="30"/>
      <c r="BV124" s="30"/>
      <c r="BW124" s="30"/>
      <c r="BX124" s="30"/>
      <c r="BY124" s="30"/>
    </row>
    <row r="125" spans="1:79" s="27" customFormat="1" ht="15.75" x14ac:dyDescent="0.2">
      <c r="A125" s="31">
        <v>0</v>
      </c>
      <c r="B125" s="31"/>
      <c r="C125" s="32" t="s">
        <v>129</v>
      </c>
      <c r="D125" s="33"/>
      <c r="E125" s="33"/>
      <c r="F125" s="33"/>
      <c r="G125" s="33"/>
      <c r="H125" s="33"/>
      <c r="I125" s="34"/>
      <c r="J125" s="31"/>
      <c r="K125" s="31"/>
      <c r="L125" s="31"/>
      <c r="M125" s="31"/>
      <c r="N125" s="31"/>
      <c r="O125" s="35"/>
      <c r="P125" s="36"/>
      <c r="Q125" s="36"/>
      <c r="R125" s="36"/>
      <c r="S125" s="36"/>
      <c r="T125" s="36"/>
      <c r="U125" s="36"/>
      <c r="V125" s="36"/>
      <c r="W125" s="36"/>
      <c r="X125" s="36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  <c r="BM125" s="37"/>
      <c r="BN125" s="37"/>
      <c r="BO125" s="37"/>
      <c r="BP125" s="37"/>
      <c r="BQ125" s="38"/>
      <c r="BR125" s="30"/>
      <c r="BS125" s="30"/>
      <c r="BT125" s="30"/>
      <c r="BU125" s="30"/>
      <c r="BV125" s="30"/>
      <c r="BW125" s="30"/>
      <c r="BX125" s="30"/>
      <c r="BY125" s="30"/>
    </row>
    <row r="126" spans="1:79" ht="38.25" customHeight="1" x14ac:dyDescent="0.2">
      <c r="A126" s="39">
        <v>1</v>
      </c>
      <c r="B126" s="39"/>
      <c r="C126" s="40" t="s">
        <v>130</v>
      </c>
      <c r="D126" s="41"/>
      <c r="E126" s="41"/>
      <c r="F126" s="41"/>
      <c r="G126" s="41"/>
      <c r="H126" s="41"/>
      <c r="I126" s="42"/>
      <c r="J126" s="39" t="s">
        <v>131</v>
      </c>
      <c r="K126" s="39"/>
      <c r="L126" s="39"/>
      <c r="M126" s="39"/>
      <c r="N126" s="39"/>
      <c r="O126" s="43" t="s">
        <v>137</v>
      </c>
      <c r="P126" s="44"/>
      <c r="Q126" s="44"/>
      <c r="R126" s="44"/>
      <c r="S126" s="44"/>
      <c r="T126" s="44"/>
      <c r="U126" s="44"/>
      <c r="V126" s="44"/>
      <c r="W126" s="44"/>
      <c r="X126" s="44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  <c r="AI126" s="45"/>
      <c r="AJ126" s="45"/>
      <c r="AK126" s="45"/>
      <c r="AL126" s="45"/>
      <c r="AM126" s="45"/>
      <c r="AN126" s="45"/>
      <c r="AO126" s="45"/>
      <c r="AP126" s="45"/>
      <c r="AQ126" s="45"/>
      <c r="AR126" s="45"/>
      <c r="AS126" s="45"/>
      <c r="AT126" s="45"/>
      <c r="AU126" s="45"/>
      <c r="AV126" s="45"/>
      <c r="AW126" s="45"/>
      <c r="AX126" s="45"/>
      <c r="AY126" s="45"/>
      <c r="AZ126" s="45"/>
      <c r="BA126" s="45"/>
      <c r="BB126" s="45"/>
      <c r="BC126" s="45"/>
      <c r="BD126" s="45"/>
      <c r="BE126" s="45"/>
      <c r="BF126" s="45"/>
      <c r="BG126" s="45"/>
      <c r="BH126" s="45"/>
      <c r="BI126" s="45"/>
      <c r="BJ126" s="45"/>
      <c r="BK126" s="45"/>
      <c r="BL126" s="45"/>
      <c r="BM126" s="45"/>
      <c r="BN126" s="45"/>
      <c r="BO126" s="45"/>
      <c r="BP126" s="45"/>
      <c r="BQ126" s="46"/>
      <c r="BR126" s="2"/>
      <c r="BS126" s="2"/>
      <c r="BT126" s="2"/>
      <c r="BU126" s="2"/>
      <c r="BV126" s="2"/>
      <c r="BW126" s="2"/>
      <c r="BX126" s="2"/>
      <c r="BY126" s="2"/>
    </row>
    <row r="127" spans="1:79" s="27" customFormat="1" ht="15.75" x14ac:dyDescent="0.2">
      <c r="A127" s="31">
        <v>0</v>
      </c>
      <c r="B127" s="31"/>
      <c r="C127" s="32" t="s">
        <v>133</v>
      </c>
      <c r="D127" s="33"/>
      <c r="E127" s="33"/>
      <c r="F127" s="33"/>
      <c r="G127" s="33"/>
      <c r="H127" s="33"/>
      <c r="I127" s="34"/>
      <c r="J127" s="31"/>
      <c r="K127" s="31"/>
      <c r="L127" s="31"/>
      <c r="M127" s="31"/>
      <c r="N127" s="31"/>
      <c r="O127" s="35"/>
      <c r="P127" s="36"/>
      <c r="Q127" s="36"/>
      <c r="R127" s="36"/>
      <c r="S127" s="36"/>
      <c r="T127" s="36"/>
      <c r="U127" s="36"/>
      <c r="V127" s="36"/>
      <c r="W127" s="36"/>
      <c r="X127" s="36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  <c r="BI127" s="37"/>
      <c r="BJ127" s="37"/>
      <c r="BK127" s="37"/>
      <c r="BL127" s="37"/>
      <c r="BM127" s="37"/>
      <c r="BN127" s="37"/>
      <c r="BO127" s="37"/>
      <c r="BP127" s="37"/>
      <c r="BQ127" s="38"/>
      <c r="BR127" s="30"/>
      <c r="BS127" s="30"/>
      <c r="BT127" s="30"/>
      <c r="BU127" s="30"/>
      <c r="BV127" s="30"/>
      <c r="BW127" s="30"/>
      <c r="BX127" s="30"/>
      <c r="BY127" s="30"/>
    </row>
    <row r="128" spans="1:79" ht="15.75" x14ac:dyDescent="0.2">
      <c r="A128" s="23"/>
      <c r="B128" s="23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10"/>
      <c r="BS128" s="10"/>
      <c r="BT128" s="10"/>
      <c r="BU128" s="10"/>
      <c r="BV128" s="10"/>
      <c r="BW128" s="10"/>
      <c r="BX128" s="10"/>
      <c r="BY128" s="10"/>
    </row>
    <row r="129" spans="1:77" ht="15.95" customHeight="1" x14ac:dyDescent="0.2">
      <c r="A129" s="56" t="s">
        <v>65</v>
      </c>
      <c r="B129" s="56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  <c r="BD129" s="56"/>
      <c r="BE129" s="56"/>
      <c r="BF129" s="56"/>
      <c r="BG129" s="56"/>
      <c r="BH129" s="56"/>
      <c r="BI129" s="56"/>
      <c r="BJ129" s="56"/>
      <c r="BK129" s="56"/>
      <c r="BL129" s="56"/>
    </row>
    <row r="130" spans="1:77" ht="15.95" customHeight="1" x14ac:dyDescent="0.2">
      <c r="A130" s="116" t="s">
        <v>139</v>
      </c>
      <c r="B130" s="117"/>
      <c r="C130" s="117"/>
      <c r="D130" s="117"/>
      <c r="E130" s="117"/>
      <c r="F130" s="117"/>
      <c r="G130" s="117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17"/>
      <c r="S130" s="117"/>
      <c r="T130" s="117"/>
      <c r="U130" s="117"/>
      <c r="V130" s="117"/>
      <c r="W130" s="117"/>
      <c r="X130" s="117"/>
      <c r="Y130" s="117"/>
      <c r="Z130" s="117"/>
      <c r="AA130" s="117"/>
      <c r="AB130" s="117"/>
      <c r="AC130" s="117"/>
      <c r="AD130" s="117"/>
      <c r="AE130" s="117"/>
      <c r="AF130" s="117"/>
      <c r="AG130" s="117"/>
      <c r="AH130" s="117"/>
      <c r="AI130" s="117"/>
      <c r="AJ130" s="117"/>
      <c r="AK130" s="117"/>
      <c r="AL130" s="117"/>
      <c r="AM130" s="117"/>
      <c r="AN130" s="117"/>
      <c r="AO130" s="117"/>
      <c r="AP130" s="117"/>
      <c r="AQ130" s="117"/>
      <c r="AR130" s="117"/>
      <c r="AS130" s="117"/>
      <c r="AT130" s="117"/>
      <c r="AU130" s="117"/>
      <c r="AV130" s="117"/>
      <c r="AW130" s="117"/>
      <c r="AX130" s="117"/>
      <c r="AY130" s="117"/>
      <c r="AZ130" s="117"/>
      <c r="BA130" s="117"/>
      <c r="BB130" s="117"/>
      <c r="BC130" s="117"/>
      <c r="BD130" s="117"/>
      <c r="BE130" s="117"/>
      <c r="BF130" s="117"/>
      <c r="BG130" s="117"/>
      <c r="BH130" s="117"/>
      <c r="BI130" s="117"/>
      <c r="BJ130" s="117"/>
      <c r="BK130" s="117"/>
      <c r="BL130" s="117"/>
    </row>
    <row r="131" spans="1:77" ht="15.75" x14ac:dyDescent="0.2">
      <c r="A131" s="23"/>
      <c r="B131" s="23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10"/>
      <c r="BS131" s="10"/>
      <c r="BT131" s="10"/>
      <c r="BU131" s="10"/>
      <c r="BV131" s="10"/>
      <c r="BW131" s="10"/>
      <c r="BX131" s="10"/>
      <c r="BY131" s="10"/>
    </row>
    <row r="132" spans="1:77" ht="15.95" customHeight="1" x14ac:dyDescent="0.2">
      <c r="A132" s="56" t="s">
        <v>46</v>
      </c>
      <c r="B132" s="56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  <c r="BD132" s="56"/>
      <c r="BE132" s="56"/>
      <c r="BF132" s="56"/>
      <c r="BG132" s="56"/>
      <c r="BH132" s="56"/>
      <c r="BI132" s="56"/>
      <c r="BJ132" s="56"/>
      <c r="BK132" s="56"/>
      <c r="BL132" s="56"/>
    </row>
    <row r="133" spans="1:77" ht="126" customHeight="1" x14ac:dyDescent="0.2">
      <c r="A133" s="116" t="s">
        <v>140</v>
      </c>
      <c r="B133" s="117"/>
      <c r="C133" s="117"/>
      <c r="D133" s="117"/>
      <c r="E133" s="117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7"/>
      <c r="R133" s="117"/>
      <c r="S133" s="117"/>
      <c r="T133" s="117"/>
      <c r="U133" s="117"/>
      <c r="V133" s="117"/>
      <c r="W133" s="117"/>
      <c r="X133" s="117"/>
      <c r="Y133" s="117"/>
      <c r="Z133" s="117"/>
      <c r="AA133" s="117"/>
      <c r="AB133" s="117"/>
      <c r="AC133" s="117"/>
      <c r="AD133" s="117"/>
      <c r="AE133" s="117"/>
      <c r="AF133" s="117"/>
      <c r="AG133" s="117"/>
      <c r="AH133" s="117"/>
      <c r="AI133" s="117"/>
      <c r="AJ133" s="117"/>
      <c r="AK133" s="117"/>
      <c r="AL133" s="117"/>
      <c r="AM133" s="117"/>
      <c r="AN133" s="117"/>
      <c r="AO133" s="117"/>
      <c r="AP133" s="117"/>
      <c r="AQ133" s="117"/>
      <c r="AR133" s="117"/>
      <c r="AS133" s="117"/>
      <c r="AT133" s="117"/>
      <c r="AU133" s="117"/>
      <c r="AV133" s="117"/>
      <c r="AW133" s="117"/>
      <c r="AX133" s="117"/>
      <c r="AY133" s="117"/>
      <c r="AZ133" s="117"/>
      <c r="BA133" s="117"/>
      <c r="BB133" s="117"/>
      <c r="BC133" s="117"/>
      <c r="BD133" s="117"/>
      <c r="BE133" s="117"/>
      <c r="BF133" s="117"/>
      <c r="BG133" s="117"/>
      <c r="BH133" s="117"/>
      <c r="BI133" s="117"/>
      <c r="BJ133" s="117"/>
      <c r="BK133" s="117"/>
      <c r="BL133" s="117"/>
    </row>
    <row r="134" spans="1:77" ht="15.95" customHeight="1" x14ac:dyDescent="0.25">
      <c r="A134" s="22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</row>
    <row r="135" spans="1:77" ht="42" customHeight="1" x14ac:dyDescent="0.25">
      <c r="A135" s="116" t="s">
        <v>143</v>
      </c>
      <c r="B135" s="117"/>
      <c r="C135" s="117"/>
      <c r="D135" s="117"/>
      <c r="E135" s="117"/>
      <c r="F135" s="117"/>
      <c r="G135" s="117"/>
      <c r="H135" s="117"/>
      <c r="I135" s="117"/>
      <c r="J135" s="117"/>
      <c r="K135" s="117"/>
      <c r="L135" s="117"/>
      <c r="M135" s="117"/>
      <c r="N135" s="117"/>
      <c r="O135" s="117"/>
      <c r="P135" s="117"/>
      <c r="Q135" s="117"/>
      <c r="R135" s="117"/>
      <c r="S135" s="117"/>
      <c r="T135" s="117"/>
      <c r="U135" s="117"/>
      <c r="V135" s="117"/>
      <c r="W135" s="91"/>
      <c r="X135" s="91"/>
      <c r="Y135" s="91"/>
      <c r="Z135" s="91"/>
      <c r="AA135" s="91"/>
      <c r="AB135" s="91"/>
      <c r="AC135" s="91"/>
      <c r="AD135" s="91"/>
      <c r="AE135" s="91"/>
      <c r="AF135" s="91"/>
      <c r="AG135" s="91"/>
      <c r="AH135" s="91"/>
      <c r="AI135" s="91"/>
      <c r="AJ135" s="91"/>
      <c r="AK135" s="91"/>
      <c r="AL135" s="91"/>
      <c r="AM135" s="91"/>
      <c r="AN135" s="3"/>
      <c r="AO135" s="3"/>
      <c r="AP135" s="95" t="s">
        <v>145</v>
      </c>
      <c r="AQ135" s="96"/>
      <c r="AR135" s="96"/>
      <c r="AS135" s="96"/>
      <c r="AT135" s="96"/>
      <c r="AU135" s="96"/>
      <c r="AV135" s="96"/>
      <c r="AW135" s="96"/>
      <c r="AX135" s="96"/>
      <c r="AY135" s="96"/>
      <c r="AZ135" s="96"/>
      <c r="BA135" s="96"/>
      <c r="BB135" s="96"/>
      <c r="BC135" s="96"/>
      <c r="BD135" s="96"/>
      <c r="BE135" s="96"/>
      <c r="BF135" s="96"/>
      <c r="BG135" s="96"/>
      <c r="BH135" s="96"/>
    </row>
    <row r="136" spans="1:77" x14ac:dyDescent="0.2">
      <c r="W136" s="90" t="s">
        <v>8</v>
      </c>
      <c r="X136" s="90"/>
      <c r="Y136" s="90"/>
      <c r="Z136" s="90"/>
      <c r="AA136" s="90"/>
      <c r="AB136" s="90"/>
      <c r="AC136" s="90"/>
      <c r="AD136" s="90"/>
      <c r="AE136" s="90"/>
      <c r="AF136" s="90"/>
      <c r="AG136" s="90"/>
      <c r="AH136" s="90"/>
      <c r="AI136" s="90"/>
      <c r="AJ136" s="90"/>
      <c r="AK136" s="90"/>
      <c r="AL136" s="90"/>
      <c r="AM136" s="90"/>
      <c r="AN136" s="4"/>
      <c r="AO136" s="4"/>
      <c r="AP136" s="90" t="s">
        <v>71</v>
      </c>
      <c r="AQ136" s="90"/>
      <c r="AR136" s="90"/>
      <c r="AS136" s="90"/>
      <c r="AT136" s="90"/>
      <c r="AU136" s="90"/>
      <c r="AV136" s="90"/>
      <c r="AW136" s="90"/>
      <c r="AX136" s="90"/>
      <c r="AY136" s="90"/>
      <c r="AZ136" s="90"/>
      <c r="BA136" s="90"/>
      <c r="BB136" s="90"/>
      <c r="BC136" s="90"/>
      <c r="BD136" s="90"/>
      <c r="BE136" s="90"/>
      <c r="BF136" s="90"/>
      <c r="BG136" s="90"/>
      <c r="BH136" s="90"/>
    </row>
    <row r="139" spans="1:77" ht="31.5" customHeight="1" x14ac:dyDescent="0.25">
      <c r="A139" s="116" t="s">
        <v>144</v>
      </c>
      <c r="B139" s="117"/>
      <c r="C139" s="117"/>
      <c r="D139" s="117"/>
      <c r="E139" s="117"/>
      <c r="F139" s="117"/>
      <c r="G139" s="117"/>
      <c r="H139" s="117"/>
      <c r="I139" s="117"/>
      <c r="J139" s="117"/>
      <c r="K139" s="117"/>
      <c r="L139" s="117"/>
      <c r="M139" s="117"/>
      <c r="N139" s="117"/>
      <c r="O139" s="117"/>
      <c r="P139" s="117"/>
      <c r="Q139" s="117"/>
      <c r="R139" s="117"/>
      <c r="S139" s="117"/>
      <c r="T139" s="117"/>
      <c r="U139" s="117"/>
      <c r="V139" s="117"/>
      <c r="W139" s="91"/>
      <c r="X139" s="91"/>
      <c r="Y139" s="91"/>
      <c r="Z139" s="91"/>
      <c r="AA139" s="91"/>
      <c r="AB139" s="91"/>
      <c r="AC139" s="91"/>
      <c r="AD139" s="91"/>
      <c r="AE139" s="91"/>
      <c r="AF139" s="91"/>
      <c r="AG139" s="91"/>
      <c r="AH139" s="91"/>
      <c r="AI139" s="91"/>
      <c r="AJ139" s="91"/>
      <c r="AK139" s="91"/>
      <c r="AL139" s="91"/>
      <c r="AM139" s="91"/>
      <c r="AN139" s="3"/>
      <c r="AO139" s="3"/>
      <c r="AP139" s="95" t="s">
        <v>146</v>
      </c>
      <c r="AQ139" s="96"/>
      <c r="AR139" s="96"/>
      <c r="AS139" s="96"/>
      <c r="AT139" s="96"/>
      <c r="AU139" s="96"/>
      <c r="AV139" s="96"/>
      <c r="AW139" s="96"/>
      <c r="AX139" s="96"/>
      <c r="AY139" s="96"/>
      <c r="AZ139" s="96"/>
      <c r="BA139" s="96"/>
      <c r="BB139" s="96"/>
      <c r="BC139" s="96"/>
      <c r="BD139" s="96"/>
      <c r="BE139" s="96"/>
      <c r="BF139" s="96"/>
      <c r="BG139" s="96"/>
      <c r="BH139" s="96"/>
    </row>
    <row r="140" spans="1:77" x14ac:dyDescent="0.2">
      <c r="W140" s="90" t="s">
        <v>8</v>
      </c>
      <c r="X140" s="90"/>
      <c r="Y140" s="90"/>
      <c r="Z140" s="90"/>
      <c r="AA140" s="90"/>
      <c r="AB140" s="90"/>
      <c r="AC140" s="90"/>
      <c r="AD140" s="90"/>
      <c r="AE140" s="90"/>
      <c r="AF140" s="90"/>
      <c r="AG140" s="90"/>
      <c r="AH140" s="90"/>
      <c r="AI140" s="90"/>
      <c r="AJ140" s="90"/>
      <c r="AK140" s="90"/>
      <c r="AL140" s="90"/>
      <c r="AM140" s="90"/>
      <c r="AN140" s="4"/>
      <c r="AO140" s="4"/>
      <c r="AP140" s="90" t="s">
        <v>71</v>
      </c>
      <c r="AQ140" s="90"/>
      <c r="AR140" s="90"/>
      <c r="AS140" s="90"/>
      <c r="AT140" s="90"/>
      <c r="AU140" s="90"/>
      <c r="AV140" s="90"/>
      <c r="AW140" s="90"/>
      <c r="AX140" s="90"/>
      <c r="AY140" s="90"/>
      <c r="AZ140" s="90"/>
      <c r="BA140" s="90"/>
      <c r="BB140" s="90"/>
      <c r="BC140" s="90"/>
      <c r="BD140" s="90"/>
      <c r="BE140" s="90"/>
      <c r="BF140" s="90"/>
      <c r="BG140" s="90"/>
      <c r="BH140" s="90"/>
    </row>
  </sheetData>
  <mergeCells count="668">
    <mergeCell ref="A96:B96"/>
    <mergeCell ref="A97:B97"/>
    <mergeCell ref="A98:B98"/>
    <mergeCell ref="C98:R98"/>
    <mergeCell ref="S98:W98"/>
    <mergeCell ref="BI97:BN97"/>
    <mergeCell ref="BD98:BH98"/>
    <mergeCell ref="BD96:BH96"/>
    <mergeCell ref="BI96:BN96"/>
    <mergeCell ref="BI98:BN98"/>
    <mergeCell ref="BD97:BH97"/>
    <mergeCell ref="X98:AB98"/>
    <mergeCell ref="AC98:AH98"/>
    <mergeCell ref="C97:R97"/>
    <mergeCell ref="S97:W97"/>
    <mergeCell ref="X97:AB97"/>
    <mergeCell ref="AC97:AH97"/>
    <mergeCell ref="AI98:AM98"/>
    <mergeCell ref="AN98:AR98"/>
    <mergeCell ref="AS98:AX98"/>
    <mergeCell ref="AY98:BC98"/>
    <mergeCell ref="AI96:AM96"/>
    <mergeCell ref="AY97:BC97"/>
    <mergeCell ref="AY95:BC95"/>
    <mergeCell ref="BD95:BH95"/>
    <mergeCell ref="AI97:AM97"/>
    <mergeCell ref="AN97:AR97"/>
    <mergeCell ref="AS97:AX97"/>
    <mergeCell ref="AN96:AR96"/>
    <mergeCell ref="AS96:AX96"/>
    <mergeCell ref="AY96:BC96"/>
    <mergeCell ref="C94:R95"/>
    <mergeCell ref="S94:AH94"/>
    <mergeCell ref="AI94:AX94"/>
    <mergeCell ref="AS95:AX95"/>
    <mergeCell ref="A38:BQ38"/>
    <mergeCell ref="C39:Z40"/>
    <mergeCell ref="BI40:BM40"/>
    <mergeCell ref="BD40:BH40"/>
    <mergeCell ref="AZ40:BC40"/>
    <mergeCell ref="BD43:BH43"/>
    <mergeCell ref="AZ41:BC41"/>
    <mergeCell ref="BD41:BH41"/>
    <mergeCell ref="AP41:AT41"/>
    <mergeCell ref="BD42:BH42"/>
    <mergeCell ref="AK40:AO40"/>
    <mergeCell ref="A42:B42"/>
    <mergeCell ref="AF40:AJ40"/>
    <mergeCell ref="A70:BQ70"/>
    <mergeCell ref="AY94:BN94"/>
    <mergeCell ref="BI95:BN95"/>
    <mergeCell ref="A94:B95"/>
    <mergeCell ref="BN43:BQ43"/>
    <mergeCell ref="G33:BL33"/>
    <mergeCell ref="A25:F25"/>
    <mergeCell ref="AA39:AO39"/>
    <mergeCell ref="AP39:BC39"/>
    <mergeCell ref="BN42:BQ42"/>
    <mergeCell ref="BI42:BM42"/>
    <mergeCell ref="AP42:AT42"/>
    <mergeCell ref="C42:Z42"/>
    <mergeCell ref="AK42:AO42"/>
    <mergeCell ref="AF42:AJ42"/>
    <mergeCell ref="A26:F26"/>
    <mergeCell ref="G26:BL26"/>
    <mergeCell ref="A34:F34"/>
    <mergeCell ref="G34:BL34"/>
    <mergeCell ref="BN40:BQ40"/>
    <mergeCell ref="A39:B40"/>
    <mergeCell ref="A33:F33"/>
    <mergeCell ref="AP140:BH140"/>
    <mergeCell ref="A139:V139"/>
    <mergeCell ref="W139:AM139"/>
    <mergeCell ref="AP139:BH139"/>
    <mergeCell ref="W140:AM140"/>
    <mergeCell ref="AP136:BH136"/>
    <mergeCell ref="A133:BL133"/>
    <mergeCell ref="A75:B75"/>
    <mergeCell ref="A73:B73"/>
    <mergeCell ref="A74:B74"/>
    <mergeCell ref="A93:BN93"/>
    <mergeCell ref="A92:BN92"/>
    <mergeCell ref="C75:BQ75"/>
    <mergeCell ref="C73:BQ73"/>
    <mergeCell ref="C74:BQ74"/>
    <mergeCell ref="A76:B76"/>
    <mergeCell ref="C76:BQ76"/>
    <mergeCell ref="A101:BQ101"/>
    <mergeCell ref="C106:I106"/>
    <mergeCell ref="J121:N121"/>
    <mergeCell ref="A120:B120"/>
    <mergeCell ref="A107:B107"/>
    <mergeCell ref="O108:X108"/>
    <mergeCell ref="Y108:AC108"/>
    <mergeCell ref="W136:AM136"/>
    <mergeCell ref="A135:V135"/>
    <mergeCell ref="W135:AM135"/>
    <mergeCell ref="A108:B108"/>
    <mergeCell ref="AD108:AH108"/>
    <mergeCell ref="A117:BQ117"/>
    <mergeCell ref="A119:B119"/>
    <mergeCell ref="C119:I119"/>
    <mergeCell ref="BC108:BG108"/>
    <mergeCell ref="J108:N108"/>
    <mergeCell ref="O121:BQ121"/>
    <mergeCell ref="C120:I120"/>
    <mergeCell ref="J120:N120"/>
    <mergeCell ref="AP135:BH135"/>
    <mergeCell ref="C108:I108"/>
    <mergeCell ref="A132:BL132"/>
    <mergeCell ref="BM108:BQ108"/>
    <mergeCell ref="BH108:BL108"/>
    <mergeCell ref="A43:B43"/>
    <mergeCell ref="A72:B72"/>
    <mergeCell ref="AF43:AJ43"/>
    <mergeCell ref="AZ43:BC43"/>
    <mergeCell ref="AU43:AY43"/>
    <mergeCell ref="AA43:AE43"/>
    <mergeCell ref="C43:Z43"/>
    <mergeCell ref="AK43:AO43"/>
    <mergeCell ref="Y107:AC107"/>
    <mergeCell ref="C107:I107"/>
    <mergeCell ref="C104:I105"/>
    <mergeCell ref="J104:N105"/>
    <mergeCell ref="O104:X105"/>
    <mergeCell ref="Y105:AC105"/>
    <mergeCell ref="AN106:AR106"/>
    <mergeCell ref="AN104:BB104"/>
    <mergeCell ref="J107:N107"/>
    <mergeCell ref="O107:X107"/>
    <mergeCell ref="C96:R96"/>
    <mergeCell ref="S96:W96"/>
    <mergeCell ref="X96:AB96"/>
    <mergeCell ref="AC96:AH96"/>
    <mergeCell ref="BC106:BG106"/>
    <mergeCell ref="BC107:BG107"/>
    <mergeCell ref="BC105:BG105"/>
    <mergeCell ref="A102:BQ102"/>
    <mergeCell ref="AD107:AH107"/>
    <mergeCell ref="AI106:AM106"/>
    <mergeCell ref="BH106:BL106"/>
    <mergeCell ref="BM106:BQ106"/>
    <mergeCell ref="BM107:BQ107"/>
    <mergeCell ref="BH107:BL107"/>
    <mergeCell ref="A106:B106"/>
    <mergeCell ref="O106:X106"/>
    <mergeCell ref="Y104:AM104"/>
    <mergeCell ref="J106:N106"/>
    <mergeCell ref="Y106:AC106"/>
    <mergeCell ref="A104:B105"/>
    <mergeCell ref="AD106:AH106"/>
    <mergeCell ref="AO2:BL6"/>
    <mergeCell ref="A7:BL7"/>
    <mergeCell ref="A8:BL8"/>
    <mergeCell ref="A9:BL9"/>
    <mergeCell ref="AA41:AE41"/>
    <mergeCell ref="AF41:AJ41"/>
    <mergeCell ref="AK41:AO41"/>
    <mergeCell ref="A10:BL10"/>
    <mergeCell ref="A11:BL11"/>
    <mergeCell ref="A12:BL12"/>
    <mergeCell ref="A23:BL23"/>
    <mergeCell ref="A24:F24"/>
    <mergeCell ref="G24:BL24"/>
    <mergeCell ref="AP43:AT43"/>
    <mergeCell ref="A41:B41"/>
    <mergeCell ref="A28:BL28"/>
    <mergeCell ref="A29:BL29"/>
    <mergeCell ref="A31:BL31"/>
    <mergeCell ref="AA42:AE42"/>
    <mergeCell ref="C41:Z41"/>
    <mergeCell ref="AS105:AW105"/>
    <mergeCell ref="AN105:AR105"/>
    <mergeCell ref="AI105:AM105"/>
    <mergeCell ref="BC104:BQ104"/>
    <mergeCell ref="BN41:BQ41"/>
    <mergeCell ref="BM105:BQ105"/>
    <mergeCell ref="BH105:BL105"/>
    <mergeCell ref="AD105:AH105"/>
    <mergeCell ref="BI43:BM43"/>
    <mergeCell ref="AZ42:BC42"/>
    <mergeCell ref="AU42:AY42"/>
    <mergeCell ref="S95:W95"/>
    <mergeCell ref="X95:AB95"/>
    <mergeCell ref="AC95:AH95"/>
    <mergeCell ref="AI95:AM95"/>
    <mergeCell ref="AN95:AR95"/>
    <mergeCell ref="C72:BQ72"/>
    <mergeCell ref="AU40:AY40"/>
    <mergeCell ref="AK21:BC21"/>
    <mergeCell ref="AU41:AY41"/>
    <mergeCell ref="G25:BL25"/>
    <mergeCell ref="A37:BQ37"/>
    <mergeCell ref="AP40:AT40"/>
    <mergeCell ref="AA40:AE40"/>
    <mergeCell ref="BI41:BM41"/>
    <mergeCell ref="B14:L14"/>
    <mergeCell ref="N14:AS14"/>
    <mergeCell ref="AU14:BB14"/>
    <mergeCell ref="B18:L18"/>
    <mergeCell ref="N18:AS18"/>
    <mergeCell ref="BD39:BQ39"/>
    <mergeCell ref="AU15:BB15"/>
    <mergeCell ref="B17:L17"/>
    <mergeCell ref="N17:AS17"/>
    <mergeCell ref="AU17:BB17"/>
    <mergeCell ref="B15:L15"/>
    <mergeCell ref="N15:AS15"/>
    <mergeCell ref="AU18:BB18"/>
    <mergeCell ref="BE20:BL20"/>
    <mergeCell ref="A32:F32"/>
    <mergeCell ref="G32:BL32"/>
    <mergeCell ref="BE21:BL21"/>
    <mergeCell ref="B20:L20"/>
    <mergeCell ref="N20:Y20"/>
    <mergeCell ref="AA20:AI20"/>
    <mergeCell ref="AK20:BC20"/>
    <mergeCell ref="B21:L21"/>
    <mergeCell ref="N21:Y21"/>
    <mergeCell ref="AA21:AI21"/>
    <mergeCell ref="A36:BQ36"/>
    <mergeCell ref="AX105:BB105"/>
    <mergeCell ref="AX106:BB106"/>
    <mergeCell ref="AS106:AW106"/>
    <mergeCell ref="AI107:AM107"/>
    <mergeCell ref="AN107:AR107"/>
    <mergeCell ref="AS107:AW107"/>
    <mergeCell ref="AI108:AM108"/>
    <mergeCell ref="AN108:AR108"/>
    <mergeCell ref="AS108:AW108"/>
    <mergeCell ref="AX108:BB108"/>
    <mergeCell ref="AX107:BB107"/>
    <mergeCell ref="A129:BL129"/>
    <mergeCell ref="A130:BL130"/>
    <mergeCell ref="O119:BQ119"/>
    <mergeCell ref="O120:BQ120"/>
    <mergeCell ref="O122:BQ122"/>
    <mergeCell ref="A122:B122"/>
    <mergeCell ref="C122:I122"/>
    <mergeCell ref="J122:N122"/>
    <mergeCell ref="A121:B121"/>
    <mergeCell ref="A123:B123"/>
    <mergeCell ref="J119:N119"/>
    <mergeCell ref="C121:I121"/>
    <mergeCell ref="A45:B45"/>
    <mergeCell ref="C45:Z45"/>
    <mergeCell ref="AA45:AE45"/>
    <mergeCell ref="AF45:AJ45"/>
    <mergeCell ref="AK45:AO45"/>
    <mergeCell ref="A44:B44"/>
    <mergeCell ref="C44:Z44"/>
    <mergeCell ref="AA44:AE44"/>
    <mergeCell ref="AF44:AJ44"/>
    <mergeCell ref="AK44:AO44"/>
    <mergeCell ref="AP45:AT45"/>
    <mergeCell ref="AU45:AY45"/>
    <mergeCell ref="AZ45:BC45"/>
    <mergeCell ref="BD45:BH45"/>
    <mergeCell ref="BI45:BM45"/>
    <mergeCell ref="BN45:BQ45"/>
    <mergeCell ref="AU44:AY44"/>
    <mergeCell ref="AZ44:BC44"/>
    <mergeCell ref="BD44:BH44"/>
    <mergeCell ref="BI44:BM44"/>
    <mergeCell ref="BN44:BQ44"/>
    <mergeCell ref="AP44:AT44"/>
    <mergeCell ref="A47:B47"/>
    <mergeCell ref="C47:Z47"/>
    <mergeCell ref="AA47:AE47"/>
    <mergeCell ref="AF47:AJ47"/>
    <mergeCell ref="AK47:AO47"/>
    <mergeCell ref="A46:B46"/>
    <mergeCell ref="C46:Z46"/>
    <mergeCell ref="AA46:AE46"/>
    <mergeCell ref="AF46:AJ46"/>
    <mergeCell ref="AK46:AO46"/>
    <mergeCell ref="AP47:AT47"/>
    <mergeCell ref="AU47:AY47"/>
    <mergeCell ref="AZ47:BC47"/>
    <mergeCell ref="BD47:BH47"/>
    <mergeCell ref="BI47:BM47"/>
    <mergeCell ref="BN47:BQ47"/>
    <mergeCell ref="AU46:AY46"/>
    <mergeCell ref="AZ46:BC46"/>
    <mergeCell ref="BD46:BH46"/>
    <mergeCell ref="BI46:BM46"/>
    <mergeCell ref="BN46:BQ46"/>
    <mergeCell ref="AP46:AT46"/>
    <mergeCell ref="A49:B49"/>
    <mergeCell ref="C49:Z49"/>
    <mergeCell ref="AA49:AE49"/>
    <mergeCell ref="AF49:AJ49"/>
    <mergeCell ref="AK49:AO49"/>
    <mergeCell ref="A48:B48"/>
    <mergeCell ref="C48:Z48"/>
    <mergeCell ref="AA48:AE48"/>
    <mergeCell ref="AF48:AJ48"/>
    <mergeCell ref="AK48:AO48"/>
    <mergeCell ref="AP49:AT49"/>
    <mergeCell ref="AU49:AY49"/>
    <mergeCell ref="AZ49:BC49"/>
    <mergeCell ref="BD49:BH49"/>
    <mergeCell ref="BI49:BM49"/>
    <mergeCell ref="BN49:BQ49"/>
    <mergeCell ref="AU48:AY48"/>
    <mergeCell ref="AZ48:BC48"/>
    <mergeCell ref="BD48:BH48"/>
    <mergeCell ref="BI48:BM48"/>
    <mergeCell ref="BN48:BQ48"/>
    <mergeCell ref="AP48:AT48"/>
    <mergeCell ref="A51:B51"/>
    <mergeCell ref="C51:Z51"/>
    <mergeCell ref="AA51:AE51"/>
    <mergeCell ref="AF51:AJ51"/>
    <mergeCell ref="AK51:AO51"/>
    <mergeCell ref="A50:B50"/>
    <mergeCell ref="C50:Z50"/>
    <mergeCell ref="AA50:AE50"/>
    <mergeCell ref="AF50:AJ50"/>
    <mergeCell ref="AK50:AO50"/>
    <mergeCell ref="AP51:AT51"/>
    <mergeCell ref="AU51:AY51"/>
    <mergeCell ref="AZ51:BC51"/>
    <mergeCell ref="BD51:BH51"/>
    <mergeCell ref="BI51:BM51"/>
    <mergeCell ref="BN51:BQ51"/>
    <mergeCell ref="AU50:AY50"/>
    <mergeCell ref="AZ50:BC50"/>
    <mergeCell ref="BD50:BH50"/>
    <mergeCell ref="BI50:BM50"/>
    <mergeCell ref="BN50:BQ50"/>
    <mergeCell ref="AP50:AT50"/>
    <mergeCell ref="A53:B53"/>
    <mergeCell ref="C53:Z53"/>
    <mergeCell ref="AA53:AE53"/>
    <mergeCell ref="AF53:AJ53"/>
    <mergeCell ref="AK53:AO53"/>
    <mergeCell ref="A52:B52"/>
    <mergeCell ref="C52:Z52"/>
    <mergeCell ref="AA52:AE52"/>
    <mergeCell ref="AF52:AJ52"/>
    <mergeCell ref="AK52:AO52"/>
    <mergeCell ref="AP53:AT53"/>
    <mergeCell ref="AU53:AY53"/>
    <mergeCell ref="AZ53:BC53"/>
    <mergeCell ref="BD53:BH53"/>
    <mergeCell ref="BI53:BM53"/>
    <mergeCell ref="BN53:BQ53"/>
    <mergeCell ref="AU52:AY52"/>
    <mergeCell ref="AZ52:BC52"/>
    <mergeCell ref="BD52:BH52"/>
    <mergeCell ref="BI52:BM52"/>
    <mergeCell ref="BN52:BQ52"/>
    <mergeCell ref="AP52:AT52"/>
    <mergeCell ref="A55:B55"/>
    <mergeCell ref="C55:Z55"/>
    <mergeCell ref="AA55:AE55"/>
    <mergeCell ref="AF55:AJ55"/>
    <mergeCell ref="AK55:AO55"/>
    <mergeCell ref="A54:B54"/>
    <mergeCell ref="C54:Z54"/>
    <mergeCell ref="AA54:AE54"/>
    <mergeCell ref="AF54:AJ54"/>
    <mergeCell ref="AK54:AO54"/>
    <mergeCell ref="AP55:AT55"/>
    <mergeCell ref="AU55:AY55"/>
    <mergeCell ref="AZ55:BC55"/>
    <mergeCell ref="BD55:BH55"/>
    <mergeCell ref="BI55:BM55"/>
    <mergeCell ref="BN55:BQ55"/>
    <mergeCell ref="AU54:AY54"/>
    <mergeCell ref="AZ54:BC54"/>
    <mergeCell ref="BD54:BH54"/>
    <mergeCell ref="BI54:BM54"/>
    <mergeCell ref="BN54:BQ54"/>
    <mergeCell ref="AP54:AT54"/>
    <mergeCell ref="A57:B57"/>
    <mergeCell ref="C57:Z57"/>
    <mergeCell ref="AA57:AE57"/>
    <mergeCell ref="AF57:AJ57"/>
    <mergeCell ref="AK57:AO57"/>
    <mergeCell ref="A56:B56"/>
    <mergeCell ref="C56:Z56"/>
    <mergeCell ref="AA56:AE56"/>
    <mergeCell ref="AF56:AJ56"/>
    <mergeCell ref="AK56:AO56"/>
    <mergeCell ref="AP57:AT57"/>
    <mergeCell ref="AU57:AY57"/>
    <mergeCell ref="AZ57:BC57"/>
    <mergeCell ref="BD57:BH57"/>
    <mergeCell ref="BI57:BM57"/>
    <mergeCell ref="BN57:BQ57"/>
    <mergeCell ref="AU56:AY56"/>
    <mergeCell ref="AZ56:BC56"/>
    <mergeCell ref="BD56:BH56"/>
    <mergeCell ref="BI56:BM56"/>
    <mergeCell ref="BN56:BQ56"/>
    <mergeCell ref="AP56:AT56"/>
    <mergeCell ref="A59:B59"/>
    <mergeCell ref="C59:Z59"/>
    <mergeCell ref="AA59:AE59"/>
    <mergeCell ref="AF59:AJ59"/>
    <mergeCell ref="AK59:AO59"/>
    <mergeCell ref="A58:B58"/>
    <mergeCell ref="C58:Z58"/>
    <mergeCell ref="AA58:AE58"/>
    <mergeCell ref="AF58:AJ58"/>
    <mergeCell ref="AK58:AO58"/>
    <mergeCell ref="AP59:AT59"/>
    <mergeCell ref="AU59:AY59"/>
    <mergeCell ref="AZ59:BC59"/>
    <mergeCell ref="BD59:BH59"/>
    <mergeCell ref="BI59:BM59"/>
    <mergeCell ref="BN59:BQ59"/>
    <mergeCell ref="AU58:AY58"/>
    <mergeCell ref="AZ58:BC58"/>
    <mergeCell ref="BD58:BH58"/>
    <mergeCell ref="BI58:BM58"/>
    <mergeCell ref="BN58:BQ58"/>
    <mergeCell ref="AP58:AT58"/>
    <mergeCell ref="A61:B61"/>
    <mergeCell ref="C61:Z61"/>
    <mergeCell ref="AA61:AE61"/>
    <mergeCell ref="AF61:AJ61"/>
    <mergeCell ref="AK61:AO61"/>
    <mergeCell ref="A60:B60"/>
    <mergeCell ref="C60:Z60"/>
    <mergeCell ref="AA60:AE60"/>
    <mergeCell ref="AF60:AJ60"/>
    <mergeCell ref="AK60:AO60"/>
    <mergeCell ref="AP61:AT61"/>
    <mergeCell ref="AU61:AY61"/>
    <mergeCell ref="AZ61:BC61"/>
    <mergeCell ref="BD61:BH61"/>
    <mergeCell ref="BI61:BM61"/>
    <mergeCell ref="BN61:BQ61"/>
    <mergeCell ref="AU60:AY60"/>
    <mergeCell ref="AZ60:BC60"/>
    <mergeCell ref="BD60:BH60"/>
    <mergeCell ref="BI60:BM60"/>
    <mergeCell ref="BN60:BQ60"/>
    <mergeCell ref="AP60:AT60"/>
    <mergeCell ref="A63:B63"/>
    <mergeCell ref="C63:Z63"/>
    <mergeCell ref="AA63:AE63"/>
    <mergeCell ref="AF63:AJ63"/>
    <mergeCell ref="AK63:AO63"/>
    <mergeCell ref="A62:B62"/>
    <mergeCell ref="C62:Z62"/>
    <mergeCell ref="AA62:AE62"/>
    <mergeCell ref="AF62:AJ62"/>
    <mergeCell ref="AK62:AO62"/>
    <mergeCell ref="AP63:AT63"/>
    <mergeCell ref="AU63:AY63"/>
    <mergeCell ref="AZ63:BC63"/>
    <mergeCell ref="BD63:BH63"/>
    <mergeCell ref="BI63:BM63"/>
    <mergeCell ref="BN63:BQ63"/>
    <mergeCell ref="AU62:AY62"/>
    <mergeCell ref="AZ62:BC62"/>
    <mergeCell ref="BD62:BH62"/>
    <mergeCell ref="BI62:BM62"/>
    <mergeCell ref="BN62:BQ62"/>
    <mergeCell ref="AP62:AT62"/>
    <mergeCell ref="A65:B65"/>
    <mergeCell ref="C65:Z65"/>
    <mergeCell ref="AA65:AE65"/>
    <mergeCell ref="AF65:AJ65"/>
    <mergeCell ref="AK65:AO65"/>
    <mergeCell ref="A64:B64"/>
    <mergeCell ref="C64:Z64"/>
    <mergeCell ref="AA64:AE64"/>
    <mergeCell ref="AF64:AJ64"/>
    <mergeCell ref="AK64:AO64"/>
    <mergeCell ref="AP65:AT65"/>
    <mergeCell ref="AU65:AY65"/>
    <mergeCell ref="AZ65:BC65"/>
    <mergeCell ref="BD65:BH65"/>
    <mergeCell ref="BI65:BM65"/>
    <mergeCell ref="BN65:BQ65"/>
    <mergeCell ref="AU64:AY64"/>
    <mergeCell ref="AZ64:BC64"/>
    <mergeCell ref="BD64:BH64"/>
    <mergeCell ref="BI64:BM64"/>
    <mergeCell ref="BN64:BQ64"/>
    <mergeCell ref="AP64:AT64"/>
    <mergeCell ref="A67:B67"/>
    <mergeCell ref="C67:Z67"/>
    <mergeCell ref="AA67:AE67"/>
    <mergeCell ref="AF67:AJ67"/>
    <mergeCell ref="AK67:AO67"/>
    <mergeCell ref="A66:B66"/>
    <mergeCell ref="C66:Z66"/>
    <mergeCell ref="AA66:AE66"/>
    <mergeCell ref="AF66:AJ66"/>
    <mergeCell ref="AK66:AO66"/>
    <mergeCell ref="AP67:AT67"/>
    <mergeCell ref="AU67:AY67"/>
    <mergeCell ref="AZ67:BC67"/>
    <mergeCell ref="BD67:BH67"/>
    <mergeCell ref="BI67:BM67"/>
    <mergeCell ref="BN67:BQ67"/>
    <mergeCell ref="AU66:AY66"/>
    <mergeCell ref="AZ66:BC66"/>
    <mergeCell ref="BD66:BH66"/>
    <mergeCell ref="BI66:BM66"/>
    <mergeCell ref="BN66:BQ66"/>
    <mergeCell ref="AP66:AT66"/>
    <mergeCell ref="A77:B77"/>
    <mergeCell ref="C77:BQ77"/>
    <mergeCell ref="A78:B78"/>
    <mergeCell ref="C78:BQ78"/>
    <mergeCell ref="A79:B79"/>
    <mergeCell ref="C79:BQ79"/>
    <mergeCell ref="AU68:AY68"/>
    <mergeCell ref="AZ68:BC68"/>
    <mergeCell ref="BD68:BH68"/>
    <mergeCell ref="BI68:BM68"/>
    <mergeCell ref="BN68:BQ68"/>
    <mergeCell ref="A68:B68"/>
    <mergeCell ref="C68:Z68"/>
    <mergeCell ref="AA68:AE68"/>
    <mergeCell ref="AF68:AJ68"/>
    <mergeCell ref="AK68:AO68"/>
    <mergeCell ref="AP68:AT68"/>
    <mergeCell ref="A83:B83"/>
    <mergeCell ref="C83:BQ83"/>
    <mergeCell ref="A84:B84"/>
    <mergeCell ref="C84:BQ84"/>
    <mergeCell ref="A85:B85"/>
    <mergeCell ref="C85:BQ85"/>
    <mergeCell ref="A80:B80"/>
    <mergeCell ref="C80:BQ80"/>
    <mergeCell ref="A81:B81"/>
    <mergeCell ref="C81:BQ81"/>
    <mergeCell ref="A82:B82"/>
    <mergeCell ref="C82:BQ82"/>
    <mergeCell ref="A89:B89"/>
    <mergeCell ref="C89:BQ89"/>
    <mergeCell ref="A90:B90"/>
    <mergeCell ref="C90:BQ90"/>
    <mergeCell ref="A86:B86"/>
    <mergeCell ref="C86:BQ86"/>
    <mergeCell ref="A87:B87"/>
    <mergeCell ref="C87:BQ87"/>
    <mergeCell ref="A88:B88"/>
    <mergeCell ref="C88:BQ88"/>
    <mergeCell ref="AN99:AR99"/>
    <mergeCell ref="AS99:AX99"/>
    <mergeCell ref="AY99:BC99"/>
    <mergeCell ref="BD99:BH99"/>
    <mergeCell ref="BI99:BN99"/>
    <mergeCell ref="A99:B99"/>
    <mergeCell ref="C99:R99"/>
    <mergeCell ref="S99:W99"/>
    <mergeCell ref="X99:AB99"/>
    <mergeCell ref="AC99:AH99"/>
    <mergeCell ref="AI99:AM99"/>
    <mergeCell ref="A110:B110"/>
    <mergeCell ref="C110:I110"/>
    <mergeCell ref="J110:N110"/>
    <mergeCell ref="O110:X110"/>
    <mergeCell ref="Y110:AC110"/>
    <mergeCell ref="AD110:AH110"/>
    <mergeCell ref="AI110:AM110"/>
    <mergeCell ref="A109:B109"/>
    <mergeCell ref="C109:I109"/>
    <mergeCell ref="J109:N109"/>
    <mergeCell ref="O109:X109"/>
    <mergeCell ref="Y109:AC109"/>
    <mergeCell ref="AD109:AH109"/>
    <mergeCell ref="AI109:AM109"/>
    <mergeCell ref="AN110:AR110"/>
    <mergeCell ref="AS110:AW110"/>
    <mergeCell ref="AX110:BB110"/>
    <mergeCell ref="BC110:BG110"/>
    <mergeCell ref="BH110:BL110"/>
    <mergeCell ref="BM110:BQ110"/>
    <mergeCell ref="BC109:BG109"/>
    <mergeCell ref="BH109:BL109"/>
    <mergeCell ref="BM109:BQ109"/>
    <mergeCell ref="AN109:AR109"/>
    <mergeCell ref="AS109:AW109"/>
    <mergeCell ref="AX109:BB109"/>
    <mergeCell ref="BM111:BQ111"/>
    <mergeCell ref="A112:B112"/>
    <mergeCell ref="C112:I112"/>
    <mergeCell ref="J112:N112"/>
    <mergeCell ref="O112:X112"/>
    <mergeCell ref="Y112:AC112"/>
    <mergeCell ref="AD112:AH112"/>
    <mergeCell ref="AI112:AM112"/>
    <mergeCell ref="AN112:AR112"/>
    <mergeCell ref="AS112:AW112"/>
    <mergeCell ref="AI111:AM111"/>
    <mergeCell ref="AN111:AR111"/>
    <mergeCell ref="AS111:AW111"/>
    <mergeCell ref="AX111:BB111"/>
    <mergeCell ref="BC111:BG111"/>
    <mergeCell ref="BH111:BL111"/>
    <mergeCell ref="A111:B111"/>
    <mergeCell ref="C111:I111"/>
    <mergeCell ref="J111:N111"/>
    <mergeCell ref="O111:X111"/>
    <mergeCell ref="Y111:AC111"/>
    <mergeCell ref="AD111:AH111"/>
    <mergeCell ref="AX112:BB112"/>
    <mergeCell ref="BC112:BG112"/>
    <mergeCell ref="BH112:BL112"/>
    <mergeCell ref="BM112:BQ112"/>
    <mergeCell ref="A113:B113"/>
    <mergeCell ref="C113:I113"/>
    <mergeCell ref="J113:N113"/>
    <mergeCell ref="O113:X113"/>
    <mergeCell ref="Y113:AC113"/>
    <mergeCell ref="AD113:AH113"/>
    <mergeCell ref="BM113:BQ113"/>
    <mergeCell ref="A114:B114"/>
    <mergeCell ref="C114:I114"/>
    <mergeCell ref="J114:N114"/>
    <mergeCell ref="O114:X114"/>
    <mergeCell ref="Y114:AC114"/>
    <mergeCell ref="AD114:AH114"/>
    <mergeCell ref="AI114:AM114"/>
    <mergeCell ref="AN114:AR114"/>
    <mergeCell ref="AS114:AW114"/>
    <mergeCell ref="AI113:AM113"/>
    <mergeCell ref="AN113:AR113"/>
    <mergeCell ref="AS113:AW113"/>
    <mergeCell ref="AX113:BB113"/>
    <mergeCell ref="BC113:BG113"/>
    <mergeCell ref="BH113:BL113"/>
    <mergeCell ref="AX114:BB114"/>
    <mergeCell ref="BC114:BG114"/>
    <mergeCell ref="BH114:BL114"/>
    <mergeCell ref="BM114:BQ114"/>
    <mergeCell ref="A115:B115"/>
    <mergeCell ref="C115:I115"/>
    <mergeCell ref="J115:N115"/>
    <mergeCell ref="O115:X115"/>
    <mergeCell ref="Y115:AC115"/>
    <mergeCell ref="AD115:AH115"/>
    <mergeCell ref="BM115:BQ115"/>
    <mergeCell ref="AI115:AM115"/>
    <mergeCell ref="AN115:AR115"/>
    <mergeCell ref="AS115:AW115"/>
    <mergeCell ref="AX115:BB115"/>
    <mergeCell ref="BC115:BG115"/>
    <mergeCell ref="BH115:BL115"/>
    <mergeCell ref="A125:B125"/>
    <mergeCell ref="C125:I125"/>
    <mergeCell ref="J125:N125"/>
    <mergeCell ref="O125:BQ125"/>
    <mergeCell ref="C123:I123"/>
    <mergeCell ref="J123:N123"/>
    <mergeCell ref="O123:BQ123"/>
    <mergeCell ref="A124:B124"/>
    <mergeCell ref="C124:I124"/>
    <mergeCell ref="J124:N124"/>
    <mergeCell ref="O124:BQ124"/>
    <mergeCell ref="A127:B127"/>
    <mergeCell ref="C127:I127"/>
    <mergeCell ref="J127:N127"/>
    <mergeCell ref="O127:BQ127"/>
    <mergeCell ref="A126:B126"/>
    <mergeCell ref="C126:I126"/>
    <mergeCell ref="J126:N126"/>
    <mergeCell ref="O126:BQ126"/>
  </mergeCells>
  <phoneticPr fontId="0" type="noConversion"/>
  <conditionalFormatting sqref="C118 C131 C108 C122">
    <cfRule type="cellIs" dxfId="36" priority="39" stopIfTrue="1" operator="equal">
      <formula>$C107</formula>
    </cfRule>
  </conditionalFormatting>
  <conditionalFormatting sqref="A108:B108 A118:B118 A122:B122 A131:B131 A98:B98 A116:B116 A128:B128">
    <cfRule type="cellIs" dxfId="35" priority="40" stopIfTrue="1" operator="equal">
      <formula>0</formula>
    </cfRule>
  </conditionalFormatting>
  <conditionalFormatting sqref="A99:B99">
    <cfRule type="cellIs" dxfId="34" priority="38" stopIfTrue="1" operator="equal">
      <formula>0</formula>
    </cfRule>
  </conditionalFormatting>
  <conditionalFormatting sqref="C116">
    <cfRule type="cellIs" dxfId="33" priority="42" stopIfTrue="1" operator="equal">
      <formula>$C108</formula>
    </cfRule>
  </conditionalFormatting>
  <conditionalFormatting sqref="C109">
    <cfRule type="cellIs" dxfId="32" priority="35" stopIfTrue="1" operator="equal">
      <formula>$C108</formula>
    </cfRule>
  </conditionalFormatting>
  <conditionalFormatting sqref="A109:B109">
    <cfRule type="cellIs" dxfId="31" priority="36" stopIfTrue="1" operator="equal">
      <formula>0</formula>
    </cfRule>
  </conditionalFormatting>
  <conditionalFormatting sqref="C110">
    <cfRule type="cellIs" dxfId="30" priority="33" stopIfTrue="1" operator="equal">
      <formula>$C109</formula>
    </cfRule>
  </conditionalFormatting>
  <conditionalFormatting sqref="A110:B110">
    <cfRule type="cellIs" dxfId="29" priority="34" stopIfTrue="1" operator="equal">
      <formula>0</formula>
    </cfRule>
  </conditionalFormatting>
  <conditionalFormatting sqref="C111">
    <cfRule type="cellIs" dxfId="28" priority="31" stopIfTrue="1" operator="equal">
      <formula>$C110</formula>
    </cfRule>
  </conditionalFormatting>
  <conditionalFormatting sqref="A111:B111">
    <cfRule type="cellIs" dxfId="27" priority="32" stopIfTrue="1" operator="equal">
      <formula>0</formula>
    </cfRule>
  </conditionalFormatting>
  <conditionalFormatting sqref="C112">
    <cfRule type="cellIs" dxfId="26" priority="29" stopIfTrue="1" operator="equal">
      <formula>$C111</formula>
    </cfRule>
  </conditionalFormatting>
  <conditionalFormatting sqref="A112:B112">
    <cfRule type="cellIs" dxfId="25" priority="30" stopIfTrue="1" operator="equal">
      <formula>0</formula>
    </cfRule>
  </conditionalFormatting>
  <conditionalFormatting sqref="C113">
    <cfRule type="cellIs" dxfId="24" priority="27" stopIfTrue="1" operator="equal">
      <formula>$C112</formula>
    </cfRule>
  </conditionalFormatting>
  <conditionalFormatting sqref="A113:B113">
    <cfRule type="cellIs" dxfId="23" priority="28" stopIfTrue="1" operator="equal">
      <formula>0</formula>
    </cfRule>
  </conditionalFormatting>
  <conditionalFormatting sqref="C114">
    <cfRule type="cellIs" dxfId="22" priority="25" stopIfTrue="1" operator="equal">
      <formula>$C113</formula>
    </cfRule>
  </conditionalFormatting>
  <conditionalFormatting sqref="A114:B114">
    <cfRule type="cellIs" dxfId="21" priority="26" stopIfTrue="1" operator="equal">
      <formula>0</formula>
    </cfRule>
  </conditionalFormatting>
  <conditionalFormatting sqref="C115">
    <cfRule type="cellIs" dxfId="20" priority="23" stopIfTrue="1" operator="equal">
      <formula>$C114</formula>
    </cfRule>
  </conditionalFormatting>
  <conditionalFormatting sqref="A115:B115">
    <cfRule type="cellIs" dxfId="19" priority="24" stopIfTrue="1" operator="equal">
      <formula>0</formula>
    </cfRule>
  </conditionalFormatting>
  <conditionalFormatting sqref="C128">
    <cfRule type="cellIs" dxfId="18" priority="44" stopIfTrue="1" operator="equal">
      <formula>$C122</formula>
    </cfRule>
  </conditionalFormatting>
  <conditionalFormatting sqref="C123">
    <cfRule type="cellIs" dxfId="15" priority="17" stopIfTrue="1" operator="equal">
      <formula>#REF!</formula>
    </cfRule>
  </conditionalFormatting>
  <conditionalFormatting sqref="A123:B123">
    <cfRule type="cellIs" dxfId="14" priority="18" stopIfTrue="1" operator="equal">
      <formula>0</formula>
    </cfRule>
  </conditionalFormatting>
  <conditionalFormatting sqref="C124">
    <cfRule type="cellIs" dxfId="13" priority="15" stopIfTrue="1" operator="equal">
      <formula>$C123</formula>
    </cfRule>
  </conditionalFormatting>
  <conditionalFormatting sqref="A124:B124">
    <cfRule type="cellIs" dxfId="12" priority="16" stopIfTrue="1" operator="equal">
      <formula>0</formula>
    </cfRule>
  </conditionalFormatting>
  <conditionalFormatting sqref="C125">
    <cfRule type="cellIs" dxfId="9" priority="11" stopIfTrue="1" operator="equal">
      <formula>#REF!</formula>
    </cfRule>
  </conditionalFormatting>
  <conditionalFormatting sqref="A125:B125">
    <cfRule type="cellIs" dxfId="8" priority="12" stopIfTrue="1" operator="equal">
      <formula>0</formula>
    </cfRule>
  </conditionalFormatting>
  <conditionalFormatting sqref="C126">
    <cfRule type="cellIs" dxfId="5" priority="7" stopIfTrue="1" operator="equal">
      <formula>#REF!</formula>
    </cfRule>
  </conditionalFormatting>
  <conditionalFormatting sqref="A126:B126">
    <cfRule type="cellIs" dxfId="4" priority="8" stopIfTrue="1" operator="equal">
      <formula>0</formula>
    </cfRule>
  </conditionalFormatting>
  <conditionalFormatting sqref="C127">
    <cfRule type="cellIs" dxfId="3" priority="5" stopIfTrue="1" operator="equal">
      <formula>$C126</formula>
    </cfRule>
  </conditionalFormatting>
  <conditionalFormatting sqref="A127:B127">
    <cfRule type="cellIs" dxfId="2" priority="6" stopIfTrue="1" operator="equal">
      <formula>0</formula>
    </cfRule>
  </conditionalFormatting>
  <pageMargins left="0.31496062992125984" right="0.31496062992125984" top="0.39370078740157483" bottom="0.39370078740157483" header="0" footer="0"/>
  <pageSetup paperSize="9" scale="72" fitToHeight="99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КПК0118130</vt:lpstr>
      <vt:lpstr>КПК0118130!Область_печати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2025-06-27T09:16:15Z</cp:lastPrinted>
  <dcterms:created xsi:type="dcterms:W3CDTF">2016-08-10T10:53:25Z</dcterms:created>
  <dcterms:modified xsi:type="dcterms:W3CDTF">2025-06-27T09:16:20Z</dcterms:modified>
</cp:coreProperties>
</file>