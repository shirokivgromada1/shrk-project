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530"/>
  <workbookPr codeName="ЭтаКнига" defaultThemeVersion="166925"/>
  <mc:AlternateContent xmlns:mc="http://schemas.openxmlformats.org/markup-compatibility/2006">
    <mc:Choice Requires="x15">
      <x15ac:absPath xmlns:x15ac="http://schemas.microsoft.com/office/spreadsheetml/2010/11/ac" url="D:\с рабочего стола\Мої документи\Бюджетні запити\на 2024 рік\"/>
    </mc:Choice>
  </mc:AlternateContent>
  <xr:revisionPtr revIDLastSave="0" documentId="8_{8C565101-07FA-4D87-AC92-6B6058EB5471}" xr6:coauthVersionLast="46" xr6:coauthVersionMax="46" xr10:uidLastSave="{00000000-0000-0000-0000-000000000000}"/>
  <bookViews>
    <workbookView xWindow="-120" yWindow="-120" windowWidth="29040" windowHeight="15840" tabRatio="522"/>
  </bookViews>
  <sheets>
    <sheet name="Додаток2 КПК0111021" sheetId="6" r:id="rId1"/>
  </sheets>
  <definedNames>
    <definedName name="_xlnm.Print_Area" localSheetId="0">'Додаток2 КПК0111021'!$A$1:$BY$431</definedName>
  </definedNames>
  <calcPr calcId="191029"/>
</workbook>
</file>

<file path=xl/calcChain.xml><?xml version="1.0" encoding="utf-8"?>
<calcChain xmlns="http://schemas.openxmlformats.org/spreadsheetml/2006/main">
  <c r="BH408" i="6" l="1"/>
  <c r="AT408" i="6"/>
  <c r="AJ408" i="6"/>
  <c r="BG399" i="6"/>
  <c r="AQ399" i="6"/>
  <c r="AZ376" i="6"/>
  <c r="AK376" i="6"/>
  <c r="AZ375" i="6"/>
  <c r="AK375" i="6"/>
  <c r="AZ374" i="6"/>
  <c r="AK374" i="6"/>
  <c r="BO366" i="6"/>
  <c r="AZ366" i="6"/>
  <c r="AK366" i="6"/>
  <c r="BO365" i="6"/>
  <c r="AZ365" i="6"/>
  <c r="AK365" i="6"/>
  <c r="BO364" i="6"/>
  <c r="AZ364" i="6"/>
  <c r="AK364" i="6"/>
  <c r="BD288" i="6"/>
  <c r="AJ288" i="6"/>
  <c r="BD287" i="6"/>
  <c r="AJ287" i="6"/>
  <c r="BD286" i="6"/>
  <c r="AJ286" i="6"/>
  <c r="BD285" i="6"/>
  <c r="AJ285" i="6"/>
  <c r="BD284" i="6"/>
  <c r="AJ284" i="6"/>
  <c r="BD283" i="6"/>
  <c r="AJ283" i="6"/>
  <c r="BD282" i="6"/>
  <c r="AJ282" i="6"/>
  <c r="BD281" i="6"/>
  <c r="AJ281" i="6"/>
  <c r="BD280" i="6"/>
  <c r="AJ280" i="6"/>
  <c r="BD279" i="6"/>
  <c r="AJ279" i="6"/>
  <c r="BD278" i="6"/>
  <c r="AJ278" i="6"/>
  <c r="BD277" i="6"/>
  <c r="AJ277" i="6"/>
  <c r="BD276" i="6"/>
  <c r="AJ276" i="6"/>
  <c r="BD275" i="6"/>
  <c r="AJ275" i="6"/>
  <c r="BD274" i="6"/>
  <c r="AJ274" i="6"/>
  <c r="BD273" i="6"/>
  <c r="AJ273" i="6"/>
  <c r="BD272" i="6"/>
  <c r="AJ272" i="6"/>
  <c r="BD271" i="6"/>
  <c r="AJ271" i="6"/>
  <c r="BD270" i="6"/>
  <c r="AJ270" i="6"/>
  <c r="BD269" i="6"/>
  <c r="AJ269" i="6"/>
  <c r="BD268" i="6"/>
  <c r="AJ268" i="6"/>
  <c r="BD267" i="6"/>
  <c r="AJ267" i="6"/>
  <c r="BD266" i="6"/>
  <c r="AJ266" i="6"/>
  <c r="BD265" i="6"/>
  <c r="AJ265" i="6"/>
  <c r="BD264" i="6"/>
  <c r="AJ264" i="6"/>
  <c r="BD263" i="6"/>
  <c r="AJ263" i="6"/>
  <c r="BD262" i="6"/>
  <c r="AJ262" i="6"/>
  <c r="BD261" i="6"/>
  <c r="AJ261" i="6"/>
  <c r="BD260" i="6"/>
  <c r="AJ260" i="6"/>
  <c r="BD259" i="6"/>
  <c r="AJ259" i="6"/>
  <c r="BD258" i="6"/>
  <c r="AJ258" i="6"/>
  <c r="BD257" i="6"/>
  <c r="AJ257" i="6"/>
  <c r="BD256" i="6"/>
  <c r="AJ256" i="6"/>
  <c r="BD255" i="6"/>
  <c r="AJ255" i="6"/>
  <c r="BD254" i="6"/>
  <c r="AJ254" i="6"/>
  <c r="BD253" i="6"/>
  <c r="AJ253" i="6"/>
  <c r="BD252" i="6"/>
  <c r="AJ252" i="6"/>
  <c r="BD251" i="6"/>
  <c r="AJ251" i="6"/>
  <c r="BD250" i="6"/>
  <c r="AJ250" i="6"/>
  <c r="BD249" i="6"/>
  <c r="AJ249" i="6"/>
  <c r="BD248" i="6"/>
  <c r="AJ248" i="6"/>
  <c r="BD247" i="6"/>
  <c r="AJ247" i="6"/>
  <c r="BD246" i="6"/>
  <c r="AJ246" i="6"/>
  <c r="BD245" i="6"/>
  <c r="AJ245" i="6"/>
  <c r="BD244" i="6"/>
  <c r="AJ244" i="6"/>
  <c r="BD243" i="6"/>
  <c r="AJ243" i="6"/>
  <c r="BD242" i="6"/>
  <c r="AJ242" i="6"/>
  <c r="BD241" i="6"/>
  <c r="AJ241" i="6"/>
  <c r="BD240" i="6"/>
  <c r="AJ240" i="6"/>
  <c r="BD239" i="6"/>
  <c r="AJ239" i="6"/>
  <c r="BD238" i="6"/>
  <c r="AJ238" i="6"/>
  <c r="BD237" i="6"/>
  <c r="AJ237" i="6"/>
  <c r="BD236" i="6"/>
  <c r="AJ236" i="6"/>
  <c r="BD235" i="6"/>
  <c r="AJ235" i="6"/>
  <c r="BD234" i="6"/>
  <c r="AJ234" i="6"/>
  <c r="BD233" i="6"/>
  <c r="AJ233" i="6"/>
  <c r="BD232" i="6"/>
  <c r="AJ232" i="6"/>
  <c r="BD231" i="6"/>
  <c r="AJ231" i="6"/>
  <c r="BD230" i="6"/>
  <c r="AJ230" i="6"/>
  <c r="BD229" i="6"/>
  <c r="AJ229" i="6"/>
  <c r="BD228" i="6"/>
  <c r="AJ228" i="6"/>
  <c r="BD227" i="6"/>
  <c r="AJ227" i="6"/>
  <c r="BD226" i="6"/>
  <c r="AJ226" i="6"/>
  <c r="BD225" i="6"/>
  <c r="AJ225" i="6"/>
  <c r="BD224" i="6"/>
  <c r="AJ224" i="6"/>
  <c r="BD223" i="6"/>
  <c r="AJ223" i="6"/>
  <c r="BD222" i="6"/>
  <c r="AJ222" i="6"/>
  <c r="BD221" i="6"/>
  <c r="AJ221" i="6"/>
  <c r="BD220" i="6"/>
  <c r="AJ220" i="6"/>
  <c r="BD219" i="6"/>
  <c r="AJ219" i="6"/>
  <c r="BD218" i="6"/>
  <c r="AJ218" i="6"/>
  <c r="BD217" i="6"/>
  <c r="AJ217" i="6"/>
  <c r="BD216" i="6"/>
  <c r="AJ216" i="6"/>
  <c r="BD215" i="6"/>
  <c r="AJ215" i="6"/>
  <c r="BD214" i="6"/>
  <c r="AJ214" i="6"/>
  <c r="BD213" i="6"/>
  <c r="AJ213" i="6"/>
  <c r="BD212" i="6"/>
  <c r="AJ212" i="6"/>
  <c r="BD211" i="6"/>
  <c r="AJ211" i="6"/>
  <c r="BD210" i="6"/>
  <c r="AJ210" i="6"/>
  <c r="BD209" i="6"/>
  <c r="AJ209" i="6"/>
  <c r="BU201" i="6"/>
  <c r="BB201" i="6"/>
  <c r="AI201" i="6"/>
  <c r="BU200" i="6"/>
  <c r="BB200" i="6"/>
  <c r="AI200" i="6"/>
  <c r="BU199" i="6"/>
  <c r="BB199" i="6"/>
  <c r="AI199" i="6"/>
  <c r="BU198" i="6"/>
  <c r="BB198" i="6"/>
  <c r="AI198" i="6"/>
  <c r="BU197" i="6"/>
  <c r="BB197" i="6"/>
  <c r="AI197" i="6"/>
  <c r="BU196" i="6"/>
  <c r="BB196" i="6"/>
  <c r="AI196" i="6"/>
  <c r="BU195" i="6"/>
  <c r="BB195" i="6"/>
  <c r="AI195" i="6"/>
  <c r="BU194" i="6"/>
  <c r="BB194" i="6"/>
  <c r="AI194" i="6"/>
  <c r="BU193" i="6"/>
  <c r="BB193" i="6"/>
  <c r="AI193" i="6"/>
  <c r="BU192" i="6"/>
  <c r="BB192" i="6"/>
  <c r="AI192" i="6"/>
  <c r="BU191" i="6"/>
  <c r="BB191" i="6"/>
  <c r="AI191" i="6"/>
  <c r="BU190" i="6"/>
  <c r="BB190" i="6"/>
  <c r="AI190" i="6"/>
  <c r="BU189" i="6"/>
  <c r="BB189" i="6"/>
  <c r="AI189" i="6"/>
  <c r="BU188" i="6"/>
  <c r="BB188" i="6"/>
  <c r="AI188" i="6"/>
  <c r="BU187" i="6"/>
  <c r="BB187" i="6"/>
  <c r="AI187" i="6"/>
  <c r="BU186" i="6"/>
  <c r="BB186" i="6"/>
  <c r="AI186" i="6"/>
  <c r="BU185" i="6"/>
  <c r="BB185" i="6"/>
  <c r="AI185" i="6"/>
  <c r="BU184" i="6"/>
  <c r="BB184" i="6"/>
  <c r="AI184" i="6"/>
  <c r="BU183" i="6"/>
  <c r="BB183" i="6"/>
  <c r="AI183" i="6"/>
  <c r="BU182" i="6"/>
  <c r="BB182" i="6"/>
  <c r="AI182" i="6"/>
  <c r="BU181" i="6"/>
  <c r="BB181" i="6"/>
  <c r="AI181" i="6"/>
  <c r="BU180" i="6"/>
  <c r="BB180" i="6"/>
  <c r="AI180" i="6"/>
  <c r="BU179" i="6"/>
  <c r="BB179" i="6"/>
  <c r="AI179" i="6"/>
  <c r="BU178" i="6"/>
  <c r="BB178" i="6"/>
  <c r="AI178" i="6"/>
  <c r="BU177" i="6"/>
  <c r="BB177" i="6"/>
  <c r="AI177" i="6"/>
  <c r="BU176" i="6"/>
  <c r="BB176" i="6"/>
  <c r="AI176" i="6"/>
  <c r="BU175" i="6"/>
  <c r="BB175" i="6"/>
  <c r="AI175" i="6"/>
  <c r="BU174" i="6"/>
  <c r="BB174" i="6"/>
  <c r="AI174" i="6"/>
  <c r="BU173" i="6"/>
  <c r="BB173" i="6"/>
  <c r="AI173" i="6"/>
  <c r="BU172" i="6"/>
  <c r="BB172" i="6"/>
  <c r="AI172" i="6"/>
  <c r="BU171" i="6"/>
  <c r="BB171" i="6"/>
  <c r="AI171" i="6"/>
  <c r="BU170" i="6"/>
  <c r="BB170" i="6"/>
  <c r="AI170" i="6"/>
  <c r="BU169" i="6"/>
  <c r="BB169" i="6"/>
  <c r="AI169" i="6"/>
  <c r="BU168" i="6"/>
  <c r="BB168" i="6"/>
  <c r="AI168" i="6"/>
  <c r="BU167" i="6"/>
  <c r="BB167" i="6"/>
  <c r="AI167" i="6"/>
  <c r="BU166" i="6"/>
  <c r="BB166" i="6"/>
  <c r="AI166" i="6"/>
  <c r="BU165" i="6"/>
  <c r="BB165" i="6"/>
  <c r="AI165" i="6"/>
  <c r="BU164" i="6"/>
  <c r="BB164" i="6"/>
  <c r="AI164" i="6"/>
  <c r="BU163" i="6"/>
  <c r="BB163" i="6"/>
  <c r="AI163" i="6"/>
  <c r="BU162" i="6"/>
  <c r="BB162" i="6"/>
  <c r="AI162" i="6"/>
  <c r="BU161" i="6"/>
  <c r="BB161" i="6"/>
  <c r="AI161" i="6"/>
  <c r="BU160" i="6"/>
  <c r="BB160" i="6"/>
  <c r="AI160" i="6"/>
  <c r="BU159" i="6"/>
  <c r="BB159" i="6"/>
  <c r="AI159" i="6"/>
  <c r="BU158" i="6"/>
  <c r="BB158" i="6"/>
  <c r="AI158" i="6"/>
  <c r="BU157" i="6"/>
  <c r="BB157" i="6"/>
  <c r="AI157" i="6"/>
  <c r="BU156" i="6"/>
  <c r="BB156" i="6"/>
  <c r="AI156" i="6"/>
  <c r="BU155" i="6"/>
  <c r="BB155" i="6"/>
  <c r="AI155" i="6"/>
  <c r="BU154" i="6"/>
  <c r="BB154" i="6"/>
  <c r="AI154" i="6"/>
  <c r="BU153" i="6"/>
  <c r="BB153" i="6"/>
  <c r="AI153" i="6"/>
  <c r="BU152" i="6"/>
  <c r="BB152" i="6"/>
  <c r="AI152" i="6"/>
  <c r="BU151" i="6"/>
  <c r="BB151" i="6"/>
  <c r="AI151" i="6"/>
  <c r="BU150" i="6"/>
  <c r="BB150" i="6"/>
  <c r="AI150" i="6"/>
  <c r="BU149" i="6"/>
  <c r="BB149" i="6"/>
  <c r="AI149" i="6"/>
  <c r="BU148" i="6"/>
  <c r="BB148" i="6"/>
  <c r="AI148" i="6"/>
  <c r="BU147" i="6"/>
  <c r="BB147" i="6"/>
  <c r="AI147" i="6"/>
  <c r="BU146" i="6"/>
  <c r="BB146" i="6"/>
  <c r="AI146" i="6"/>
  <c r="BU145" i="6"/>
  <c r="BB145" i="6"/>
  <c r="AI145" i="6"/>
  <c r="BU144" i="6"/>
  <c r="BB144" i="6"/>
  <c r="AI144" i="6"/>
  <c r="BU143" i="6"/>
  <c r="BB143" i="6"/>
  <c r="AI143" i="6"/>
  <c r="BU142" i="6"/>
  <c r="BB142" i="6"/>
  <c r="AI142" i="6"/>
  <c r="BU141" i="6"/>
  <c r="BB141" i="6"/>
  <c r="AI141" i="6"/>
  <c r="BU140" i="6"/>
  <c r="BB140" i="6"/>
  <c r="AI140" i="6"/>
  <c r="BU139" i="6"/>
  <c r="BB139" i="6"/>
  <c r="AI139" i="6"/>
  <c r="BU138" i="6"/>
  <c r="BB138" i="6"/>
  <c r="AI138" i="6"/>
  <c r="BU137" i="6"/>
  <c r="BB137" i="6"/>
  <c r="AI137" i="6"/>
  <c r="BU136" i="6"/>
  <c r="BB136" i="6"/>
  <c r="AI136" i="6"/>
  <c r="BU135" i="6"/>
  <c r="BB135" i="6"/>
  <c r="AI135" i="6"/>
  <c r="BU134" i="6"/>
  <c r="BB134" i="6"/>
  <c r="AI134" i="6"/>
  <c r="BU133" i="6"/>
  <c r="BB133" i="6"/>
  <c r="AI133" i="6"/>
  <c r="BU132" i="6"/>
  <c r="BB132" i="6"/>
  <c r="AI132" i="6"/>
  <c r="BU131" i="6"/>
  <c r="BB131" i="6"/>
  <c r="AI131" i="6"/>
  <c r="BU130" i="6"/>
  <c r="BB130" i="6"/>
  <c r="AI130" i="6"/>
  <c r="BU129" i="6"/>
  <c r="BB129" i="6"/>
  <c r="AI129" i="6"/>
  <c r="BU128" i="6"/>
  <c r="BB128" i="6"/>
  <c r="AI128" i="6"/>
  <c r="BU127" i="6"/>
  <c r="BB127" i="6"/>
  <c r="AI127" i="6"/>
  <c r="BU126" i="6"/>
  <c r="BB126" i="6"/>
  <c r="AI126" i="6"/>
  <c r="BU125" i="6"/>
  <c r="BB125" i="6"/>
  <c r="AI125" i="6"/>
  <c r="BU124" i="6"/>
  <c r="BB124" i="6"/>
  <c r="AI124" i="6"/>
  <c r="BU123" i="6"/>
  <c r="BB123" i="6"/>
  <c r="AI123" i="6"/>
  <c r="BU122" i="6"/>
  <c r="BB122" i="6"/>
  <c r="AI122" i="6"/>
  <c r="BG112" i="6"/>
  <c r="AM112" i="6"/>
  <c r="BG104" i="6"/>
  <c r="AM104" i="6"/>
  <c r="BG103" i="6"/>
  <c r="AM103" i="6"/>
  <c r="BG102" i="6"/>
  <c r="AM102" i="6"/>
  <c r="BG101" i="6"/>
  <c r="AM101" i="6"/>
  <c r="BG100" i="6"/>
  <c r="AM100" i="6"/>
  <c r="BG99" i="6"/>
  <c r="AM99" i="6"/>
  <c r="BG98" i="6"/>
  <c r="AM98" i="6"/>
  <c r="BG97" i="6"/>
  <c r="AM97" i="6"/>
  <c r="BG96" i="6"/>
  <c r="AM96" i="6"/>
  <c r="BG95" i="6"/>
  <c r="AM95" i="6"/>
  <c r="BG94" i="6"/>
  <c r="AM94" i="6"/>
  <c r="BG93" i="6"/>
  <c r="AM93" i="6"/>
  <c r="BG92" i="6"/>
  <c r="AM92" i="6"/>
  <c r="BG91" i="6"/>
  <c r="AM91" i="6"/>
  <c r="BG90" i="6"/>
  <c r="AM90" i="6"/>
  <c r="BU82" i="6"/>
  <c r="BB82" i="6"/>
  <c r="AI82" i="6"/>
  <c r="BU74" i="6"/>
  <c r="BB74" i="6"/>
  <c r="AI74" i="6"/>
  <c r="BU73" i="6"/>
  <c r="BB73" i="6"/>
  <c r="AI73" i="6"/>
  <c r="BU72" i="6"/>
  <c r="BB72" i="6"/>
  <c r="AI72" i="6"/>
  <c r="BU71" i="6"/>
  <c r="BB71" i="6"/>
  <c r="AI71" i="6"/>
  <c r="BU70" i="6"/>
  <c r="BB70" i="6"/>
  <c r="AI70" i="6"/>
  <c r="BU69" i="6"/>
  <c r="BB69" i="6"/>
  <c r="AI69" i="6"/>
  <c r="BU68" i="6"/>
  <c r="BB68" i="6"/>
  <c r="AI68" i="6"/>
  <c r="BU67" i="6"/>
  <c r="BB67" i="6"/>
  <c r="AI67" i="6"/>
  <c r="BU66" i="6"/>
  <c r="BB66" i="6"/>
  <c r="AI66" i="6"/>
  <c r="BU65" i="6"/>
  <c r="BB65" i="6"/>
  <c r="AI65" i="6"/>
  <c r="BU64" i="6"/>
  <c r="BB64" i="6"/>
  <c r="AI64" i="6"/>
  <c r="BU63" i="6"/>
  <c r="BB63" i="6"/>
  <c r="AI63" i="6"/>
  <c r="BU62" i="6"/>
  <c r="BB62" i="6"/>
  <c r="AI62" i="6"/>
  <c r="BU61" i="6"/>
  <c r="BB61" i="6"/>
  <c r="AI61" i="6"/>
  <c r="BU60" i="6"/>
  <c r="BB60" i="6"/>
  <c r="AI60" i="6"/>
  <c r="BG50" i="6"/>
  <c r="AM50" i="6"/>
  <c r="BG49" i="6"/>
  <c r="AM49" i="6"/>
  <c r="BG48" i="6"/>
  <c r="AM48" i="6"/>
  <c r="BG47" i="6"/>
  <c r="AM47" i="6"/>
  <c r="BG46" i="6"/>
  <c r="AM46" i="6"/>
  <c r="BG45" i="6"/>
  <c r="AM45" i="6"/>
  <c r="BG44" i="6"/>
  <c r="AM44" i="6"/>
  <c r="BU36" i="6"/>
  <c r="BB36" i="6"/>
  <c r="AI36" i="6"/>
  <c r="BU35" i="6"/>
  <c r="BB35" i="6"/>
  <c r="AI35" i="6"/>
  <c r="BU34" i="6"/>
  <c r="BB34" i="6"/>
  <c r="AI34" i="6"/>
  <c r="BU33" i="6"/>
  <c r="BB33" i="6"/>
  <c r="AI33" i="6"/>
  <c r="BU32" i="6"/>
  <c r="BB32" i="6"/>
  <c r="AI32" i="6"/>
  <c r="BU31" i="6"/>
  <c r="BB31" i="6"/>
  <c r="AI31" i="6"/>
  <c r="BU30" i="6"/>
  <c r="BB30" i="6"/>
  <c r="AI30" i="6"/>
</calcChain>
</file>

<file path=xl/sharedStrings.xml><?xml version="1.0" encoding="utf-8"?>
<sst xmlns="http://schemas.openxmlformats.org/spreadsheetml/2006/main" count="936" uniqueCount="361">
  <si>
    <t xml:space="preserve">                (найменування головного розпорядника коштів місцевого бюджету)                        </t>
  </si>
  <si>
    <t xml:space="preserve"> (підпис)</t>
  </si>
  <si>
    <t>Код</t>
  </si>
  <si>
    <t>спеціальний фонд</t>
  </si>
  <si>
    <t>загальний фонд</t>
  </si>
  <si>
    <t xml:space="preserve">разом (3+4) </t>
  </si>
  <si>
    <t>№ з/п</t>
  </si>
  <si>
    <t>Джерело інформації</t>
  </si>
  <si>
    <t>Одиниця виміру</t>
  </si>
  <si>
    <t>Показники</t>
  </si>
  <si>
    <t>Категорії працівників</t>
  </si>
  <si>
    <t>фактич но зайняті</t>
  </si>
  <si>
    <t>затверджено</t>
  </si>
  <si>
    <t>Коли та яким документом затверджена</t>
  </si>
  <si>
    <t>Касові видатки/ надання кредитів</t>
  </si>
  <si>
    <t>Затверджено з урахуванням змін</t>
  </si>
  <si>
    <t>спеціального фонду</t>
  </si>
  <si>
    <t>загального фонду</t>
  </si>
  <si>
    <t>Причини виникнення заборгованості</t>
  </si>
  <si>
    <t>Найменування</t>
  </si>
  <si>
    <t>граничний обсяг</t>
  </si>
  <si>
    <t>p2.5.1</t>
  </si>
  <si>
    <t>s2.5.1</t>
  </si>
  <si>
    <t>p2.5.2</t>
  </si>
  <si>
    <t>s2.5.2</t>
  </si>
  <si>
    <t>p2.6.1</t>
  </si>
  <si>
    <t>s2.6.1</t>
  </si>
  <si>
    <t>p2.6.2</t>
  </si>
  <si>
    <t>s2.6.2</t>
  </si>
  <si>
    <t>p2.6.3</t>
  </si>
  <si>
    <t>s2.6.3</t>
  </si>
  <si>
    <t>p2.6.4</t>
  </si>
  <si>
    <t>s2.6.4</t>
  </si>
  <si>
    <t>p2.7.1</t>
  </si>
  <si>
    <t>s2.7.1</t>
  </si>
  <si>
    <t>p2.7.2</t>
  </si>
  <si>
    <t>s2.7.2</t>
  </si>
  <si>
    <t>p2.8.1</t>
  </si>
  <si>
    <t>s2.8.1</t>
  </si>
  <si>
    <t>p2.8.2</t>
  </si>
  <si>
    <t>s2.8.2</t>
  </si>
  <si>
    <t>p2.9</t>
  </si>
  <si>
    <t>s2.9</t>
  </si>
  <si>
    <t>s2.10</t>
  </si>
  <si>
    <t>p2.11.1</t>
  </si>
  <si>
    <t>s2.11.1</t>
  </si>
  <si>
    <t>p2.11.2</t>
  </si>
  <si>
    <t>s2.11.2</t>
  </si>
  <si>
    <t>p2.12.1</t>
  </si>
  <si>
    <t>s2.12.1</t>
  </si>
  <si>
    <t>p2.13.1</t>
  </si>
  <si>
    <t>s2.13.1</t>
  </si>
  <si>
    <t>p2.13.2</t>
  </si>
  <si>
    <t>s2.13.2</t>
  </si>
  <si>
    <t>p2.13.3</t>
  </si>
  <si>
    <t>s2.13.3</t>
  </si>
  <si>
    <t>dcode</t>
  </si>
  <si>
    <t>name</t>
  </si>
  <si>
    <t>z3</t>
  </si>
  <si>
    <t>s3</t>
  </si>
  <si>
    <t>z4</t>
  </si>
  <si>
    <t>s4</t>
  </si>
  <si>
    <t>z5</t>
  </si>
  <si>
    <t>s5</t>
  </si>
  <si>
    <t>ecode</t>
  </si>
  <si>
    <t>z1</t>
  </si>
  <si>
    <t>s1</t>
  </si>
  <si>
    <t>z2</t>
  </si>
  <si>
    <t>s2</t>
  </si>
  <si>
    <t>npp</t>
  </si>
  <si>
    <t>od_vim</t>
  </si>
  <si>
    <t>dger_inf</t>
  </si>
  <si>
    <t>zz1</t>
  </si>
  <si>
    <t>zf1</t>
  </si>
  <si>
    <t>sz1</t>
  </si>
  <si>
    <t>sf1</t>
  </si>
  <si>
    <t>zz2</t>
  </si>
  <si>
    <t>zf2</t>
  </si>
  <si>
    <t>sf2</t>
  </si>
  <si>
    <t>pidstava</t>
  </si>
  <si>
    <t>st1</t>
  </si>
  <si>
    <t>st2</t>
  </si>
  <si>
    <t>st3</t>
  </si>
  <si>
    <t>st4</t>
  </si>
  <si>
    <t>st5</t>
  </si>
  <si>
    <t>st6</t>
  </si>
  <si>
    <t>st7</t>
  </si>
  <si>
    <t>prich</t>
  </si>
  <si>
    <t>zahodi</t>
  </si>
  <si>
    <t xml:space="preserve">разом (4+5) </t>
  </si>
  <si>
    <t xml:space="preserve">разом (8+9) </t>
  </si>
  <si>
    <t>br1</t>
  </si>
  <si>
    <t>br2</t>
  </si>
  <si>
    <t>br3</t>
  </si>
  <si>
    <t>br4</t>
  </si>
  <si>
    <t>br5</t>
  </si>
  <si>
    <t xml:space="preserve">разом (7+8) </t>
  </si>
  <si>
    <t xml:space="preserve">разом (11+12) </t>
  </si>
  <si>
    <t>Погашено кредиторську заборгованість за рахунок коштів</t>
  </si>
  <si>
    <t>formula=IF(ISNUMBER(RC[-6]),RC[-6],0)-IF(ISNUMBER(RC[-12]),RC[-12],0)</t>
  </si>
  <si>
    <t>formula=IF(ISNUMBER(RC[-33]),RC[-33],0)+IF(ISNUMBER(RC[-22]),RC[-22],0)</t>
  </si>
  <si>
    <t>formula=IF(ISNUMBER(RC[-19]),RC[-19],0)-IF(ISNUMBER(RC[-10]),RC[-10],0)</t>
  </si>
  <si>
    <t>formula=IF(ISNUMBER(RC[-24]),RC[-24],0)-IF(ISNUMBER(RC[-20]),RC[-20],0)-IF(ISNUMBER(RC[-15]),RC[-15],0)</t>
  </si>
  <si>
    <t>p2.10</t>
  </si>
  <si>
    <t>sz2</t>
  </si>
  <si>
    <t>zp3</t>
  </si>
  <si>
    <t>sp3</t>
  </si>
  <si>
    <t>zp4</t>
  </si>
  <si>
    <t>sp4</t>
  </si>
  <si>
    <t>zp5</t>
  </si>
  <si>
    <t>sp5</t>
  </si>
  <si>
    <t>zp1</t>
  </si>
  <si>
    <t>sp1</t>
  </si>
  <si>
    <t>zp2</t>
  </si>
  <si>
    <t>sp2</t>
  </si>
  <si>
    <t xml:space="preserve">ЗАТВЕРДЖЕНО
Наказ Міністерства фінансів України
від 17 липня 2015 року № 648
(у редакції наказу Міністерства фінансів України
 від 17 липня 2018 року № 617)                                                  </t>
  </si>
  <si>
    <t>у тому числі бюджет розвитку</t>
  </si>
  <si>
    <t>6. Витрати за кодами Економічної класифікації видатків / Класифікації кредитування бюджету:</t>
  </si>
  <si>
    <t>Код Економічної класифікації видатків бюджету</t>
  </si>
  <si>
    <t>Код Класифікації кредитування бюджету</t>
  </si>
  <si>
    <t>7. Витрати за напрямами використання бюджетних коштів:</t>
  </si>
  <si>
    <t>Напрями використання бюджетних коштів</t>
  </si>
  <si>
    <t>formula=IF(ISNUMBER(RC[-10]),RC[-10],0)+IF(ISNUMBER(RC[-5]),RC[-5],0)</t>
  </si>
  <si>
    <t xml:space="preserve">разом (5+6) </t>
  </si>
  <si>
    <t>9. Структура видатків на оплату праці:</t>
  </si>
  <si>
    <t>10. Чисельність зайнятих у бюджетних установах:</t>
  </si>
  <si>
    <t>Найменування місцевої/ регіональної програми</t>
  </si>
  <si>
    <t xml:space="preserve">разом (10+11) </t>
  </si>
  <si>
    <t>Найменування об’єкта відповідно до проектно-кошторисної документації</t>
  </si>
  <si>
    <t>Строк реалізації об’єкта (рік початку і завершення)</t>
  </si>
  <si>
    <t>Загальна вартість об’єкта</t>
  </si>
  <si>
    <t>strok</t>
  </si>
  <si>
    <t>vartist</t>
  </si>
  <si>
    <t xml:space="preserve">спеціальний фонд
(бюджет розвитку)
</t>
  </si>
  <si>
    <t>рівень будівельної  готовності об’єкта на кінець бюджетного періоду, %</t>
  </si>
  <si>
    <t>Код Економічної класифікації видатків бюджету / код Класифікації кредитування бюджету</t>
  </si>
  <si>
    <t xml:space="preserve">Кредиторська заборгованість на початок минулого бюджетного періоду </t>
  </si>
  <si>
    <t>Кредиторська заборгованість на кінець минулого бюджетного періоду</t>
  </si>
  <si>
    <t>Зміна кредиторської заборгованості (6-5)</t>
  </si>
  <si>
    <t>Бюджетні зобов’язання (4+6)</t>
  </si>
  <si>
    <t>затверджені призначення</t>
  </si>
  <si>
    <t xml:space="preserve">кредиторська заборгованість на початок поточного  бюджетного періоду  </t>
  </si>
  <si>
    <t>планується погасити кредиторської заборгованості за рахунок коштів</t>
  </si>
  <si>
    <t xml:space="preserve">очікуваний обсяг взяття поточних зобов'язань
(3 – 5)
</t>
  </si>
  <si>
    <t>можлива кредиторська
заборгованість на початок планового  бюджетного періоду (4 – 5 – 6)</t>
  </si>
  <si>
    <t>очікуваний обсяг взяття поточних зобов’язань (8-10)</t>
  </si>
  <si>
    <t>invest_pr</t>
  </si>
  <si>
    <t>УСЬОГО</t>
  </si>
  <si>
    <t>1) мета бюджетної програми, строки її реалізації;</t>
  </si>
  <si>
    <t xml:space="preserve">2) завдання бюджетної програми; </t>
  </si>
  <si>
    <t>3) підстави реалізації бюджетної програми.</t>
  </si>
  <si>
    <t>5. Надходження для виконання бюджетної програми:</t>
  </si>
  <si>
    <t>8. Результативні показники бюджетної програми:</t>
  </si>
  <si>
    <t>11. Місцеві/регіональні програми, які виконуються в межах бюджетної програми:</t>
  </si>
  <si>
    <t>zp</t>
  </si>
  <si>
    <t xml:space="preserve">                            (найменування відповідального виконавця )               </t>
  </si>
  <si>
    <t>Вжиті заходи щодо погашення заборгованості</t>
  </si>
  <si>
    <t>(код за ЄДРПОУ)</t>
  </si>
  <si>
    <t>(код бюджету)</t>
  </si>
  <si>
    <t>1.</t>
  </si>
  <si>
    <t>(код Типової відомчої класифікації видатків та кредитування місцевого бюджету)</t>
  </si>
  <si>
    <t>2.</t>
  </si>
  <si>
    <t>(код Типової відомчої класифікації видатків та кредитування місцевого бюджету та номер в системі головного розпорядника коштів місцевого бюджету)</t>
  </si>
  <si>
    <t>3.</t>
  </si>
  <si>
    <t>(код Програмної класифікації видатків та кредитування місцевого бюджету)</t>
  </si>
  <si>
    <t xml:space="preserve">(найменування бюджетної програми згідно з Типовою програмною класифікацією видатків та кредитування місцевого бюджету)        </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</si>
  <si>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</si>
  <si>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</si>
  <si>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  </t>
  </si>
  <si>
    <t>formula=IF(ISNUMBER(RC[-14]),RC[-14],0)+IF(ISNUMBER(RC[-9]),RC[-9],0)</t>
  </si>
  <si>
    <t>formula=IF(ISNUMBER(RC[-15]),RC[-15],0)+IF(ISNUMBER(RC[-10]),RC[-10],0)</t>
  </si>
  <si>
    <t>(прізвище та ініціали)</t>
  </si>
  <si>
    <t>Надходження із загального фонду бюджету</t>
  </si>
  <si>
    <t>X</t>
  </si>
  <si>
    <t>Власні надходження бюджетних установ (розписати за видами надходжень)</t>
  </si>
  <si>
    <t>Плата за оренду майна бюджетних установ, що здійснюється відповідно до Закону України `Про оренду державного та комунального майна`</t>
  </si>
  <si>
    <t>Надходження, що отримують бюджетні установи від підприємств, організацій, фізичних осіб та від інших бюджетних установ для виконання цільових заходів, у тому числі заходів з відчуження для суспільних потреб земельних ділянок та розміщених на них інших об`</t>
  </si>
  <si>
    <t>Інші надходження спеціального фонду (розписати за видами надходжень)</t>
  </si>
  <si>
    <t>Кошти, що передаються із загального фонду бюджету до бюджету розвитку (спеціального фонду)</t>
  </si>
  <si>
    <t>Заробітна плата</t>
  </si>
  <si>
    <t>Нарахування на оплату праці</t>
  </si>
  <si>
    <t>Предмети, матеріали, обладнання та інвентар</t>
  </si>
  <si>
    <t>Продукти харчування</t>
  </si>
  <si>
    <t>Оплата послуг (крім комунальних)</t>
  </si>
  <si>
    <t>Видатки на відрядження</t>
  </si>
  <si>
    <t>Оплата водопостачання та водовідведення</t>
  </si>
  <si>
    <t>Оплата електроенергії</t>
  </si>
  <si>
    <t>Оплата природного газу</t>
  </si>
  <si>
    <t>Оплата інших енергоносіїв та інших комунальних послуг</t>
  </si>
  <si>
    <t>Окремі заходи по реалізації державних (регіональних) програм, не віднесені до заходів розвитку</t>
  </si>
  <si>
    <t>Інші поточні видатки</t>
  </si>
  <si>
    <t>Придбання обладнання і предметів довгострокового користування</t>
  </si>
  <si>
    <t>Капітальний ремонт інших об`єктів</t>
  </si>
  <si>
    <t>Капітальний ремонт футбольного майданчика в Лукашівському НВК</t>
  </si>
  <si>
    <t>Оплата асенізаційних послуг</t>
  </si>
  <si>
    <t>Оплата водопостачання</t>
  </si>
  <si>
    <t>Оплата еклектроенергії</t>
  </si>
  <si>
    <t>Оплата експлуатаційних послуг з прибирання прилеглих територій</t>
  </si>
  <si>
    <t>Оплата експлуатаційних послуг, пов"язаних з утриманням будинків і споруд</t>
  </si>
  <si>
    <t>Оплата за обслуговування котелень шкіл</t>
  </si>
  <si>
    <t>Оплата за природний газ</t>
  </si>
  <si>
    <t>Оплата інших енергоносіїв</t>
  </si>
  <si>
    <t>Оплата навчання посадових осіб з видачею посвідчення</t>
  </si>
  <si>
    <t>Оплата оренди їдальні</t>
  </si>
  <si>
    <t>Оплата послуг дератизації, дезінфекції, дезінсекції</t>
  </si>
  <si>
    <t>Оплата послуг з благоустрою території</t>
  </si>
  <si>
    <t>Оплата послуг з доставки підручників</t>
  </si>
  <si>
    <t>Оплата послуг з доступу в режимі он-лайн до електронного засобу навчального призначення "Дидактичний мультимедійний контент для 1-х класів Нової української школи"</t>
  </si>
  <si>
    <t>Оплата послуг з медичного обслуговування</t>
  </si>
  <si>
    <t>Оплата послуг з охорони</t>
  </si>
  <si>
    <t>Оплата послуг з перезарядки картриджів, тонерів</t>
  </si>
  <si>
    <t>Оплата послуг з повірки лічильників</t>
  </si>
  <si>
    <t>Оплата послуг з поточного ремонту каналізаційної мережі Широківського ЗЗСО</t>
  </si>
  <si>
    <t>Оплата послуг з проведення енергетичного аудиту юудівлі та виготовлення енергопаспорту Володимирівського ЗЗСО "Успіх"</t>
  </si>
  <si>
    <t>Оплата послуг з промивки системи опалення</t>
  </si>
  <si>
    <t>Оплата послуг з технічного обслуговування котлів</t>
  </si>
  <si>
    <t>Оплата послуг з технічного обслуговування системи автоматичної пожежної сигналізації</t>
  </si>
  <si>
    <t>Оплата послуг із перевірки протипожежного стану димових та вентиляційних каналів</t>
  </si>
  <si>
    <t>Оплата послуг медичних закладів (медичний огляд)</t>
  </si>
  <si>
    <t>Оплата послуг мікродослідження води, піску, лабораторні обстеження харчових проб</t>
  </si>
  <si>
    <t>Оплата послуг монтажу охоронної системи</t>
  </si>
  <si>
    <t>Оплата послуг підвозу води</t>
  </si>
  <si>
    <t>Оплата послуг підвозу учнів</t>
  </si>
  <si>
    <t>Оплата послуг по перевірці протипожежоног стану установ</t>
  </si>
  <si>
    <t>Оплата послуг по перезарядці вогнегасників</t>
  </si>
  <si>
    <t>Оплата послуг пожежної охорони</t>
  </si>
  <si>
    <t>Оплата послуг поточного ремонту котла</t>
  </si>
  <si>
    <t>Оплата послуг проведення профвимірів</t>
  </si>
  <si>
    <t>Оплата послуг страхування, техогляд шкільного автобуса</t>
  </si>
  <si>
    <t>Оплата поточного ремонту ГРП, котельної</t>
  </si>
  <si>
    <t>Оплата поточного ремонту електромереж</t>
  </si>
  <si>
    <t>Оплата поточного ремонту з заміною димососу</t>
  </si>
  <si>
    <t>Оплата поточного ремонту приміщень</t>
  </si>
  <si>
    <t>Оплата ТО електроустановок</t>
  </si>
  <si>
    <t>Підтримка, матеріально-технічне забезпечення та розвиток функціональності інформаційно-обчислювальної системи ДКСУ (заходи з інформатизації)</t>
  </si>
  <si>
    <t>Придбання або передплата періодичних видань</t>
  </si>
  <si>
    <t>Придбання аптечок та їх поповнення</t>
  </si>
  <si>
    <t>Придбання бойлера, електросушарки</t>
  </si>
  <si>
    <t>Придбання будівельних матеріалів, інвентарю та інструментів</t>
  </si>
  <si>
    <t>Придбання вогнегасників</t>
  </si>
  <si>
    <t>Придбання водяного насосу</t>
  </si>
  <si>
    <t>Придбання електролічильника</t>
  </si>
  <si>
    <t>Придбання інтерактивних комплектів для Петропільського ОЗЗСО (кошти іншої субвенції з обласного бюджету)</t>
  </si>
  <si>
    <t>Придбання інтерактивного мультимедійного комплексу  для Лукашівського НВК (кошти іншої субвенції з обласного бюджету)</t>
  </si>
  <si>
    <t>Придбання інтерактивного мультимедійного комплексу для Петропільського ЗЗСО (депутатський фонд)</t>
  </si>
  <si>
    <t>Придбання інтерактивного мультимедійного комплексу у кількості 2 од. для Новопетрівської гімназії (кошти іншої субвенції з обласного бюджету)</t>
  </si>
  <si>
    <t>Придбання канцелярських преметів</t>
  </si>
  <si>
    <t>Придбання миючих засобів</t>
  </si>
  <si>
    <t>Придбання навчальних посібників "На крилах успіху"</t>
  </si>
  <si>
    <t>Придбання обладнання для харчоблоку (співфінансування)</t>
  </si>
  <si>
    <t>Придбання пально-мастильних матеріалів</t>
  </si>
  <si>
    <t>Придбання питної води</t>
  </si>
  <si>
    <t>Придбання підіймальної платформи для людей з інвалідністю для Петропільського ОЗЗСО (депутатський фонд)</t>
  </si>
  <si>
    <t>Придбання предметів довгострокового користування</t>
  </si>
  <si>
    <t>Придбання світильників</t>
  </si>
  <si>
    <t>Придбання теплообмінника</t>
  </si>
  <si>
    <t>Реалізація проекта-переможця "Громадський бюджет"</t>
  </si>
  <si>
    <t>Реконструкція системи водовідведення будівлі Відраднівського ЗЗСО</t>
  </si>
  <si>
    <t>Судові збори, штрафи, пені</t>
  </si>
  <si>
    <t>Сплата екологічного податку</t>
  </si>
  <si>
    <t>Навчання з питань охорони праці, цивільного захисту, теплогосподарства</t>
  </si>
  <si>
    <t>Оплата послуг адміністрування програмного забезпечення</t>
  </si>
  <si>
    <t>Оплата за послгуи Інтернет-провайдерів за користування мережою Інтернет</t>
  </si>
  <si>
    <t>Оплата послуг з поточного ремонту та технічного обслуговування комп'ютерної техніки та оргтехніки</t>
  </si>
  <si>
    <t>Придбання ел.плити, арочного металодетектору, водяного насосу</t>
  </si>
  <si>
    <t>Капітальний ремонт Петропільського ліцею</t>
  </si>
  <si>
    <t>Оплата послуг з встановлення джерел резервного живлення</t>
  </si>
  <si>
    <t>Оплата послуг з вивозу рідких побутових відходів</t>
  </si>
  <si>
    <t>затрат</t>
  </si>
  <si>
    <t xml:space="preserve">formula=RC[-16]+RC[-8]                          </t>
  </si>
  <si>
    <t>Кількість закладів освіти</t>
  </si>
  <si>
    <t>од.</t>
  </si>
  <si>
    <t>мережа бюджетних установ</t>
  </si>
  <si>
    <t>Кількість персоналу</t>
  </si>
  <si>
    <t>штатний розпис</t>
  </si>
  <si>
    <t>продукту</t>
  </si>
  <si>
    <t>Кількість учнів дошкільної ланки</t>
  </si>
  <si>
    <t>осіб</t>
  </si>
  <si>
    <t>звітність</t>
  </si>
  <si>
    <t>Кількість учнів шкільної ланки</t>
  </si>
  <si>
    <t>ефективності</t>
  </si>
  <si>
    <t>Діто-дні відвідування (дошкільна ланка)</t>
  </si>
  <si>
    <t>днів</t>
  </si>
  <si>
    <t>розрахунковий показник</t>
  </si>
  <si>
    <t>діто-дні відвідування (шкільна ланка)</t>
  </si>
  <si>
    <t>якості</t>
  </si>
  <si>
    <t>Кількість днів відвідування (дошкільна ланка)</t>
  </si>
  <si>
    <t>рішення сесії</t>
  </si>
  <si>
    <t>Кількість днів відвідування (шкільна ланка)</t>
  </si>
  <si>
    <t>Обов’язкові виплати, у тому числі:</t>
  </si>
  <si>
    <t>посадовий оклад</t>
  </si>
  <si>
    <t>доплати</t>
  </si>
  <si>
    <t>надбавки</t>
  </si>
  <si>
    <t>Матеріальна допомога, у тому числі:</t>
  </si>
  <si>
    <t>на оздоровлення при наданні щорічної відпустки</t>
  </si>
  <si>
    <t>у тому числі оплата праці  штатних одиниць за загальним фондом, що враховані також у спеціальному фонді</t>
  </si>
  <si>
    <t>030 - Спеціалісти</t>
  </si>
  <si>
    <t>070 - Робітники</t>
  </si>
  <si>
    <t>130 - Педагогічні працівники</t>
  </si>
  <si>
    <t>УСЬОГО штатних одиниць</t>
  </si>
  <si>
    <t>з них штатні одиниці за загальним фондом, що враховані також у спеціальному фонді</t>
  </si>
  <si>
    <t>Програма підтримки та розвитку комунального некомерційного підприємства "Місцева пожежно-рятувальна служба Широківської громади" Широківської сільської ради Запорізького району Запорізької області на 2024-2026 роки</t>
  </si>
  <si>
    <t>Рішення сільської ради від 20.12.2019 № 1</t>
  </si>
  <si>
    <t>Програма соціально-економічного та культурного розвитку Широківської сільської територіальної громади Запорізького району Запорізької області на 2021 рік</t>
  </si>
  <si>
    <t>Рішення сільської ради від 24.12.2020 № 1</t>
  </si>
  <si>
    <t>Забезпечення надання послуг з повної загальної середньої освіти в денних закладах загальної середньої освіти</t>
  </si>
  <si>
    <t>Забезпечення надання відповідних послуг денними закладами загальної середньої освіти</t>
  </si>
  <si>
    <t>Конституція України;_x000D_
 Бюджетний кодекс України;_x000D_
 Постанова Кабінету Міністрів України від 31.05.2021 № 548 "Про схвалення Бюджетної декларації на 2022-2024 роки";_x000D_
 Наказ Міністерства фінансів України від 03.06.2021 № 365 "Про затвердження Методичних рекомендацій щодо здійснення підготовки пропозицій до прогнозу місцевого бюджету";_x000D_
 Наказ Міністерства фінансів Українивід 26.08.2014 № 836 "Про деякі питанння запровадження програмно-цільового методу складання та виконання місцевих бюджетів" (із змінами);_x000D_
 Наказ Міністерства фінансів України від 20.09.2017 № 793 "Про затвердження складових програмної класифікації видатків та кредитування місцевих бюджетів" (із змінами);_x000D_
 Наказ Міністерства освіти та науки України від10.07.2017 № 992 "Про затвердження типового переліку бюджетних програм та результативних показників їх виконання для місцевих бюджетів у галузі "Освіта" (із змінами);_x000D_
Закон України "Про місцеве самоврядування в Україні"</t>
  </si>
  <si>
    <t>Метою даної бюджетної програми є забезпечення рівного доступу кожного учня до якісної загальної середньої освіти враховуючи особистісне зростання кожної дитини з урахуванням її здібностей, індивідуальних психічних, фізичних особливостей на основі компетентісного підходу. _x000D_
_x000D_
Впродовж 2023 року проводяться  поточні ремонти приміщень закладів освіти, поточний ремонт каналізаційних мереж, благоустрій території, придбано обладнання для харчоблоків._x000D_
_x000D_
З метою реалізації заходів бюджетної програми необхідно продовжувати її фінансування в 2024 році для виконання визначених бюджетною програмою мети та завдань згідно до напрямків діяльності. Розрахунок видатків на 2024 рік забезпечить діяльність закладів загальної середньої освіти необхідними ресурсами та надасть можливість виконувати повноваження в повному обсязі.</t>
  </si>
  <si>
    <t>Відповідно до положень статті 48 Бюджетного кодексу України із змінами сільською радою реєструються бюджетні зобов’язання та здійснюються платежі тільки в межах бюджетних асигнувань, затверджених кошторисом на 2023 рік. Бюджетні зобов’язання реєструються в Управлінні Державної казначейської служби України у Запорізькому районі відповідно до вимог чинного бюджетного законодавства.</t>
  </si>
  <si>
    <t>(0)(1)</t>
  </si>
  <si>
    <t>Широкiвська сiльська рада Запорiзького району Запорiзької областi</t>
  </si>
  <si>
    <t>Керівник установи</t>
  </si>
  <si>
    <t>Керівник фінансової служби</t>
  </si>
  <si>
    <t>Коротенко Д. О.</t>
  </si>
  <si>
    <t>Свіріна О. О.</t>
  </si>
  <si>
    <t>26013402</t>
  </si>
  <si>
    <t>0852300000</t>
  </si>
  <si>
    <t>(грн)</t>
  </si>
  <si>
    <t>2022 рік (звіт)</t>
  </si>
  <si>
    <t>1) кредиторська заборгованість місцевого бюджету у 2022 році:</t>
  </si>
  <si>
    <t>Дебіторська заборгованість на 01.01.2022</t>
  </si>
  <si>
    <t>2023 рік (затверджено)</t>
  </si>
  <si>
    <t>2023 рік (план)</t>
  </si>
  <si>
    <t>2023 рік</t>
  </si>
  <si>
    <t>3) дебіторська заборгованість у 2022 - 2023 роках:</t>
  </si>
  <si>
    <t>Дебіторська заборгованість на 01.01.2023</t>
  </si>
  <si>
    <t>4) аналіз управління бюджетними зобов'язаннями та пропозиції щодо упорядкування бюджетних зобов'язань у 2023 році.</t>
  </si>
  <si>
    <t>внаслідок використання коштів спеціального фонду бюджету у 2022 році, та очікувані результати у 2023 році.</t>
  </si>
  <si>
    <t>1) надходження для виконання бюджетної програми у 2022 - 2024 роках:</t>
  </si>
  <si>
    <t>2024 рік (проект)</t>
  </si>
  <si>
    <t>1) видатки за кодами Економічної класифікації видатків бюджету у 2022 - 2024 роках:</t>
  </si>
  <si>
    <t>2) надання кредитів за кодами Класифікації кредитування бюджету у 2022 - 2024 роках:</t>
  </si>
  <si>
    <t>1) витрати за напрямами використання бюджетних коштів у 2022 - 2024 роках:</t>
  </si>
  <si>
    <t>1) результативні показники бюджетної програми у 2022 - 2024 роках:</t>
  </si>
  <si>
    <t>2024 рік</t>
  </si>
  <si>
    <t>1) місцеві/регіональні програми, які виконуються в межах бюджетної програми у 2022 - 2024 роках:</t>
  </si>
  <si>
    <t>14. Бюджетні зобов’язання у 2022 - 2024 роках:</t>
  </si>
  <si>
    <t xml:space="preserve">2) кредиторська заборгованість місцевого бюджету у 2023 - 2024 роках: </t>
  </si>
  <si>
    <t>Очікувана дебіторська заборгованость  на 01.01.2024</t>
  </si>
  <si>
    <t>2025 рік (прогноз)</t>
  </si>
  <si>
    <t>2025 рік</t>
  </si>
  <si>
    <t>БЮДЖЕТНИЙ ЗАПИТ НА 2024-2026 РОКИ індивідуальний (Форма 2024-2)</t>
  </si>
  <si>
    <t>4. Мета та завдання бюджетної програми на 2024 - 2026 роки</t>
  </si>
  <si>
    <t>2) надходження для виконання бюджетної програми  у 2025 - 2026 роках:</t>
  </si>
  <si>
    <t>2026 рік (прогноз)</t>
  </si>
  <si>
    <t>3) видатки за кодами Економічної класифікації видатків бюджету у 2025 - 2026 роках:</t>
  </si>
  <si>
    <t>4) надання кредитів за кодами Класифікації кредитування бюджету у 2025 - 2026 роках:</t>
  </si>
  <si>
    <t>2) витрати за напрямами використання бюджетних коштів у 2025 - 2026 роках:</t>
  </si>
  <si>
    <t>2) результативні показники бюджетної програми у 2025 - 2026 роках:</t>
  </si>
  <si>
    <t xml:space="preserve">2026 рік </t>
  </si>
  <si>
    <t>2) місцеві/регіональні програми, які виконуються в межах бюджетної програми у 2025 - 2026 роках:</t>
  </si>
  <si>
    <t>12. Об’єкти, які виконуються в межах бюджетної програми за рахунок коштів бюджету розвитку у 2022 - 2026 роках:</t>
  </si>
  <si>
    <t>13. Аналіз результатів, досягнутих внаслідок використання коштів загального фонду бюджету у 2022 році, очікувані результати у 
2023 році, обґрунтування необхідності передбачення витрат кредитів на 2024 - 2026 роки</t>
  </si>
  <si>
    <t xml:space="preserve"> 15. Підстави та обґрунтування видатків спеціального фонду на 2024 рік та на 2025 - 2026 роки за рахунок надходжень до спеціального фонду, аналіз результатів, досягнутих </t>
  </si>
  <si>
    <t>(0)(1)(1)(1)(0)(2)(1)</t>
  </si>
  <si>
    <t>(1)(0)(2)(1)</t>
  </si>
  <si>
    <t>(0)(9)(2)(1)</t>
  </si>
  <si>
    <t>Надання загальної середньої освіти закладами загальної середньої освіти за рахунок коштів місцевого бюджету</t>
  </si>
  <si>
    <t>Широківська сільська рада Запорізького району Запорізької області</t>
  </si>
  <si>
    <t>(0)(1)(1)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</si>
</sst>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82" formatCode="#0.00"/>
  </numFmts>
  <fonts count="18" x14ac:knownFonts="1">
    <font>
      <sz val="10"/>
      <name val="Arial Cyr"/>
      <charset val="204"/>
    </font>
    <font>
      <sz val="10"/>
      <name val="Arial Cyr"/>
      <charset val="204"/>
    </font>
    <font>
      <sz val="11"/>
      <name val="Times New Roman"/>
      <family val="1"/>
      <charset val="204"/>
    </font>
    <font>
      <b/>
      <sz val="11"/>
      <name val="Times New Roman"/>
      <family val="1"/>
      <charset val="204"/>
    </font>
    <font>
      <b/>
      <sz val="10"/>
      <name val="Arial Cyr"/>
      <charset val="204"/>
    </font>
    <font>
      <sz val="8"/>
      <name val="Arial CYR"/>
      <charset val="204"/>
    </font>
    <font>
      <sz val="8"/>
      <name val="Times New Roman"/>
      <family val="1"/>
      <charset val="204"/>
    </font>
    <font>
      <sz val="8"/>
      <name val="Times New Roman CYR"/>
      <charset val="204"/>
    </font>
    <font>
      <b/>
      <sz val="12"/>
      <name val="Times New Roman"/>
      <family val="1"/>
      <charset val="204"/>
    </font>
    <font>
      <sz val="10"/>
      <name val="Times New Roman"/>
      <family val="1"/>
      <charset val="204"/>
    </font>
    <font>
      <b/>
      <u/>
      <sz val="11"/>
      <name val="Times New Roman"/>
      <family val="1"/>
    </font>
    <font>
      <b/>
      <sz val="11"/>
      <name val="Times New Roman"/>
      <family val="1"/>
    </font>
    <font>
      <b/>
      <sz val="11"/>
      <name val="Times New Roman CYR"/>
      <family val="1"/>
      <charset val="204"/>
    </font>
    <font>
      <sz val="11"/>
      <name val="Times New Roman"/>
      <family val="1"/>
    </font>
    <font>
      <sz val="10"/>
      <name val="Arial Cyr"/>
      <charset val="204"/>
    </font>
    <font>
      <sz val="11"/>
      <name val="Times New Roman CYR"/>
      <family val="1"/>
      <charset val="204"/>
    </font>
    <font>
      <sz val="8"/>
      <name val="Times New Roman"/>
      <family val="1"/>
    </font>
    <font>
      <b/>
      <sz val="8"/>
      <name val="Arial Cyr"/>
      <charset val="204"/>
    </font>
  </fonts>
  <fills count="2">
    <fill>
      <patternFill patternType="none"/>
    </fill>
    <fill>
      <patternFill patternType="gray125"/>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1">
    <xf numFmtId="0" fontId="0" fillId="0" borderId="0"/>
  </cellStyleXfs>
  <cellXfs count="134">
    <xf numFmtId="0" fontId="0" fillId="0" borderId="0" xfId="0"/>
    <xf numFmtId="0" fontId="1" fillId="0" borderId="0" xfId="0" applyFont="1"/>
    <xf numFmtId="0" fontId="2" fillId="0" borderId="0" xfId="0" applyFont="1" applyAlignment="1">
      <alignment horizontal="left" vertical="center" wrapText="1"/>
    </xf>
    <xf numFmtId="0" fontId="3" fillId="0" borderId="0" xfId="0" applyFont="1" applyAlignment="1">
      <alignment vertical="center" wrapText="1"/>
    </xf>
    <xf numFmtId="0" fontId="0" fillId="0" borderId="0" xfId="0" applyAlignment="1">
      <alignment vertical="center"/>
    </xf>
    <xf numFmtId="0" fontId="1" fillId="0" borderId="0" xfId="0" applyFont="1" applyAlignment="1">
      <alignment vertical="center"/>
    </xf>
    <xf numFmtId="0" fontId="4" fillId="0" borderId="0" xfId="0" applyFont="1" applyAlignment="1">
      <alignment vertical="center"/>
    </xf>
    <xf numFmtId="0" fontId="7" fillId="0" borderId="0" xfId="0" applyFont="1" applyAlignment="1">
      <alignment horizontal="center" vertical="top" wrapText="1"/>
    </xf>
    <xf numFmtId="0" fontId="10" fillId="0" borderId="0" xfId="0" applyFont="1" applyAlignment="1">
      <alignment horizontal="center" vertical="center" wrapText="1"/>
    </xf>
    <xf numFmtId="0" fontId="3" fillId="0" borderId="0" xfId="0" applyFont="1" applyAlignment="1">
      <alignment horizontal="left" vertical="center" wrapText="1"/>
    </xf>
    <xf numFmtId="0" fontId="6" fillId="0" borderId="0" xfId="0" applyFont="1" applyAlignment="1">
      <alignment horizontal="right" vertical="center" wrapText="1"/>
    </xf>
    <xf numFmtId="0" fontId="12" fillId="0" borderId="0" xfId="0" applyFont="1" applyAlignment="1">
      <alignment horizontal="center" vertical="center" wrapText="1"/>
    </xf>
    <xf numFmtId="0" fontId="13" fillId="0" borderId="0" xfId="0" applyFont="1" applyBorder="1" applyAlignment="1">
      <alignment horizontal="center" vertical="center"/>
    </xf>
    <xf numFmtId="0" fontId="7" fillId="0" borderId="0" xfId="0" applyFont="1" applyBorder="1" applyAlignment="1">
      <alignment horizontal="center" vertical="top"/>
    </xf>
    <xf numFmtId="0" fontId="14" fillId="0" borderId="0" xfId="0" applyFont="1" applyBorder="1" applyAlignment="1"/>
    <xf numFmtId="0" fontId="11" fillId="0" borderId="0" xfId="0" applyFont="1" applyBorder="1" applyAlignment="1">
      <alignment horizontal="center" vertical="center"/>
    </xf>
    <xf numFmtId="0" fontId="0" fillId="0" borderId="0" xfId="0" applyBorder="1" applyAlignment="1"/>
    <xf numFmtId="0" fontId="1" fillId="0" borderId="0" xfId="0" applyFont="1" applyBorder="1" applyAlignment="1">
      <alignment horizontal="center" vertical="center" wrapText="1"/>
    </xf>
    <xf numFmtId="3" fontId="1" fillId="0" borderId="0" xfId="0" applyNumberFormat="1" applyFont="1" applyBorder="1" applyAlignment="1">
      <alignment horizontal="right" vertical="center" wrapText="1"/>
    </xf>
    <xf numFmtId="0" fontId="6" fillId="0" borderId="0" xfId="0" applyFont="1" applyFill="1" applyBorder="1" applyAlignment="1">
      <alignment horizontal="center" vertical="center" wrapText="1"/>
    </xf>
    <xf numFmtId="0" fontId="11" fillId="0" borderId="0" xfId="0" applyFont="1" applyBorder="1" applyAlignment="1">
      <alignment horizontal="left" vertical="center" wrapText="1"/>
    </xf>
    <xf numFmtId="0" fontId="7" fillId="0" borderId="0" xfId="0" applyFont="1" applyAlignment="1">
      <alignment horizontal="center" vertical="top"/>
    </xf>
    <xf numFmtId="0" fontId="1" fillId="0" borderId="0" xfId="0" applyFont="1" applyAlignment="1">
      <alignment horizontal="center" vertical="center"/>
    </xf>
    <xf numFmtId="0" fontId="2" fillId="0" borderId="0" xfId="0" applyFont="1" applyAlignment="1">
      <alignment horizontal="center" vertical="center"/>
    </xf>
    <xf numFmtId="0" fontId="16" fillId="0" borderId="0" xfId="0" applyFont="1" applyBorder="1" applyAlignment="1">
      <alignment horizontal="center" vertical="center"/>
    </xf>
    <xf numFmtId="0" fontId="6" fillId="0" borderId="0" xfId="0" applyFont="1" applyAlignment="1">
      <alignment horizontal="center" vertical="top" wrapText="1"/>
    </xf>
    <xf numFmtId="0" fontId="1" fillId="0" borderId="5" xfId="0" applyFont="1" applyBorder="1" applyAlignment="1">
      <alignment horizontal="center" vertical="center" wrapText="1"/>
    </xf>
    <xf numFmtId="0" fontId="2" fillId="0" borderId="5" xfId="0" applyFont="1" applyBorder="1" applyAlignment="1">
      <alignment horizontal="center" vertical="center" wrapText="1"/>
    </xf>
    <xf numFmtId="0" fontId="16" fillId="0" borderId="7" xfId="0" applyFont="1" applyBorder="1" applyAlignment="1">
      <alignment horizontal="center" vertical="center"/>
    </xf>
    <xf numFmtId="0" fontId="3" fillId="0" borderId="0" xfId="0" applyFont="1" applyAlignment="1">
      <alignment horizontal="left" vertical="center" wrapText="1"/>
    </xf>
    <xf numFmtId="182" fontId="1" fillId="0" borderId="5" xfId="0" applyNumberFormat="1" applyFont="1" applyBorder="1" applyAlignment="1">
      <alignment horizontal="center" vertical="center" wrapText="1"/>
    </xf>
    <xf numFmtId="0" fontId="2" fillId="0" borderId="0" xfId="0" applyFont="1" applyAlignment="1">
      <alignment horizontal="right" vertical="center" wrapText="1"/>
    </xf>
    <xf numFmtId="0" fontId="3" fillId="0" borderId="0" xfId="0" applyFont="1" applyAlignment="1">
      <alignment horizontal="center" vertical="center" wrapText="1"/>
    </xf>
    <xf numFmtId="0" fontId="7" fillId="0" borderId="0" xfId="0" applyFont="1" applyAlignment="1">
      <alignment horizontal="center" vertical="top" wrapText="1"/>
    </xf>
    <xf numFmtId="0" fontId="3" fillId="0" borderId="0" xfId="0" applyFont="1" applyAlignment="1">
      <alignment vertical="center" wrapText="1"/>
    </xf>
    <xf numFmtId="0" fontId="11" fillId="0" borderId="6"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6" xfId="0" applyFont="1" applyBorder="1" applyAlignment="1">
      <alignment horizontal="center" vertical="center"/>
    </xf>
    <xf numFmtId="0" fontId="2" fillId="0" borderId="6" xfId="0" applyFont="1" applyBorder="1" applyAlignment="1">
      <alignment horizontal="center" vertical="center"/>
    </xf>
    <xf numFmtId="0" fontId="2" fillId="0" borderId="6" xfId="0" applyFont="1" applyBorder="1" applyAlignment="1">
      <alignment horizontal="right" vertical="center" wrapText="1"/>
    </xf>
    <xf numFmtId="0" fontId="7" fillId="0" borderId="7" xfId="0" applyFont="1" applyBorder="1" applyAlignment="1">
      <alignment horizontal="center" vertical="top" wrapText="1"/>
    </xf>
    <xf numFmtId="0" fontId="6" fillId="0" borderId="7" xfId="0" applyFont="1" applyFill="1" applyBorder="1" applyAlignment="1">
      <alignment horizontal="center" vertical="center" wrapText="1"/>
    </xf>
    <xf numFmtId="182" fontId="4" fillId="0" borderId="1" xfId="0" applyNumberFormat="1" applyFont="1" applyBorder="1" applyAlignment="1">
      <alignment horizontal="center" vertical="center" wrapText="1"/>
    </xf>
    <xf numFmtId="182" fontId="4" fillId="0" borderId="2" xfId="0" applyNumberFormat="1" applyFont="1" applyBorder="1" applyAlignment="1">
      <alignment horizontal="center" vertical="center" wrapText="1"/>
    </xf>
    <xf numFmtId="182" fontId="4" fillId="0" borderId="3" xfId="0" applyNumberFormat="1" applyFont="1" applyBorder="1" applyAlignment="1">
      <alignment horizontal="center" vertical="center" wrapText="1"/>
    </xf>
    <xf numFmtId="182" fontId="4" fillId="0" borderId="5" xfId="0" applyNumberFormat="1" applyFont="1" applyBorder="1" applyAlignment="1">
      <alignment horizontal="center" vertical="center" wrapText="1"/>
    </xf>
    <xf numFmtId="0" fontId="2" fillId="0" borderId="8" xfId="0" applyFont="1" applyBorder="1" applyAlignment="1">
      <alignment horizontal="center" vertical="center" wrapText="1"/>
    </xf>
    <xf numFmtId="0" fontId="2" fillId="0" borderId="7"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6" xfId="0" applyFont="1" applyBorder="1" applyAlignment="1">
      <alignment horizontal="center" vertical="center" wrapText="1"/>
    </xf>
    <xf numFmtId="0" fontId="2" fillId="0" borderId="11" xfId="0" applyFont="1" applyBorder="1" applyAlignment="1">
      <alignment horizontal="center" vertical="center" wrapText="1"/>
    </xf>
    <xf numFmtId="0" fontId="9" fillId="0" borderId="1" xfId="0" applyFont="1" applyBorder="1" applyAlignment="1">
      <alignment horizontal="center" vertical="center" wrapText="1"/>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2" fillId="0" borderId="0" xfId="0" applyFont="1" applyAlignment="1">
      <alignment horizontal="left" vertical="center" wrapText="1"/>
    </xf>
    <xf numFmtId="0" fontId="9" fillId="0" borderId="8" xfId="0" applyFont="1" applyBorder="1" applyAlignment="1">
      <alignment horizontal="center" vertical="center" wrapText="1"/>
    </xf>
    <xf numFmtId="0" fontId="9" fillId="0" borderId="7" xfId="0" applyFont="1" applyBorder="1" applyAlignment="1">
      <alignment horizontal="center" vertical="center" wrapText="1"/>
    </xf>
    <xf numFmtId="0" fontId="9" fillId="0" borderId="9"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6" xfId="0" applyFont="1" applyBorder="1" applyAlignment="1">
      <alignment horizontal="center" vertical="center" wrapText="1"/>
    </xf>
    <xf numFmtId="0" fontId="9" fillId="0" borderId="11" xfId="0" applyFont="1" applyBorder="1" applyAlignment="1">
      <alignment horizontal="center" vertical="center" wrapText="1"/>
    </xf>
    <xf numFmtId="0" fontId="1" fillId="0" borderId="5" xfId="0" applyFont="1" applyBorder="1" applyAlignment="1">
      <alignment horizontal="left" vertical="center" wrapText="1"/>
    </xf>
    <xf numFmtId="0" fontId="1" fillId="0" borderId="10"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1" xfId="0" applyFont="1" applyBorder="1" applyAlignment="1">
      <alignment horizontal="center" vertical="center" wrapText="1"/>
    </xf>
    <xf numFmtId="0" fontId="2" fillId="0" borderId="4" xfId="0" applyFont="1" applyBorder="1" applyAlignment="1">
      <alignment horizontal="center" vertical="center" wrapText="1"/>
    </xf>
    <xf numFmtId="0" fontId="2" fillId="0" borderId="0" xfId="0" applyFont="1" applyBorder="1" applyAlignment="1">
      <alignment horizontal="center" vertical="center" wrapText="1"/>
    </xf>
    <xf numFmtId="0" fontId="2" fillId="0" borderId="12" xfId="0" applyFont="1" applyBorder="1" applyAlignment="1">
      <alignment horizontal="center" vertical="center" wrapText="1"/>
    </xf>
    <xf numFmtId="0" fontId="9" fillId="0" borderId="5" xfId="0" applyFont="1" applyBorder="1" applyAlignment="1">
      <alignment horizontal="center" vertical="center" wrapText="1"/>
    </xf>
    <xf numFmtId="0" fontId="2" fillId="0" borderId="0" xfId="0" applyFont="1" applyBorder="1" applyAlignment="1">
      <alignment horizontal="right" vertical="center" wrapText="1"/>
    </xf>
    <xf numFmtId="0" fontId="0" fillId="0" borderId="2" xfId="0" applyBorder="1"/>
    <xf numFmtId="0" fontId="0" fillId="0" borderId="3" xfId="0" applyBorder="1"/>
    <xf numFmtId="0" fontId="1" fillId="0" borderId="5" xfId="0" applyNumberFormat="1" applyFont="1" applyBorder="1" applyAlignment="1">
      <alignment horizontal="center" vertical="center" wrapText="1"/>
    </xf>
    <xf numFmtId="0" fontId="3" fillId="0" borderId="0" xfId="0" applyFont="1" applyFill="1" applyAlignment="1">
      <alignment horizontal="left" vertical="center" wrapText="1"/>
    </xf>
    <xf numFmtId="0" fontId="6" fillId="0" borderId="0" xfId="0" applyFont="1" applyAlignment="1">
      <alignment horizontal="left" vertical="center" wrapText="1"/>
    </xf>
    <xf numFmtId="0" fontId="8" fillId="0" borderId="0" xfId="0" applyFont="1" applyAlignment="1">
      <alignment horizontal="left"/>
    </xf>
    <xf numFmtId="0" fontId="1" fillId="0" borderId="1" xfId="0" applyNumberFormat="1" applyFont="1" applyBorder="1" applyAlignment="1">
      <alignment horizontal="center" vertical="center" wrapText="1"/>
    </xf>
    <xf numFmtId="0" fontId="1" fillId="0" borderId="2" xfId="0" applyNumberFormat="1" applyFont="1" applyBorder="1" applyAlignment="1">
      <alignment horizontal="center" vertical="center" wrapText="1"/>
    </xf>
    <xf numFmtId="0" fontId="1" fillId="0" borderId="3" xfId="0" applyNumberFormat="1" applyFont="1" applyBorder="1" applyAlignment="1">
      <alignment horizontal="center" vertical="center" wrapText="1"/>
    </xf>
    <xf numFmtId="0" fontId="4" fillId="0" borderId="5" xfId="0" applyFont="1" applyBorder="1" applyAlignment="1">
      <alignment horizontal="center"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0" fillId="0" borderId="1" xfId="0" applyFont="1" applyBorder="1" applyAlignment="1">
      <alignment horizontal="center" vertical="center" wrapText="1"/>
    </xf>
    <xf numFmtId="0" fontId="0" fillId="0" borderId="2" xfId="0" applyFont="1" applyBorder="1" applyAlignment="1">
      <alignment horizontal="center" vertical="center" wrapText="1"/>
    </xf>
    <xf numFmtId="0" fontId="0" fillId="0" borderId="3" xfId="0" applyFont="1" applyBorder="1" applyAlignment="1">
      <alignment horizontal="center" vertical="center" wrapText="1"/>
    </xf>
    <xf numFmtId="0" fontId="0" fillId="0" borderId="1" xfId="0" applyFont="1" applyBorder="1" applyAlignment="1">
      <alignment horizontal="center" vertical="top" wrapText="1"/>
    </xf>
    <xf numFmtId="0" fontId="0" fillId="0" borderId="2" xfId="0" applyFont="1" applyBorder="1" applyAlignment="1">
      <alignment horizontal="center" vertical="top" wrapText="1"/>
    </xf>
    <xf numFmtId="0" fontId="0" fillId="0" borderId="3" xfId="0" applyFont="1" applyBorder="1" applyAlignment="1">
      <alignment horizontal="center" vertical="top" wrapText="1"/>
    </xf>
    <xf numFmtId="3" fontId="0" fillId="0" borderId="5" xfId="0" applyNumberFormat="1" applyFont="1" applyBorder="1" applyAlignment="1">
      <alignment horizontal="center" vertical="center" wrapText="1"/>
    </xf>
    <xf numFmtId="3" fontId="0" fillId="0" borderId="1" xfId="0" applyNumberFormat="1" applyFont="1" applyBorder="1" applyAlignment="1">
      <alignment horizontal="center" vertical="center" wrapText="1"/>
    </xf>
    <xf numFmtId="3" fontId="0" fillId="0" borderId="2" xfId="0" applyNumberFormat="1" applyFont="1" applyBorder="1" applyAlignment="1">
      <alignment horizontal="center" vertical="center" wrapText="1"/>
    </xf>
    <xf numFmtId="3" fontId="0" fillId="0" borderId="3" xfId="0" applyNumberFormat="1" applyFont="1" applyBorder="1" applyAlignment="1">
      <alignment horizontal="center" vertical="center" wrapText="1"/>
    </xf>
    <xf numFmtId="0" fontId="0" fillId="0" borderId="0" xfId="0" applyFont="1" applyAlignment="1">
      <alignment vertical="center"/>
    </xf>
    <xf numFmtId="0" fontId="4" fillId="0" borderId="1" xfId="0" applyFont="1" applyBorder="1" applyAlignment="1">
      <alignment horizontal="center" vertical="top" wrapText="1"/>
    </xf>
    <xf numFmtId="0" fontId="4" fillId="0" borderId="2" xfId="0" applyFont="1" applyBorder="1" applyAlignment="1">
      <alignment horizontal="center" vertical="top" wrapText="1"/>
    </xf>
    <xf numFmtId="0" fontId="4" fillId="0" borderId="3" xfId="0" applyFont="1" applyBorder="1" applyAlignment="1">
      <alignment horizontal="center" vertical="top" wrapText="1"/>
    </xf>
    <xf numFmtId="3" fontId="4" fillId="0" borderId="5" xfId="0" applyNumberFormat="1" applyFont="1" applyBorder="1" applyAlignment="1">
      <alignment horizontal="center" vertical="center" wrapText="1"/>
    </xf>
    <xf numFmtId="3" fontId="4" fillId="0" borderId="1" xfId="0" applyNumberFormat="1" applyFont="1" applyBorder="1" applyAlignment="1">
      <alignment horizontal="center" vertical="center" wrapText="1"/>
    </xf>
    <xf numFmtId="3" fontId="4" fillId="0" borderId="2" xfId="0" applyNumberFormat="1" applyFont="1" applyBorder="1" applyAlignment="1">
      <alignment horizontal="center" vertical="center" wrapText="1"/>
    </xf>
    <xf numFmtId="3" fontId="4" fillId="0" borderId="3" xfId="0" applyNumberFormat="1" applyFont="1" applyBorder="1" applyAlignment="1">
      <alignment horizontal="center" vertical="center" wrapText="1"/>
    </xf>
    <xf numFmtId="3" fontId="4" fillId="0" borderId="1" xfId="0" applyNumberFormat="1" applyFont="1" applyBorder="1" applyAlignment="1">
      <alignment horizontal="right" vertical="center" wrapText="1"/>
    </xf>
    <xf numFmtId="3" fontId="4" fillId="0" borderId="2" xfId="0" applyNumberFormat="1" applyFont="1" applyBorder="1" applyAlignment="1">
      <alignment horizontal="right" vertical="center" wrapText="1"/>
    </xf>
    <xf numFmtId="3" fontId="4" fillId="0" borderId="3" xfId="0" applyNumberFormat="1" applyFont="1" applyBorder="1" applyAlignment="1">
      <alignment horizontal="right" vertical="center" wrapText="1"/>
    </xf>
    <xf numFmtId="0" fontId="0" fillId="0" borderId="5" xfId="0" applyFont="1" applyBorder="1" applyAlignment="1">
      <alignment horizontal="center" vertical="center" wrapText="1"/>
    </xf>
    <xf numFmtId="0" fontId="3" fillId="0" borderId="5" xfId="0" applyFont="1" applyBorder="1" applyAlignment="1">
      <alignment horizontal="center" vertical="center" wrapText="1"/>
    </xf>
    <xf numFmtId="0" fontId="4" fillId="0" borderId="5" xfId="0" applyNumberFormat="1" applyFont="1" applyBorder="1" applyAlignment="1">
      <alignment horizontal="right" vertical="center" wrapText="1"/>
    </xf>
    <xf numFmtId="0" fontId="3" fillId="0" borderId="1" xfId="0" applyFont="1" applyBorder="1" applyAlignment="1">
      <alignment horizontal="center" vertical="top" wrapText="1"/>
    </xf>
    <xf numFmtId="0" fontId="2" fillId="0" borderId="1" xfId="0" applyFont="1" applyBorder="1" applyAlignment="1">
      <alignment horizontal="center" vertical="top" wrapText="1"/>
    </xf>
    <xf numFmtId="0" fontId="0" fillId="0" borderId="5" xfId="0" applyNumberFormat="1" applyFont="1" applyBorder="1" applyAlignment="1">
      <alignment horizontal="right" vertical="center" wrapText="1"/>
    </xf>
    <xf numFmtId="3" fontId="4" fillId="0" borderId="5" xfId="0" applyNumberFormat="1" applyFont="1" applyBorder="1" applyAlignment="1">
      <alignment horizontal="right" vertical="center" wrapText="1"/>
    </xf>
    <xf numFmtId="3" fontId="0" fillId="0" borderId="5" xfId="0" applyNumberFormat="1" applyFont="1" applyBorder="1" applyAlignment="1">
      <alignment horizontal="right" vertical="center" wrapText="1"/>
    </xf>
    <xf numFmtId="0" fontId="5" fillId="0" borderId="1" xfId="0" applyFont="1" applyBorder="1" applyAlignment="1">
      <alignment horizontal="center" vertical="top" wrapText="1"/>
    </xf>
    <xf numFmtId="0" fontId="17" fillId="0" borderId="1" xfId="0" applyFont="1" applyBorder="1" applyAlignment="1">
      <alignment horizontal="center" vertical="top" wrapText="1"/>
    </xf>
    <xf numFmtId="0" fontId="4" fillId="0" borderId="5" xfId="0" applyFont="1" applyBorder="1" applyAlignment="1">
      <alignment horizontal="left" vertical="center" wrapText="1"/>
    </xf>
    <xf numFmtId="1" fontId="4" fillId="0" borderId="5" xfId="0" applyNumberFormat="1" applyFont="1" applyBorder="1" applyAlignment="1">
      <alignment horizontal="center" vertical="center" wrapText="1"/>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2" fillId="0" borderId="0" xfId="0" quotePrefix="1" applyFont="1" applyAlignment="1">
      <alignment horizontal="left" vertical="top" wrapText="1"/>
    </xf>
    <xf numFmtId="0" fontId="0" fillId="0" borderId="0" xfId="0" applyAlignment="1">
      <alignment horizontal="left" vertical="top" wrapText="1"/>
    </xf>
    <xf numFmtId="0" fontId="12" fillId="0" borderId="6" xfId="0" quotePrefix="1" applyFont="1" applyBorder="1" applyAlignment="1">
      <alignment horizontal="left" vertical="top" wrapText="1"/>
    </xf>
    <xf numFmtId="0" fontId="0" fillId="0" borderId="6" xfId="0" applyBorder="1" applyAlignment="1">
      <alignment horizontal="left" vertical="top" wrapText="1"/>
    </xf>
    <xf numFmtId="0" fontId="3" fillId="0" borderId="0" xfId="0" quotePrefix="1" applyFont="1" applyAlignment="1">
      <alignment horizontal="left" vertical="top" wrapText="1"/>
    </xf>
    <xf numFmtId="0" fontId="15" fillId="0" borderId="6" xfId="0" quotePrefix="1" applyFont="1" applyBorder="1" applyAlignment="1">
      <alignment horizontal="left" vertical="top" wrapText="1"/>
    </xf>
    <xf numFmtId="0" fontId="13" fillId="0" borderId="6" xfId="0" quotePrefix="1" applyFont="1" applyBorder="1" applyAlignment="1">
      <alignment horizontal="left" vertical="top" wrapText="1"/>
    </xf>
    <xf numFmtId="0" fontId="11" fillId="0" borderId="6" xfId="0" quotePrefix="1" applyFont="1" applyBorder="1" applyAlignment="1">
      <alignment horizontal="center" vertical="center" wrapText="1"/>
    </xf>
    <xf numFmtId="0" fontId="11" fillId="0" borderId="6" xfId="0" quotePrefix="1" applyFont="1" applyBorder="1" applyAlignment="1">
      <alignment horizontal="left" vertical="top" wrapText="1"/>
    </xf>
  </cellXfs>
  <cellStyles count="1">
    <cellStyle name="Обычный" xfId="0" builtinId="0"/>
  </cellStyles>
  <dxfs count="210">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A432"/>
  <sheetViews>
    <sheetView tabSelected="1" topLeftCell="A88" zoomScaleNormal="100" workbookViewId="0"/>
  </sheetViews>
  <sheetFormatPr defaultRowHeight="12.75" x14ac:dyDescent="0.2"/>
  <cols>
    <col min="1" max="78" width="2.85546875" customWidth="1"/>
    <col min="79" max="79" width="4" hidden="1" customWidth="1"/>
  </cols>
  <sheetData>
    <row r="1" spans="1:79" ht="57.75" customHeight="1" x14ac:dyDescent="0.2">
      <c r="A1" s="10"/>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80" t="s">
        <v>115</v>
      </c>
      <c r="BO1" s="80"/>
      <c r="BP1" s="80"/>
      <c r="BQ1" s="80"/>
      <c r="BR1" s="80"/>
      <c r="BS1" s="80"/>
      <c r="BT1" s="80"/>
      <c r="BU1" s="80"/>
      <c r="BV1" s="80"/>
      <c r="BW1" s="80"/>
      <c r="BX1" s="80"/>
      <c r="BY1" s="80"/>
      <c r="BZ1" s="80"/>
    </row>
    <row r="2" spans="1:79" ht="14.25" customHeight="1" x14ac:dyDescent="0.2">
      <c r="A2" s="32" t="s">
        <v>342</v>
      </c>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row>
    <row r="4" spans="1:79" ht="15" customHeight="1" x14ac:dyDescent="0.2">
      <c r="A4" s="11" t="s">
        <v>159</v>
      </c>
      <c r="B4" s="127" t="s">
        <v>311</v>
      </c>
      <c r="C4" s="128"/>
      <c r="D4" s="128"/>
      <c r="E4" s="128"/>
      <c r="F4" s="128"/>
      <c r="G4" s="128"/>
      <c r="H4" s="128"/>
      <c r="I4" s="128"/>
      <c r="J4" s="128"/>
      <c r="K4" s="128"/>
      <c r="L4" s="128"/>
      <c r="M4" s="128"/>
      <c r="N4" s="128"/>
      <c r="O4" s="128"/>
      <c r="P4" s="128"/>
      <c r="Q4" s="128"/>
      <c r="R4" s="128"/>
      <c r="S4" s="128"/>
      <c r="T4" s="128"/>
      <c r="U4" s="128"/>
      <c r="V4" s="128"/>
      <c r="W4" s="128"/>
      <c r="X4" s="128"/>
      <c r="Y4" s="128"/>
      <c r="Z4" s="128"/>
      <c r="AA4" s="128"/>
      <c r="AB4" s="128"/>
      <c r="AC4" s="128"/>
      <c r="AD4" s="128"/>
      <c r="AE4" s="128"/>
      <c r="AF4" s="128"/>
      <c r="AG4" s="8"/>
      <c r="AH4" s="35" t="s">
        <v>310</v>
      </c>
      <c r="AI4" s="35"/>
      <c r="AJ4" s="35"/>
      <c r="AK4" s="35"/>
      <c r="AL4" s="35"/>
      <c r="AM4" s="35"/>
      <c r="AN4" s="35"/>
      <c r="AO4" s="35"/>
      <c r="AP4" s="35"/>
      <c r="AQ4" s="35"/>
      <c r="AR4" s="35"/>
      <c r="AS4" s="8"/>
      <c r="AT4" s="132" t="s">
        <v>316</v>
      </c>
      <c r="AU4" s="35"/>
      <c r="AV4" s="35"/>
      <c r="AW4" s="35"/>
      <c r="AX4" s="35"/>
      <c r="AY4" s="35"/>
      <c r="AZ4" s="35"/>
      <c r="BA4" s="35"/>
      <c r="BB4" s="15"/>
      <c r="BC4" s="8"/>
      <c r="BD4" s="8"/>
      <c r="BE4" s="12"/>
      <c r="BF4" s="12"/>
      <c r="BG4" s="12"/>
      <c r="BH4" s="12"/>
      <c r="BI4" s="12"/>
      <c r="BJ4" s="12"/>
      <c r="BK4" s="12"/>
      <c r="BL4" s="12"/>
    </row>
    <row r="5" spans="1:79" ht="24" customHeight="1" x14ac:dyDescent="0.2">
      <c r="A5" s="25" t="s">
        <v>0</v>
      </c>
      <c r="B5" s="25"/>
      <c r="C5" s="25"/>
      <c r="D5" s="25"/>
      <c r="E5" s="25"/>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7"/>
      <c r="AH5" s="33" t="s">
        <v>160</v>
      </c>
      <c r="AI5" s="33"/>
      <c r="AJ5" s="33"/>
      <c r="AK5" s="33"/>
      <c r="AL5" s="33"/>
      <c r="AM5" s="33"/>
      <c r="AN5" s="33"/>
      <c r="AO5" s="33"/>
      <c r="AP5" s="33"/>
      <c r="AQ5" s="33"/>
      <c r="AR5" s="33"/>
      <c r="AS5" s="7"/>
      <c r="AT5" s="33" t="s">
        <v>157</v>
      </c>
      <c r="AU5" s="33"/>
      <c r="AV5" s="33"/>
      <c r="AW5" s="33"/>
      <c r="AX5" s="33"/>
      <c r="AY5" s="33"/>
      <c r="AZ5" s="33"/>
      <c r="BA5" s="33"/>
      <c r="BB5" s="13"/>
      <c r="BC5" s="7"/>
      <c r="BD5" s="7"/>
      <c r="BE5" s="13"/>
      <c r="BF5" s="13"/>
      <c r="BG5" s="13"/>
      <c r="BH5" s="13"/>
      <c r="BI5" s="13"/>
      <c r="BJ5" s="13"/>
      <c r="BK5" s="13"/>
      <c r="BL5" s="13"/>
    </row>
    <row r="6" spans="1:79" x14ac:dyDescent="0.2">
      <c r="BE6" s="14"/>
      <c r="BF6" s="14"/>
      <c r="BG6" s="14"/>
      <c r="BH6" s="14"/>
      <c r="BI6" s="14"/>
      <c r="BJ6" s="14"/>
      <c r="BK6" s="14"/>
      <c r="BL6" s="14"/>
    </row>
    <row r="7" spans="1:79" ht="15" customHeight="1" x14ac:dyDescent="0.2">
      <c r="A7" s="11" t="s">
        <v>161</v>
      </c>
      <c r="B7" s="127" t="s">
        <v>359</v>
      </c>
      <c r="C7" s="128"/>
      <c r="D7" s="128"/>
      <c r="E7" s="128"/>
      <c r="F7" s="128"/>
      <c r="G7" s="128"/>
      <c r="H7" s="128"/>
      <c r="I7" s="128"/>
      <c r="J7" s="128"/>
      <c r="K7" s="128"/>
      <c r="L7" s="128"/>
      <c r="M7" s="128"/>
      <c r="N7" s="128"/>
      <c r="O7" s="128"/>
      <c r="P7" s="128"/>
      <c r="Q7" s="128"/>
      <c r="R7" s="128"/>
      <c r="S7" s="128"/>
      <c r="T7" s="128"/>
      <c r="U7" s="128"/>
      <c r="V7" s="128"/>
      <c r="W7" s="128"/>
      <c r="X7" s="128"/>
      <c r="Y7" s="128"/>
      <c r="Z7" s="128"/>
      <c r="AA7" s="128"/>
      <c r="AB7" s="128"/>
      <c r="AC7" s="128"/>
      <c r="AD7" s="128"/>
      <c r="AE7" s="128"/>
      <c r="AF7" s="128"/>
      <c r="AG7" s="8"/>
      <c r="AH7" s="35" t="s">
        <v>360</v>
      </c>
      <c r="AI7" s="35"/>
      <c r="AJ7" s="35"/>
      <c r="AK7" s="35"/>
      <c r="AL7" s="35"/>
      <c r="AM7" s="35"/>
      <c r="AN7" s="35"/>
      <c r="AO7" s="35"/>
      <c r="AP7" s="35"/>
      <c r="AQ7" s="35"/>
      <c r="AR7" s="35"/>
      <c r="AS7" s="35"/>
      <c r="AT7" s="35"/>
      <c r="AU7" s="35"/>
      <c r="AV7" s="35"/>
      <c r="AW7" s="35"/>
      <c r="AX7" s="35"/>
      <c r="AY7" s="35"/>
      <c r="AZ7" s="35"/>
      <c r="BA7" s="35"/>
      <c r="BB7" s="15"/>
      <c r="BC7" s="132" t="s">
        <v>316</v>
      </c>
      <c r="BD7" s="35"/>
      <c r="BE7" s="35"/>
      <c r="BF7" s="35"/>
      <c r="BG7" s="35"/>
      <c r="BH7" s="35"/>
      <c r="BI7" s="35"/>
      <c r="BJ7" s="35"/>
      <c r="BK7" s="15"/>
      <c r="BL7" s="12"/>
      <c r="BM7" s="16"/>
      <c r="BN7" s="16"/>
      <c r="BO7" s="16"/>
      <c r="BP7" s="15"/>
      <c r="BQ7" s="15"/>
      <c r="BR7" s="15"/>
      <c r="BS7" s="15"/>
      <c r="BT7" s="15"/>
      <c r="BU7" s="15"/>
      <c r="BV7" s="15"/>
      <c r="BW7" s="15"/>
    </row>
    <row r="8" spans="1:79" ht="24" customHeight="1" x14ac:dyDescent="0.2">
      <c r="A8" s="25" t="s">
        <v>155</v>
      </c>
      <c r="B8" s="25"/>
      <c r="C8" s="25"/>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7"/>
      <c r="AH8" s="33" t="s">
        <v>162</v>
      </c>
      <c r="AI8" s="33"/>
      <c r="AJ8" s="33"/>
      <c r="AK8" s="33"/>
      <c r="AL8" s="33"/>
      <c r="AM8" s="33"/>
      <c r="AN8" s="33"/>
      <c r="AO8" s="33"/>
      <c r="AP8" s="33"/>
      <c r="AQ8" s="33"/>
      <c r="AR8" s="33"/>
      <c r="AS8" s="33"/>
      <c r="AT8" s="33"/>
      <c r="AU8" s="33"/>
      <c r="AV8" s="33"/>
      <c r="AW8" s="33"/>
      <c r="AX8" s="33"/>
      <c r="AY8" s="33"/>
      <c r="AZ8" s="33"/>
      <c r="BA8" s="33"/>
      <c r="BB8" s="13"/>
      <c r="BC8" s="33" t="s">
        <v>157</v>
      </c>
      <c r="BD8" s="33"/>
      <c r="BE8" s="33"/>
      <c r="BF8" s="33"/>
      <c r="BG8" s="33"/>
      <c r="BH8" s="33"/>
      <c r="BI8" s="33"/>
      <c r="BJ8" s="33"/>
      <c r="BK8" s="21"/>
      <c r="BL8" s="13"/>
      <c r="BM8" s="16"/>
      <c r="BN8" s="16"/>
      <c r="BO8" s="16"/>
      <c r="BP8" s="13"/>
      <c r="BQ8" s="13"/>
      <c r="BR8" s="13"/>
      <c r="BS8" s="13"/>
      <c r="BT8" s="13"/>
      <c r="BU8" s="13"/>
      <c r="BV8" s="13"/>
      <c r="BW8" s="13"/>
    </row>
    <row r="10" spans="1:79" ht="28.5" customHeight="1" x14ac:dyDescent="0.2">
      <c r="A10" s="11" t="s">
        <v>163</v>
      </c>
      <c r="B10" s="35" t="s">
        <v>355</v>
      </c>
      <c r="C10" s="35"/>
      <c r="D10" s="35"/>
      <c r="E10" s="35"/>
      <c r="F10" s="35"/>
      <c r="G10" s="35"/>
      <c r="H10" s="35"/>
      <c r="I10" s="35"/>
      <c r="J10" s="35"/>
      <c r="K10" s="35"/>
      <c r="L10" s="35"/>
      <c r="N10" s="35" t="s">
        <v>356</v>
      </c>
      <c r="O10" s="35"/>
      <c r="P10" s="35"/>
      <c r="Q10" s="35"/>
      <c r="R10" s="35"/>
      <c r="S10" s="35"/>
      <c r="T10" s="35"/>
      <c r="U10" s="35"/>
      <c r="V10" s="35"/>
      <c r="W10" s="35"/>
      <c r="X10" s="35"/>
      <c r="Y10" s="35"/>
      <c r="Z10" s="15"/>
      <c r="AA10" s="35" t="s">
        <v>357</v>
      </c>
      <c r="AB10" s="35"/>
      <c r="AC10" s="35"/>
      <c r="AD10" s="35"/>
      <c r="AE10" s="35"/>
      <c r="AF10" s="35"/>
      <c r="AG10" s="35"/>
      <c r="AH10" s="35"/>
      <c r="AI10" s="35"/>
      <c r="AJ10" s="15"/>
      <c r="AK10" s="133" t="s">
        <v>358</v>
      </c>
      <c r="AL10" s="128"/>
      <c r="AM10" s="128"/>
      <c r="AN10" s="128"/>
      <c r="AO10" s="128"/>
      <c r="AP10" s="128"/>
      <c r="AQ10" s="128"/>
      <c r="AR10" s="128"/>
      <c r="AS10" s="128"/>
      <c r="AT10" s="128"/>
      <c r="AU10" s="128"/>
      <c r="AV10" s="128"/>
      <c r="AW10" s="128"/>
      <c r="AX10" s="128"/>
      <c r="AY10" s="128"/>
      <c r="AZ10" s="128"/>
      <c r="BA10" s="128"/>
      <c r="BB10" s="128"/>
      <c r="BC10" s="128"/>
      <c r="BD10" s="128"/>
      <c r="BE10" s="128"/>
      <c r="BF10" s="128"/>
      <c r="BG10" s="128"/>
      <c r="BH10" s="128"/>
      <c r="BI10" s="128"/>
      <c r="BJ10" s="128"/>
      <c r="BK10" s="20"/>
      <c r="BL10" s="132" t="s">
        <v>317</v>
      </c>
      <c r="BM10" s="35"/>
      <c r="BN10" s="35"/>
      <c r="BO10" s="35"/>
      <c r="BP10" s="35"/>
      <c r="BQ10" s="35"/>
      <c r="BR10" s="35"/>
      <c r="BS10" s="35"/>
      <c r="BT10" s="15"/>
      <c r="BU10" s="15"/>
      <c r="BV10" s="15"/>
      <c r="BW10" s="15"/>
      <c r="BX10" s="15"/>
      <c r="BY10" s="15"/>
      <c r="BZ10" s="15"/>
      <c r="CA10" s="15"/>
    </row>
    <row r="11" spans="1:79" ht="25.5" customHeight="1" x14ac:dyDescent="0.2">
      <c r="B11" s="33" t="s">
        <v>164</v>
      </c>
      <c r="C11" s="33"/>
      <c r="D11" s="33"/>
      <c r="E11" s="33"/>
      <c r="F11" s="33"/>
      <c r="G11" s="33"/>
      <c r="H11" s="33"/>
      <c r="I11" s="33"/>
      <c r="J11" s="33"/>
      <c r="K11" s="33"/>
      <c r="L11" s="33"/>
      <c r="N11" s="33" t="s">
        <v>166</v>
      </c>
      <c r="O11" s="33"/>
      <c r="P11" s="33"/>
      <c r="Q11" s="33"/>
      <c r="R11" s="33"/>
      <c r="S11" s="33"/>
      <c r="T11" s="33"/>
      <c r="U11" s="33"/>
      <c r="V11" s="33"/>
      <c r="W11" s="33"/>
      <c r="X11" s="33"/>
      <c r="Y11" s="33"/>
      <c r="Z11" s="13"/>
      <c r="AA11" s="45" t="s">
        <v>167</v>
      </c>
      <c r="AB11" s="45"/>
      <c r="AC11" s="45"/>
      <c r="AD11" s="45"/>
      <c r="AE11" s="45"/>
      <c r="AF11" s="45"/>
      <c r="AG11" s="45"/>
      <c r="AH11" s="45"/>
      <c r="AI11" s="45"/>
      <c r="AJ11" s="13"/>
      <c r="AK11" s="46" t="s">
        <v>165</v>
      </c>
      <c r="AL11" s="46"/>
      <c r="AM11" s="46"/>
      <c r="AN11" s="46"/>
      <c r="AO11" s="46"/>
      <c r="AP11" s="46"/>
      <c r="AQ11" s="46"/>
      <c r="AR11" s="46"/>
      <c r="AS11" s="46"/>
      <c r="AT11" s="46"/>
      <c r="AU11" s="46"/>
      <c r="AV11" s="46"/>
      <c r="AW11" s="46"/>
      <c r="AX11" s="46"/>
      <c r="AY11" s="46"/>
      <c r="AZ11" s="46"/>
      <c r="BA11" s="46"/>
      <c r="BB11" s="46"/>
      <c r="BC11" s="46"/>
      <c r="BD11" s="46"/>
      <c r="BE11" s="46"/>
      <c r="BF11" s="46"/>
      <c r="BG11" s="46"/>
      <c r="BH11" s="46"/>
      <c r="BI11" s="46"/>
      <c r="BJ11" s="46"/>
      <c r="BK11" s="19"/>
      <c r="BL11" s="33" t="s">
        <v>158</v>
      </c>
      <c r="BM11" s="33"/>
      <c r="BN11" s="33"/>
      <c r="BO11" s="33"/>
      <c r="BP11" s="33"/>
      <c r="BQ11" s="33"/>
      <c r="BR11" s="33"/>
      <c r="BS11" s="33"/>
      <c r="BT11" s="13"/>
      <c r="BU11" s="13"/>
      <c r="BV11" s="13"/>
      <c r="BW11" s="13"/>
      <c r="BX11" s="13"/>
      <c r="BY11" s="13"/>
      <c r="BZ11" s="13"/>
      <c r="CA11" s="13"/>
    </row>
    <row r="13" spans="1:79" ht="14.25" customHeight="1" x14ac:dyDescent="0.2">
      <c r="A13" s="29" t="s">
        <v>343</v>
      </c>
      <c r="B13" s="29"/>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29"/>
      <c r="BJ13" s="29"/>
      <c r="BK13" s="29"/>
      <c r="BL13" s="29"/>
      <c r="BM13" s="29"/>
      <c r="BN13" s="29"/>
      <c r="BO13" s="29"/>
      <c r="BP13" s="29"/>
      <c r="BQ13" s="29"/>
      <c r="BR13" s="29"/>
      <c r="BS13" s="29"/>
      <c r="BT13" s="29"/>
      <c r="BU13" s="29"/>
      <c r="BV13" s="29"/>
      <c r="BW13" s="29"/>
      <c r="BX13" s="29"/>
      <c r="BY13" s="29"/>
    </row>
    <row r="14" spans="1:79" ht="14.25" customHeight="1" x14ac:dyDescent="0.2">
      <c r="A14" s="29" t="s">
        <v>148</v>
      </c>
      <c r="B14" s="29"/>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c r="BI14" s="29"/>
      <c r="BJ14" s="29"/>
      <c r="BK14" s="29"/>
      <c r="BL14" s="29"/>
      <c r="BM14" s="29"/>
      <c r="BN14" s="29"/>
      <c r="BO14" s="29"/>
      <c r="BP14" s="29"/>
      <c r="BQ14" s="29"/>
      <c r="BR14" s="29"/>
      <c r="BS14" s="29"/>
      <c r="BT14" s="29"/>
      <c r="BU14" s="29"/>
      <c r="BV14" s="29"/>
      <c r="BW14" s="29"/>
      <c r="BX14" s="29"/>
      <c r="BY14" s="29"/>
    </row>
    <row r="15" spans="1:79" ht="15" customHeight="1" x14ac:dyDescent="0.2">
      <c r="A15" s="125" t="s">
        <v>305</v>
      </c>
      <c r="B15" s="126"/>
      <c r="C15" s="126"/>
      <c r="D15" s="126"/>
      <c r="E15" s="126"/>
      <c r="F15" s="126"/>
      <c r="G15" s="126"/>
      <c r="H15" s="126"/>
      <c r="I15" s="126"/>
      <c r="J15" s="126"/>
      <c r="K15" s="126"/>
      <c r="L15" s="126"/>
      <c r="M15" s="126"/>
      <c r="N15" s="126"/>
      <c r="O15" s="126"/>
      <c r="P15" s="126"/>
      <c r="Q15" s="126"/>
      <c r="R15" s="126"/>
      <c r="S15" s="126"/>
      <c r="T15" s="126"/>
      <c r="U15" s="126"/>
      <c r="V15" s="126"/>
      <c r="W15" s="126"/>
      <c r="X15" s="126"/>
      <c r="Y15" s="126"/>
      <c r="Z15" s="126"/>
      <c r="AA15" s="126"/>
      <c r="AB15" s="126"/>
      <c r="AC15" s="126"/>
      <c r="AD15" s="126"/>
      <c r="AE15" s="126"/>
      <c r="AF15" s="126"/>
      <c r="AG15" s="126"/>
      <c r="AH15" s="126"/>
      <c r="AI15" s="126"/>
      <c r="AJ15" s="126"/>
      <c r="AK15" s="126"/>
      <c r="AL15" s="126"/>
      <c r="AM15" s="126"/>
      <c r="AN15" s="126"/>
      <c r="AO15" s="126"/>
      <c r="AP15" s="126"/>
      <c r="AQ15" s="126"/>
      <c r="AR15" s="126"/>
      <c r="AS15" s="126"/>
      <c r="AT15" s="126"/>
      <c r="AU15" s="126"/>
      <c r="AV15" s="126"/>
      <c r="AW15" s="126"/>
      <c r="AX15" s="126"/>
      <c r="AY15" s="126"/>
      <c r="AZ15" s="126"/>
      <c r="BA15" s="126"/>
      <c r="BB15" s="126"/>
      <c r="BC15" s="126"/>
      <c r="BD15" s="126"/>
      <c r="BE15" s="126"/>
      <c r="BF15" s="126"/>
      <c r="BG15" s="126"/>
      <c r="BH15" s="126"/>
      <c r="BI15" s="126"/>
      <c r="BJ15" s="126"/>
      <c r="BK15" s="126"/>
      <c r="BL15" s="126"/>
      <c r="BM15" s="126"/>
      <c r="BN15" s="126"/>
      <c r="BO15" s="126"/>
      <c r="BP15" s="126"/>
      <c r="BQ15" s="126"/>
      <c r="BR15" s="126"/>
      <c r="BS15" s="126"/>
      <c r="BT15" s="126"/>
      <c r="BU15" s="126"/>
      <c r="BV15" s="126"/>
      <c r="BW15" s="126"/>
      <c r="BX15" s="126"/>
      <c r="BY15" s="126"/>
    </row>
    <row r="16" spans="1:79" ht="15" customHeight="1" x14ac:dyDescent="0.2">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row>
    <row r="17" spans="1:79" ht="15" customHeight="1" x14ac:dyDescent="0.25">
      <c r="A17" s="81" t="s">
        <v>149</v>
      </c>
      <c r="B17" s="81"/>
      <c r="C17" s="81"/>
      <c r="D17" s="81"/>
      <c r="E17" s="81"/>
      <c r="F17" s="81"/>
      <c r="G17" s="81"/>
      <c r="H17" s="81"/>
      <c r="I17" s="81"/>
      <c r="J17" s="81"/>
      <c r="K17" s="81"/>
      <c r="L17" s="81"/>
      <c r="M17" s="81"/>
      <c r="N17" s="81"/>
      <c r="O17" s="81"/>
      <c r="P17" s="81"/>
      <c r="Q17" s="81"/>
      <c r="R17" s="81"/>
      <c r="S17" s="81"/>
      <c r="T17" s="81"/>
      <c r="U17" s="81"/>
      <c r="V17" s="81"/>
      <c r="W17" s="81"/>
      <c r="X17" s="81"/>
      <c r="Y17" s="81"/>
      <c r="Z17" s="81"/>
      <c r="AA17" s="81"/>
      <c r="AB17" s="81"/>
      <c r="AC17" s="81"/>
      <c r="AD17" s="81"/>
      <c r="AE17" s="81"/>
      <c r="AF17" s="81"/>
      <c r="AG17" s="81"/>
      <c r="AH17" s="81"/>
      <c r="AI17" s="81"/>
      <c r="AJ17" s="81"/>
      <c r="AK17" s="81"/>
      <c r="AL17" s="81"/>
      <c r="AM17" s="81"/>
      <c r="AN17" s="81"/>
      <c r="AO17" s="81"/>
      <c r="AP17" s="81"/>
      <c r="AQ17" s="81"/>
      <c r="AR17" s="81"/>
      <c r="AS17" s="81"/>
      <c r="AT17" s="81"/>
      <c r="AU17" s="81"/>
      <c r="AV17" s="81"/>
      <c r="AW17" s="81"/>
      <c r="AX17" s="81"/>
      <c r="AY17" s="81"/>
      <c r="AZ17" s="81"/>
      <c r="BA17" s="81"/>
      <c r="BB17" s="81"/>
      <c r="BC17" s="81"/>
      <c r="BD17" s="81"/>
      <c r="BE17" s="81"/>
      <c r="BF17" s="81"/>
      <c r="BG17" s="81"/>
      <c r="BH17" s="81"/>
      <c r="BI17" s="81"/>
      <c r="BJ17" s="81"/>
      <c r="BK17" s="81"/>
      <c r="BL17" s="81"/>
      <c r="BM17" s="81"/>
      <c r="BN17" s="81"/>
      <c r="BO17" s="81"/>
      <c r="BP17" s="81"/>
      <c r="BQ17" s="81"/>
      <c r="BR17" s="81"/>
      <c r="BS17" s="81"/>
      <c r="BT17" s="81"/>
      <c r="BU17" s="81"/>
      <c r="BV17" s="81"/>
      <c r="BW17" s="81"/>
      <c r="BX17" s="81"/>
      <c r="BY17" s="81"/>
    </row>
    <row r="18" spans="1:79" ht="15" customHeight="1" x14ac:dyDescent="0.2">
      <c r="A18" s="125" t="s">
        <v>306</v>
      </c>
      <c r="B18" s="126"/>
      <c r="C18" s="126"/>
      <c r="D18" s="126"/>
      <c r="E18" s="126"/>
      <c r="F18" s="126"/>
      <c r="G18" s="126"/>
      <c r="H18" s="126"/>
      <c r="I18" s="126"/>
      <c r="J18" s="126"/>
      <c r="K18" s="126"/>
      <c r="L18" s="126"/>
      <c r="M18" s="126"/>
      <c r="N18" s="126"/>
      <c r="O18" s="126"/>
      <c r="P18" s="126"/>
      <c r="Q18" s="126"/>
      <c r="R18" s="126"/>
      <c r="S18" s="126"/>
      <c r="T18" s="126"/>
      <c r="U18" s="126"/>
      <c r="V18" s="126"/>
      <c r="W18" s="126"/>
      <c r="X18" s="126"/>
      <c r="Y18" s="126"/>
      <c r="Z18" s="126"/>
      <c r="AA18" s="126"/>
      <c r="AB18" s="126"/>
      <c r="AC18" s="126"/>
      <c r="AD18" s="126"/>
      <c r="AE18" s="126"/>
      <c r="AF18" s="126"/>
      <c r="AG18" s="126"/>
      <c r="AH18" s="126"/>
      <c r="AI18" s="126"/>
      <c r="AJ18" s="126"/>
      <c r="AK18" s="126"/>
      <c r="AL18" s="126"/>
      <c r="AM18" s="126"/>
      <c r="AN18" s="126"/>
      <c r="AO18" s="126"/>
      <c r="AP18" s="126"/>
      <c r="AQ18" s="126"/>
      <c r="AR18" s="126"/>
      <c r="AS18" s="126"/>
      <c r="AT18" s="126"/>
      <c r="AU18" s="126"/>
      <c r="AV18" s="126"/>
      <c r="AW18" s="126"/>
      <c r="AX18" s="126"/>
      <c r="AY18" s="126"/>
      <c r="AZ18" s="126"/>
      <c r="BA18" s="126"/>
      <c r="BB18" s="126"/>
      <c r="BC18" s="126"/>
      <c r="BD18" s="126"/>
      <c r="BE18" s="126"/>
      <c r="BF18" s="126"/>
      <c r="BG18" s="126"/>
      <c r="BH18" s="126"/>
      <c r="BI18" s="126"/>
      <c r="BJ18" s="126"/>
      <c r="BK18" s="126"/>
      <c r="BL18" s="126"/>
      <c r="BM18" s="126"/>
      <c r="BN18" s="126"/>
      <c r="BO18" s="126"/>
      <c r="BP18" s="126"/>
      <c r="BQ18" s="126"/>
      <c r="BR18" s="126"/>
      <c r="BS18" s="126"/>
      <c r="BT18" s="126"/>
      <c r="BU18" s="126"/>
      <c r="BV18" s="126"/>
      <c r="BW18" s="126"/>
      <c r="BX18" s="126"/>
      <c r="BY18" s="126"/>
    </row>
    <row r="19" spans="1:79" ht="15" customHeight="1" x14ac:dyDescent="0.2">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row>
    <row r="20" spans="1:79" ht="14.25" customHeight="1" x14ac:dyDescent="0.2">
      <c r="A20" s="29" t="s">
        <v>150</v>
      </c>
      <c r="B20" s="29"/>
      <c r="C20" s="29"/>
      <c r="D20" s="29"/>
      <c r="E20" s="29"/>
      <c r="F20" s="29"/>
      <c r="G20" s="29"/>
      <c r="H20" s="29"/>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29"/>
      <c r="BJ20" s="29"/>
      <c r="BK20" s="29"/>
      <c r="BL20" s="29"/>
      <c r="BM20" s="29"/>
      <c r="BN20" s="29"/>
      <c r="BO20" s="29"/>
      <c r="BP20" s="29"/>
      <c r="BQ20" s="29"/>
      <c r="BR20" s="29"/>
      <c r="BS20" s="29"/>
      <c r="BT20" s="29"/>
      <c r="BU20" s="29"/>
      <c r="BV20" s="29"/>
      <c r="BW20" s="29"/>
      <c r="BX20" s="29"/>
      <c r="BY20" s="29"/>
    </row>
    <row r="21" spans="1:79" ht="120" customHeight="1" x14ac:dyDescent="0.2">
      <c r="A21" s="125" t="s">
        <v>307</v>
      </c>
      <c r="B21" s="126"/>
      <c r="C21" s="126"/>
      <c r="D21" s="126"/>
      <c r="E21" s="126"/>
      <c r="F21" s="126"/>
      <c r="G21" s="126"/>
      <c r="H21" s="126"/>
      <c r="I21" s="126"/>
      <c r="J21" s="126"/>
      <c r="K21" s="126"/>
      <c r="L21" s="126"/>
      <c r="M21" s="126"/>
      <c r="N21" s="126"/>
      <c r="O21" s="126"/>
      <c r="P21" s="126"/>
      <c r="Q21" s="126"/>
      <c r="R21" s="126"/>
      <c r="S21" s="126"/>
      <c r="T21" s="126"/>
      <c r="U21" s="126"/>
      <c r="V21" s="126"/>
      <c r="W21" s="126"/>
      <c r="X21" s="126"/>
      <c r="Y21" s="126"/>
      <c r="Z21" s="126"/>
      <c r="AA21" s="126"/>
      <c r="AB21" s="126"/>
      <c r="AC21" s="126"/>
      <c r="AD21" s="126"/>
      <c r="AE21" s="126"/>
      <c r="AF21" s="126"/>
      <c r="AG21" s="126"/>
      <c r="AH21" s="126"/>
      <c r="AI21" s="126"/>
      <c r="AJ21" s="126"/>
      <c r="AK21" s="126"/>
      <c r="AL21" s="126"/>
      <c r="AM21" s="126"/>
      <c r="AN21" s="126"/>
      <c r="AO21" s="126"/>
      <c r="AP21" s="126"/>
      <c r="AQ21" s="126"/>
      <c r="AR21" s="126"/>
      <c r="AS21" s="126"/>
      <c r="AT21" s="126"/>
      <c r="AU21" s="126"/>
      <c r="AV21" s="126"/>
      <c r="AW21" s="126"/>
      <c r="AX21" s="126"/>
      <c r="AY21" s="126"/>
      <c r="AZ21" s="126"/>
      <c r="BA21" s="126"/>
      <c r="BB21" s="126"/>
      <c r="BC21" s="126"/>
      <c r="BD21" s="126"/>
      <c r="BE21" s="126"/>
      <c r="BF21" s="126"/>
      <c r="BG21" s="126"/>
      <c r="BH21" s="126"/>
      <c r="BI21" s="126"/>
      <c r="BJ21" s="126"/>
      <c r="BK21" s="126"/>
      <c r="BL21" s="126"/>
      <c r="BM21" s="126"/>
      <c r="BN21" s="126"/>
      <c r="BO21" s="126"/>
      <c r="BP21" s="126"/>
      <c r="BQ21" s="126"/>
      <c r="BR21" s="126"/>
      <c r="BS21" s="126"/>
      <c r="BT21" s="126"/>
      <c r="BU21" s="126"/>
      <c r="BV21" s="126"/>
      <c r="BW21" s="126"/>
      <c r="BX21" s="126"/>
      <c r="BY21" s="126"/>
    </row>
    <row r="22" spans="1:79" ht="15" customHeight="1" x14ac:dyDescent="0.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row>
    <row r="23" spans="1:79" ht="14.25" customHeight="1" x14ac:dyDescent="0.2">
      <c r="A23" s="29" t="s">
        <v>151</v>
      </c>
      <c r="B23" s="29"/>
      <c r="C23" s="29"/>
      <c r="D23" s="29"/>
      <c r="E23" s="29"/>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c r="BL23" s="29"/>
      <c r="BM23" s="29"/>
      <c r="BN23" s="29"/>
      <c r="BO23" s="29"/>
      <c r="BP23" s="29"/>
      <c r="BQ23" s="29"/>
      <c r="BR23" s="29"/>
      <c r="BS23" s="29"/>
      <c r="BT23" s="29"/>
      <c r="BU23" s="29"/>
      <c r="BV23" s="29"/>
      <c r="BW23" s="29"/>
      <c r="BX23" s="29"/>
      <c r="BY23" s="29"/>
    </row>
    <row r="24" spans="1:79" ht="14.25" customHeight="1" x14ac:dyDescent="0.2">
      <c r="A24" s="79" t="s">
        <v>329</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79"/>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row>
    <row r="25" spans="1:79" ht="15" customHeight="1" x14ac:dyDescent="0.2">
      <c r="A25" s="31" t="s">
        <v>318</v>
      </c>
      <c r="B25" s="31"/>
      <c r="C25" s="31"/>
      <c r="D25" s="31"/>
      <c r="E25" s="31"/>
      <c r="F25" s="31"/>
      <c r="G25" s="31"/>
      <c r="H25" s="31"/>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1"/>
      <c r="BO25" s="31"/>
      <c r="BP25" s="31"/>
      <c r="BQ25" s="31"/>
      <c r="BR25" s="31"/>
      <c r="BS25" s="31"/>
      <c r="BT25" s="31"/>
      <c r="BU25" s="31"/>
      <c r="BV25" s="31"/>
      <c r="BW25" s="31"/>
      <c r="BX25" s="31"/>
      <c r="BY25" s="31"/>
    </row>
    <row r="26" spans="1:79" ht="23.1" customHeight="1" x14ac:dyDescent="0.2">
      <c r="A26" s="51" t="s">
        <v>2</v>
      </c>
      <c r="B26" s="52"/>
      <c r="C26" s="52"/>
      <c r="D26" s="53"/>
      <c r="E26" s="51" t="s">
        <v>19</v>
      </c>
      <c r="F26" s="52"/>
      <c r="G26" s="52"/>
      <c r="H26" s="52"/>
      <c r="I26" s="52"/>
      <c r="J26" s="52"/>
      <c r="K26" s="52"/>
      <c r="L26" s="52"/>
      <c r="M26" s="52"/>
      <c r="N26" s="52"/>
      <c r="O26" s="52"/>
      <c r="P26" s="52"/>
      <c r="Q26" s="52"/>
      <c r="R26" s="52"/>
      <c r="S26" s="52"/>
      <c r="T26" s="52"/>
      <c r="U26" s="27" t="s">
        <v>319</v>
      </c>
      <c r="V26" s="27"/>
      <c r="W26" s="27"/>
      <c r="X26" s="27"/>
      <c r="Y26" s="27"/>
      <c r="Z26" s="27"/>
      <c r="AA26" s="27"/>
      <c r="AB26" s="27"/>
      <c r="AC26" s="27"/>
      <c r="AD26" s="27"/>
      <c r="AE26" s="27"/>
      <c r="AF26" s="27"/>
      <c r="AG26" s="27"/>
      <c r="AH26" s="27"/>
      <c r="AI26" s="27"/>
      <c r="AJ26" s="27"/>
      <c r="AK26" s="27"/>
      <c r="AL26" s="27"/>
      <c r="AM26" s="27"/>
      <c r="AN26" s="27" t="s">
        <v>322</v>
      </c>
      <c r="AO26" s="27"/>
      <c r="AP26" s="27"/>
      <c r="AQ26" s="27"/>
      <c r="AR26" s="27"/>
      <c r="AS26" s="27"/>
      <c r="AT26" s="27"/>
      <c r="AU26" s="27"/>
      <c r="AV26" s="27"/>
      <c r="AW26" s="27"/>
      <c r="AX26" s="27"/>
      <c r="AY26" s="27"/>
      <c r="AZ26" s="27"/>
      <c r="BA26" s="27"/>
      <c r="BB26" s="27"/>
      <c r="BC26" s="27"/>
      <c r="BD26" s="27"/>
      <c r="BE26" s="27"/>
      <c r="BF26" s="27"/>
      <c r="BG26" s="27" t="s">
        <v>330</v>
      </c>
      <c r="BH26" s="27"/>
      <c r="BI26" s="27"/>
      <c r="BJ26" s="27"/>
      <c r="BK26" s="27"/>
      <c r="BL26" s="27"/>
      <c r="BM26" s="27"/>
      <c r="BN26" s="27"/>
      <c r="BO26" s="27"/>
      <c r="BP26" s="27"/>
      <c r="BQ26" s="27"/>
      <c r="BR26" s="27"/>
      <c r="BS26" s="27"/>
      <c r="BT26" s="27"/>
      <c r="BU26" s="27"/>
      <c r="BV26" s="27"/>
      <c r="BW26" s="27"/>
      <c r="BX26" s="27"/>
      <c r="BY26" s="27"/>
    </row>
    <row r="27" spans="1:79" ht="54.75" customHeight="1" x14ac:dyDescent="0.2">
      <c r="A27" s="54"/>
      <c r="B27" s="55"/>
      <c r="C27" s="55"/>
      <c r="D27" s="56"/>
      <c r="E27" s="54"/>
      <c r="F27" s="55"/>
      <c r="G27" s="55"/>
      <c r="H27" s="55"/>
      <c r="I27" s="55"/>
      <c r="J27" s="55"/>
      <c r="K27" s="55"/>
      <c r="L27" s="55"/>
      <c r="M27" s="55"/>
      <c r="N27" s="55"/>
      <c r="O27" s="55"/>
      <c r="P27" s="55"/>
      <c r="Q27" s="55"/>
      <c r="R27" s="55"/>
      <c r="S27" s="55"/>
      <c r="T27" s="55"/>
      <c r="U27" s="36" t="s">
        <v>4</v>
      </c>
      <c r="V27" s="37"/>
      <c r="W27" s="37"/>
      <c r="X27" s="37"/>
      <c r="Y27" s="38"/>
      <c r="Z27" s="36" t="s">
        <v>3</v>
      </c>
      <c r="AA27" s="37"/>
      <c r="AB27" s="37"/>
      <c r="AC27" s="37"/>
      <c r="AD27" s="38"/>
      <c r="AE27" s="57" t="s">
        <v>116</v>
      </c>
      <c r="AF27" s="58"/>
      <c r="AG27" s="58"/>
      <c r="AH27" s="59"/>
      <c r="AI27" s="36" t="s">
        <v>5</v>
      </c>
      <c r="AJ27" s="37"/>
      <c r="AK27" s="37"/>
      <c r="AL27" s="37"/>
      <c r="AM27" s="38"/>
      <c r="AN27" s="36" t="s">
        <v>4</v>
      </c>
      <c r="AO27" s="37"/>
      <c r="AP27" s="37"/>
      <c r="AQ27" s="37"/>
      <c r="AR27" s="38"/>
      <c r="AS27" s="36" t="s">
        <v>3</v>
      </c>
      <c r="AT27" s="37"/>
      <c r="AU27" s="37"/>
      <c r="AV27" s="37"/>
      <c r="AW27" s="38"/>
      <c r="AX27" s="57" t="s">
        <v>116</v>
      </c>
      <c r="AY27" s="58"/>
      <c r="AZ27" s="58"/>
      <c r="BA27" s="59"/>
      <c r="BB27" s="36" t="s">
        <v>96</v>
      </c>
      <c r="BC27" s="37"/>
      <c r="BD27" s="37"/>
      <c r="BE27" s="37"/>
      <c r="BF27" s="38"/>
      <c r="BG27" s="36" t="s">
        <v>4</v>
      </c>
      <c r="BH27" s="37"/>
      <c r="BI27" s="37"/>
      <c r="BJ27" s="37"/>
      <c r="BK27" s="38"/>
      <c r="BL27" s="36" t="s">
        <v>3</v>
      </c>
      <c r="BM27" s="37"/>
      <c r="BN27" s="37"/>
      <c r="BO27" s="37"/>
      <c r="BP27" s="38"/>
      <c r="BQ27" s="57" t="s">
        <v>116</v>
      </c>
      <c r="BR27" s="58"/>
      <c r="BS27" s="58"/>
      <c r="BT27" s="59"/>
      <c r="BU27" s="36" t="s">
        <v>97</v>
      </c>
      <c r="BV27" s="37"/>
      <c r="BW27" s="37"/>
      <c r="BX27" s="37"/>
      <c r="BY27" s="38"/>
    </row>
    <row r="28" spans="1:79" ht="15" customHeight="1" x14ac:dyDescent="0.2">
      <c r="A28" s="36">
        <v>1</v>
      </c>
      <c r="B28" s="37"/>
      <c r="C28" s="37"/>
      <c r="D28" s="38"/>
      <c r="E28" s="36">
        <v>2</v>
      </c>
      <c r="F28" s="37"/>
      <c r="G28" s="37"/>
      <c r="H28" s="37"/>
      <c r="I28" s="37"/>
      <c r="J28" s="37"/>
      <c r="K28" s="37"/>
      <c r="L28" s="37"/>
      <c r="M28" s="37"/>
      <c r="N28" s="37"/>
      <c r="O28" s="37"/>
      <c r="P28" s="37"/>
      <c r="Q28" s="37"/>
      <c r="R28" s="37"/>
      <c r="S28" s="37"/>
      <c r="T28" s="37"/>
      <c r="U28" s="36">
        <v>3</v>
      </c>
      <c r="V28" s="37"/>
      <c r="W28" s="37"/>
      <c r="X28" s="37"/>
      <c r="Y28" s="38"/>
      <c r="Z28" s="36">
        <v>4</v>
      </c>
      <c r="AA28" s="37"/>
      <c r="AB28" s="37"/>
      <c r="AC28" s="37"/>
      <c r="AD28" s="38"/>
      <c r="AE28" s="36">
        <v>5</v>
      </c>
      <c r="AF28" s="37"/>
      <c r="AG28" s="37"/>
      <c r="AH28" s="38"/>
      <c r="AI28" s="36">
        <v>6</v>
      </c>
      <c r="AJ28" s="37"/>
      <c r="AK28" s="37"/>
      <c r="AL28" s="37"/>
      <c r="AM28" s="38"/>
      <c r="AN28" s="36">
        <v>7</v>
      </c>
      <c r="AO28" s="37"/>
      <c r="AP28" s="37"/>
      <c r="AQ28" s="37"/>
      <c r="AR28" s="38"/>
      <c r="AS28" s="36">
        <v>8</v>
      </c>
      <c r="AT28" s="37"/>
      <c r="AU28" s="37"/>
      <c r="AV28" s="37"/>
      <c r="AW28" s="38"/>
      <c r="AX28" s="36">
        <v>9</v>
      </c>
      <c r="AY28" s="37"/>
      <c r="AZ28" s="37"/>
      <c r="BA28" s="38"/>
      <c r="BB28" s="36">
        <v>10</v>
      </c>
      <c r="BC28" s="37"/>
      <c r="BD28" s="37"/>
      <c r="BE28" s="37"/>
      <c r="BF28" s="38"/>
      <c r="BG28" s="36">
        <v>11</v>
      </c>
      <c r="BH28" s="37"/>
      <c r="BI28" s="37"/>
      <c r="BJ28" s="37"/>
      <c r="BK28" s="38"/>
      <c r="BL28" s="36">
        <v>12</v>
      </c>
      <c r="BM28" s="37"/>
      <c r="BN28" s="37"/>
      <c r="BO28" s="37"/>
      <c r="BP28" s="38"/>
      <c r="BQ28" s="36">
        <v>13</v>
      </c>
      <c r="BR28" s="37"/>
      <c r="BS28" s="37"/>
      <c r="BT28" s="38"/>
      <c r="BU28" s="36">
        <v>14</v>
      </c>
      <c r="BV28" s="37"/>
      <c r="BW28" s="37"/>
      <c r="BX28" s="37"/>
      <c r="BY28" s="38"/>
    </row>
    <row r="29" spans="1:79" ht="13.5" hidden="1" customHeight="1" x14ac:dyDescent="0.2">
      <c r="A29" s="39" t="s">
        <v>56</v>
      </c>
      <c r="B29" s="40"/>
      <c r="C29" s="40"/>
      <c r="D29" s="41"/>
      <c r="E29" s="39" t="s">
        <v>57</v>
      </c>
      <c r="F29" s="40"/>
      <c r="G29" s="40"/>
      <c r="H29" s="40"/>
      <c r="I29" s="40"/>
      <c r="J29" s="40"/>
      <c r="K29" s="40"/>
      <c r="L29" s="40"/>
      <c r="M29" s="40"/>
      <c r="N29" s="40"/>
      <c r="O29" s="40"/>
      <c r="P29" s="40"/>
      <c r="Q29" s="40"/>
      <c r="R29" s="40"/>
      <c r="S29" s="40"/>
      <c r="T29" s="40"/>
      <c r="U29" s="82" t="s">
        <v>65</v>
      </c>
      <c r="V29" s="83"/>
      <c r="W29" s="83"/>
      <c r="X29" s="83"/>
      <c r="Y29" s="84"/>
      <c r="Z29" s="82" t="s">
        <v>66</v>
      </c>
      <c r="AA29" s="83"/>
      <c r="AB29" s="83"/>
      <c r="AC29" s="83"/>
      <c r="AD29" s="84"/>
      <c r="AE29" s="39" t="s">
        <v>91</v>
      </c>
      <c r="AF29" s="40"/>
      <c r="AG29" s="40"/>
      <c r="AH29" s="41"/>
      <c r="AI29" s="47" t="s">
        <v>169</v>
      </c>
      <c r="AJ29" s="48"/>
      <c r="AK29" s="48"/>
      <c r="AL29" s="48"/>
      <c r="AM29" s="49"/>
      <c r="AN29" s="39" t="s">
        <v>67</v>
      </c>
      <c r="AO29" s="40"/>
      <c r="AP29" s="40"/>
      <c r="AQ29" s="40"/>
      <c r="AR29" s="41"/>
      <c r="AS29" s="39" t="s">
        <v>68</v>
      </c>
      <c r="AT29" s="40"/>
      <c r="AU29" s="40"/>
      <c r="AV29" s="40"/>
      <c r="AW29" s="41"/>
      <c r="AX29" s="39" t="s">
        <v>92</v>
      </c>
      <c r="AY29" s="40"/>
      <c r="AZ29" s="40"/>
      <c r="BA29" s="41"/>
      <c r="BB29" s="47" t="s">
        <v>169</v>
      </c>
      <c r="BC29" s="48"/>
      <c r="BD29" s="48"/>
      <c r="BE29" s="48"/>
      <c r="BF29" s="49"/>
      <c r="BG29" s="39" t="s">
        <v>58</v>
      </c>
      <c r="BH29" s="40"/>
      <c r="BI29" s="40"/>
      <c r="BJ29" s="40"/>
      <c r="BK29" s="41"/>
      <c r="BL29" s="39" t="s">
        <v>59</v>
      </c>
      <c r="BM29" s="40"/>
      <c r="BN29" s="40"/>
      <c r="BO29" s="40"/>
      <c r="BP29" s="41"/>
      <c r="BQ29" s="39" t="s">
        <v>93</v>
      </c>
      <c r="BR29" s="40"/>
      <c r="BS29" s="40"/>
      <c r="BT29" s="41"/>
      <c r="BU29" s="47" t="s">
        <v>169</v>
      </c>
      <c r="BV29" s="48"/>
      <c r="BW29" s="48"/>
      <c r="BX29" s="48"/>
      <c r="BY29" s="49"/>
      <c r="CA29" t="s">
        <v>21</v>
      </c>
    </row>
    <row r="30" spans="1:79" s="99" customFormat="1" ht="12.75" customHeight="1" x14ac:dyDescent="0.2">
      <c r="A30" s="89"/>
      <c r="B30" s="90"/>
      <c r="C30" s="90"/>
      <c r="D30" s="91"/>
      <c r="E30" s="92" t="s">
        <v>172</v>
      </c>
      <c r="F30" s="93"/>
      <c r="G30" s="93"/>
      <c r="H30" s="93"/>
      <c r="I30" s="93"/>
      <c r="J30" s="93"/>
      <c r="K30" s="93"/>
      <c r="L30" s="93"/>
      <c r="M30" s="93"/>
      <c r="N30" s="93"/>
      <c r="O30" s="93"/>
      <c r="P30" s="93"/>
      <c r="Q30" s="93"/>
      <c r="R30" s="93"/>
      <c r="S30" s="93"/>
      <c r="T30" s="94"/>
      <c r="U30" s="95">
        <v>20699527</v>
      </c>
      <c r="V30" s="95"/>
      <c r="W30" s="95"/>
      <c r="X30" s="95"/>
      <c r="Y30" s="95"/>
      <c r="Z30" s="95" t="s">
        <v>173</v>
      </c>
      <c r="AA30" s="95"/>
      <c r="AB30" s="95"/>
      <c r="AC30" s="95"/>
      <c r="AD30" s="95"/>
      <c r="AE30" s="96" t="s">
        <v>173</v>
      </c>
      <c r="AF30" s="97"/>
      <c r="AG30" s="97"/>
      <c r="AH30" s="98"/>
      <c r="AI30" s="96">
        <f>IF(ISNUMBER(U30),U30,0)+IF(ISNUMBER(Z30),Z30,0)</f>
        <v>20699527</v>
      </c>
      <c r="AJ30" s="97"/>
      <c r="AK30" s="97"/>
      <c r="AL30" s="97"/>
      <c r="AM30" s="98"/>
      <c r="AN30" s="96">
        <v>22884244</v>
      </c>
      <c r="AO30" s="97"/>
      <c r="AP30" s="97"/>
      <c r="AQ30" s="97"/>
      <c r="AR30" s="98"/>
      <c r="AS30" s="96" t="s">
        <v>173</v>
      </c>
      <c r="AT30" s="97"/>
      <c r="AU30" s="97"/>
      <c r="AV30" s="97"/>
      <c r="AW30" s="98"/>
      <c r="AX30" s="96" t="s">
        <v>173</v>
      </c>
      <c r="AY30" s="97"/>
      <c r="AZ30" s="97"/>
      <c r="BA30" s="98"/>
      <c r="BB30" s="96">
        <f>IF(ISNUMBER(AN30),AN30,0)+IF(ISNUMBER(AS30),AS30,0)</f>
        <v>22884244</v>
      </c>
      <c r="BC30" s="97"/>
      <c r="BD30" s="97"/>
      <c r="BE30" s="97"/>
      <c r="BF30" s="98"/>
      <c r="BG30" s="96">
        <v>21601824</v>
      </c>
      <c r="BH30" s="97"/>
      <c r="BI30" s="97"/>
      <c r="BJ30" s="97"/>
      <c r="BK30" s="98"/>
      <c r="BL30" s="96" t="s">
        <v>173</v>
      </c>
      <c r="BM30" s="97"/>
      <c r="BN30" s="97"/>
      <c r="BO30" s="97"/>
      <c r="BP30" s="98"/>
      <c r="BQ30" s="96" t="s">
        <v>173</v>
      </c>
      <c r="BR30" s="97"/>
      <c r="BS30" s="97"/>
      <c r="BT30" s="98"/>
      <c r="BU30" s="96">
        <f>IF(ISNUMBER(BG30),BG30,0)+IF(ISNUMBER(BL30),BL30,0)</f>
        <v>21601824</v>
      </c>
      <c r="BV30" s="97"/>
      <c r="BW30" s="97"/>
      <c r="BX30" s="97"/>
      <c r="BY30" s="98"/>
      <c r="CA30" s="99" t="s">
        <v>22</v>
      </c>
    </row>
    <row r="31" spans="1:79" s="99" customFormat="1" ht="25.5" customHeight="1" x14ac:dyDescent="0.2">
      <c r="A31" s="89"/>
      <c r="B31" s="90"/>
      <c r="C31" s="90"/>
      <c r="D31" s="91"/>
      <c r="E31" s="92" t="s">
        <v>174</v>
      </c>
      <c r="F31" s="93"/>
      <c r="G31" s="93"/>
      <c r="H31" s="93"/>
      <c r="I31" s="93"/>
      <c r="J31" s="93"/>
      <c r="K31" s="93"/>
      <c r="L31" s="93"/>
      <c r="M31" s="93"/>
      <c r="N31" s="93"/>
      <c r="O31" s="93"/>
      <c r="P31" s="93"/>
      <c r="Q31" s="93"/>
      <c r="R31" s="93"/>
      <c r="S31" s="93"/>
      <c r="T31" s="94"/>
      <c r="U31" s="95" t="s">
        <v>173</v>
      </c>
      <c r="V31" s="95"/>
      <c r="W31" s="95"/>
      <c r="X31" s="95"/>
      <c r="Y31" s="95"/>
      <c r="Z31" s="95">
        <v>178071</v>
      </c>
      <c r="AA31" s="95"/>
      <c r="AB31" s="95"/>
      <c r="AC31" s="95"/>
      <c r="AD31" s="95"/>
      <c r="AE31" s="96">
        <v>0</v>
      </c>
      <c r="AF31" s="97"/>
      <c r="AG31" s="97"/>
      <c r="AH31" s="98"/>
      <c r="AI31" s="96">
        <f>IF(ISNUMBER(U31),U31,0)+IF(ISNUMBER(Z31),Z31,0)</f>
        <v>178071</v>
      </c>
      <c r="AJ31" s="97"/>
      <c r="AK31" s="97"/>
      <c r="AL31" s="97"/>
      <c r="AM31" s="98"/>
      <c r="AN31" s="96" t="s">
        <v>173</v>
      </c>
      <c r="AO31" s="97"/>
      <c r="AP31" s="97"/>
      <c r="AQ31" s="97"/>
      <c r="AR31" s="98"/>
      <c r="AS31" s="96">
        <v>2500000</v>
      </c>
      <c r="AT31" s="97"/>
      <c r="AU31" s="97"/>
      <c r="AV31" s="97"/>
      <c r="AW31" s="98"/>
      <c r="AX31" s="96">
        <v>0</v>
      </c>
      <c r="AY31" s="97"/>
      <c r="AZ31" s="97"/>
      <c r="BA31" s="98"/>
      <c r="BB31" s="96">
        <f>IF(ISNUMBER(AN31),AN31,0)+IF(ISNUMBER(AS31),AS31,0)</f>
        <v>2500000</v>
      </c>
      <c r="BC31" s="97"/>
      <c r="BD31" s="97"/>
      <c r="BE31" s="97"/>
      <c r="BF31" s="98"/>
      <c r="BG31" s="96" t="s">
        <v>173</v>
      </c>
      <c r="BH31" s="97"/>
      <c r="BI31" s="97"/>
      <c r="BJ31" s="97"/>
      <c r="BK31" s="98"/>
      <c r="BL31" s="96">
        <v>0</v>
      </c>
      <c r="BM31" s="97"/>
      <c r="BN31" s="97"/>
      <c r="BO31" s="97"/>
      <c r="BP31" s="98"/>
      <c r="BQ31" s="96">
        <v>0</v>
      </c>
      <c r="BR31" s="97"/>
      <c r="BS31" s="97"/>
      <c r="BT31" s="98"/>
      <c r="BU31" s="96">
        <f>IF(ISNUMBER(BG31),BG31,0)+IF(ISNUMBER(BL31),BL31,0)</f>
        <v>0</v>
      </c>
      <c r="BV31" s="97"/>
      <c r="BW31" s="97"/>
      <c r="BX31" s="97"/>
      <c r="BY31" s="98"/>
    </row>
    <row r="32" spans="1:79" s="99" customFormat="1" ht="38.25" customHeight="1" x14ac:dyDescent="0.2">
      <c r="A32" s="89">
        <v>25010300</v>
      </c>
      <c r="B32" s="90"/>
      <c r="C32" s="90"/>
      <c r="D32" s="91"/>
      <c r="E32" s="92" t="s">
        <v>175</v>
      </c>
      <c r="F32" s="93"/>
      <c r="G32" s="93"/>
      <c r="H32" s="93"/>
      <c r="I32" s="93"/>
      <c r="J32" s="93"/>
      <c r="K32" s="93"/>
      <c r="L32" s="93"/>
      <c r="M32" s="93"/>
      <c r="N32" s="93"/>
      <c r="O32" s="93"/>
      <c r="P32" s="93"/>
      <c r="Q32" s="93"/>
      <c r="R32" s="93"/>
      <c r="S32" s="93"/>
      <c r="T32" s="94"/>
      <c r="U32" s="95" t="s">
        <v>173</v>
      </c>
      <c r="V32" s="95"/>
      <c r="W32" s="95"/>
      <c r="X32" s="95"/>
      <c r="Y32" s="95"/>
      <c r="Z32" s="95">
        <v>68365</v>
      </c>
      <c r="AA32" s="95"/>
      <c r="AB32" s="95"/>
      <c r="AC32" s="95"/>
      <c r="AD32" s="95"/>
      <c r="AE32" s="96">
        <v>0</v>
      </c>
      <c r="AF32" s="97"/>
      <c r="AG32" s="97"/>
      <c r="AH32" s="98"/>
      <c r="AI32" s="96">
        <f>IF(ISNUMBER(U32),U32,0)+IF(ISNUMBER(Z32),Z32,0)</f>
        <v>68365</v>
      </c>
      <c r="AJ32" s="97"/>
      <c r="AK32" s="97"/>
      <c r="AL32" s="97"/>
      <c r="AM32" s="98"/>
      <c r="AN32" s="96" t="s">
        <v>173</v>
      </c>
      <c r="AO32" s="97"/>
      <c r="AP32" s="97"/>
      <c r="AQ32" s="97"/>
      <c r="AR32" s="98"/>
      <c r="AS32" s="96">
        <v>2500000</v>
      </c>
      <c r="AT32" s="97"/>
      <c r="AU32" s="97"/>
      <c r="AV32" s="97"/>
      <c r="AW32" s="98"/>
      <c r="AX32" s="96">
        <v>0</v>
      </c>
      <c r="AY32" s="97"/>
      <c r="AZ32" s="97"/>
      <c r="BA32" s="98"/>
      <c r="BB32" s="96">
        <f>IF(ISNUMBER(AN32),AN32,0)+IF(ISNUMBER(AS32),AS32,0)</f>
        <v>2500000</v>
      </c>
      <c r="BC32" s="97"/>
      <c r="BD32" s="97"/>
      <c r="BE32" s="97"/>
      <c r="BF32" s="98"/>
      <c r="BG32" s="96" t="s">
        <v>173</v>
      </c>
      <c r="BH32" s="97"/>
      <c r="BI32" s="97"/>
      <c r="BJ32" s="97"/>
      <c r="BK32" s="98"/>
      <c r="BL32" s="96">
        <v>0</v>
      </c>
      <c r="BM32" s="97"/>
      <c r="BN32" s="97"/>
      <c r="BO32" s="97"/>
      <c r="BP32" s="98"/>
      <c r="BQ32" s="96">
        <v>0</v>
      </c>
      <c r="BR32" s="97"/>
      <c r="BS32" s="97"/>
      <c r="BT32" s="98"/>
      <c r="BU32" s="96">
        <f>IF(ISNUMBER(BG32),BG32,0)+IF(ISNUMBER(BL32),BL32,0)</f>
        <v>0</v>
      </c>
      <c r="BV32" s="97"/>
      <c r="BW32" s="97"/>
      <c r="BX32" s="97"/>
      <c r="BY32" s="98"/>
    </row>
    <row r="33" spans="1:79" s="99" customFormat="1" ht="76.5" customHeight="1" x14ac:dyDescent="0.2">
      <c r="A33" s="89">
        <v>25020200</v>
      </c>
      <c r="B33" s="90"/>
      <c r="C33" s="90"/>
      <c r="D33" s="91"/>
      <c r="E33" s="92" t="s">
        <v>176</v>
      </c>
      <c r="F33" s="93"/>
      <c r="G33" s="93"/>
      <c r="H33" s="93"/>
      <c r="I33" s="93"/>
      <c r="J33" s="93"/>
      <c r="K33" s="93"/>
      <c r="L33" s="93"/>
      <c r="M33" s="93"/>
      <c r="N33" s="93"/>
      <c r="O33" s="93"/>
      <c r="P33" s="93"/>
      <c r="Q33" s="93"/>
      <c r="R33" s="93"/>
      <c r="S33" s="93"/>
      <c r="T33" s="94"/>
      <c r="U33" s="95" t="s">
        <v>173</v>
      </c>
      <c r="V33" s="95"/>
      <c r="W33" s="95"/>
      <c r="X33" s="95"/>
      <c r="Y33" s="95"/>
      <c r="Z33" s="95">
        <v>109706</v>
      </c>
      <c r="AA33" s="95"/>
      <c r="AB33" s="95"/>
      <c r="AC33" s="95"/>
      <c r="AD33" s="95"/>
      <c r="AE33" s="96">
        <v>0</v>
      </c>
      <c r="AF33" s="97"/>
      <c r="AG33" s="97"/>
      <c r="AH33" s="98"/>
      <c r="AI33" s="96">
        <f>IF(ISNUMBER(U33),U33,0)+IF(ISNUMBER(Z33),Z33,0)</f>
        <v>109706</v>
      </c>
      <c r="AJ33" s="97"/>
      <c r="AK33" s="97"/>
      <c r="AL33" s="97"/>
      <c r="AM33" s="98"/>
      <c r="AN33" s="96" t="s">
        <v>173</v>
      </c>
      <c r="AO33" s="97"/>
      <c r="AP33" s="97"/>
      <c r="AQ33" s="97"/>
      <c r="AR33" s="98"/>
      <c r="AS33" s="96">
        <v>0</v>
      </c>
      <c r="AT33" s="97"/>
      <c r="AU33" s="97"/>
      <c r="AV33" s="97"/>
      <c r="AW33" s="98"/>
      <c r="AX33" s="96">
        <v>0</v>
      </c>
      <c r="AY33" s="97"/>
      <c r="AZ33" s="97"/>
      <c r="BA33" s="98"/>
      <c r="BB33" s="96">
        <f>IF(ISNUMBER(AN33),AN33,0)+IF(ISNUMBER(AS33),AS33,0)</f>
        <v>0</v>
      </c>
      <c r="BC33" s="97"/>
      <c r="BD33" s="97"/>
      <c r="BE33" s="97"/>
      <c r="BF33" s="98"/>
      <c r="BG33" s="96" t="s">
        <v>173</v>
      </c>
      <c r="BH33" s="97"/>
      <c r="BI33" s="97"/>
      <c r="BJ33" s="97"/>
      <c r="BK33" s="98"/>
      <c r="BL33" s="96">
        <v>0</v>
      </c>
      <c r="BM33" s="97"/>
      <c r="BN33" s="97"/>
      <c r="BO33" s="97"/>
      <c r="BP33" s="98"/>
      <c r="BQ33" s="96">
        <v>0</v>
      </c>
      <c r="BR33" s="97"/>
      <c r="BS33" s="97"/>
      <c r="BT33" s="98"/>
      <c r="BU33" s="96">
        <f>IF(ISNUMBER(BG33),BG33,0)+IF(ISNUMBER(BL33),BL33,0)</f>
        <v>0</v>
      </c>
      <c r="BV33" s="97"/>
      <c r="BW33" s="97"/>
      <c r="BX33" s="97"/>
      <c r="BY33" s="98"/>
    </row>
    <row r="34" spans="1:79" s="99" customFormat="1" ht="25.5" customHeight="1" x14ac:dyDescent="0.2">
      <c r="A34" s="89"/>
      <c r="B34" s="90"/>
      <c r="C34" s="90"/>
      <c r="D34" s="91"/>
      <c r="E34" s="92" t="s">
        <v>177</v>
      </c>
      <c r="F34" s="93"/>
      <c r="G34" s="93"/>
      <c r="H34" s="93"/>
      <c r="I34" s="93"/>
      <c r="J34" s="93"/>
      <c r="K34" s="93"/>
      <c r="L34" s="93"/>
      <c r="M34" s="93"/>
      <c r="N34" s="93"/>
      <c r="O34" s="93"/>
      <c r="P34" s="93"/>
      <c r="Q34" s="93"/>
      <c r="R34" s="93"/>
      <c r="S34" s="93"/>
      <c r="T34" s="94"/>
      <c r="U34" s="95" t="s">
        <v>173</v>
      </c>
      <c r="V34" s="95"/>
      <c r="W34" s="95"/>
      <c r="X34" s="95"/>
      <c r="Y34" s="95"/>
      <c r="Z34" s="95">
        <v>0</v>
      </c>
      <c r="AA34" s="95"/>
      <c r="AB34" s="95"/>
      <c r="AC34" s="95"/>
      <c r="AD34" s="95"/>
      <c r="AE34" s="96">
        <v>0</v>
      </c>
      <c r="AF34" s="97"/>
      <c r="AG34" s="97"/>
      <c r="AH34" s="98"/>
      <c r="AI34" s="96">
        <f>IF(ISNUMBER(U34),U34,0)+IF(ISNUMBER(Z34),Z34,0)</f>
        <v>0</v>
      </c>
      <c r="AJ34" s="97"/>
      <c r="AK34" s="97"/>
      <c r="AL34" s="97"/>
      <c r="AM34" s="98"/>
      <c r="AN34" s="96" t="s">
        <v>173</v>
      </c>
      <c r="AO34" s="97"/>
      <c r="AP34" s="97"/>
      <c r="AQ34" s="97"/>
      <c r="AR34" s="98"/>
      <c r="AS34" s="96">
        <v>703900</v>
      </c>
      <c r="AT34" s="97"/>
      <c r="AU34" s="97"/>
      <c r="AV34" s="97"/>
      <c r="AW34" s="98"/>
      <c r="AX34" s="96">
        <v>703900</v>
      </c>
      <c r="AY34" s="97"/>
      <c r="AZ34" s="97"/>
      <c r="BA34" s="98"/>
      <c r="BB34" s="96">
        <f>IF(ISNUMBER(AN34),AN34,0)+IF(ISNUMBER(AS34),AS34,0)</f>
        <v>703900</v>
      </c>
      <c r="BC34" s="97"/>
      <c r="BD34" s="97"/>
      <c r="BE34" s="97"/>
      <c r="BF34" s="98"/>
      <c r="BG34" s="96" t="s">
        <v>173</v>
      </c>
      <c r="BH34" s="97"/>
      <c r="BI34" s="97"/>
      <c r="BJ34" s="97"/>
      <c r="BK34" s="98"/>
      <c r="BL34" s="96">
        <v>0</v>
      </c>
      <c r="BM34" s="97"/>
      <c r="BN34" s="97"/>
      <c r="BO34" s="97"/>
      <c r="BP34" s="98"/>
      <c r="BQ34" s="96">
        <v>0</v>
      </c>
      <c r="BR34" s="97"/>
      <c r="BS34" s="97"/>
      <c r="BT34" s="98"/>
      <c r="BU34" s="96">
        <f>IF(ISNUMBER(BG34),BG34,0)+IF(ISNUMBER(BL34),BL34,0)</f>
        <v>0</v>
      </c>
      <c r="BV34" s="97"/>
      <c r="BW34" s="97"/>
      <c r="BX34" s="97"/>
      <c r="BY34" s="98"/>
    </row>
    <row r="35" spans="1:79" s="99" customFormat="1" ht="38.25" customHeight="1" x14ac:dyDescent="0.2">
      <c r="A35" s="89">
        <v>208400</v>
      </c>
      <c r="B35" s="90"/>
      <c r="C35" s="90"/>
      <c r="D35" s="91"/>
      <c r="E35" s="92" t="s">
        <v>178</v>
      </c>
      <c r="F35" s="93"/>
      <c r="G35" s="93"/>
      <c r="H35" s="93"/>
      <c r="I35" s="93"/>
      <c r="J35" s="93"/>
      <c r="K35" s="93"/>
      <c r="L35" s="93"/>
      <c r="M35" s="93"/>
      <c r="N35" s="93"/>
      <c r="O35" s="93"/>
      <c r="P35" s="93"/>
      <c r="Q35" s="93"/>
      <c r="R35" s="93"/>
      <c r="S35" s="93"/>
      <c r="T35" s="94"/>
      <c r="U35" s="95" t="s">
        <v>173</v>
      </c>
      <c r="V35" s="95"/>
      <c r="W35" s="95"/>
      <c r="X35" s="95"/>
      <c r="Y35" s="95"/>
      <c r="Z35" s="95">
        <v>0</v>
      </c>
      <c r="AA35" s="95"/>
      <c r="AB35" s="95"/>
      <c r="AC35" s="95"/>
      <c r="AD35" s="95"/>
      <c r="AE35" s="96">
        <v>0</v>
      </c>
      <c r="AF35" s="97"/>
      <c r="AG35" s="97"/>
      <c r="AH35" s="98"/>
      <c r="AI35" s="96">
        <f>IF(ISNUMBER(U35),U35,0)+IF(ISNUMBER(Z35),Z35,0)</f>
        <v>0</v>
      </c>
      <c r="AJ35" s="97"/>
      <c r="AK35" s="97"/>
      <c r="AL35" s="97"/>
      <c r="AM35" s="98"/>
      <c r="AN35" s="96" t="s">
        <v>173</v>
      </c>
      <c r="AO35" s="97"/>
      <c r="AP35" s="97"/>
      <c r="AQ35" s="97"/>
      <c r="AR35" s="98"/>
      <c r="AS35" s="96">
        <v>703900</v>
      </c>
      <c r="AT35" s="97"/>
      <c r="AU35" s="97"/>
      <c r="AV35" s="97"/>
      <c r="AW35" s="98"/>
      <c r="AX35" s="96">
        <v>703900</v>
      </c>
      <c r="AY35" s="97"/>
      <c r="AZ35" s="97"/>
      <c r="BA35" s="98"/>
      <c r="BB35" s="96">
        <f>IF(ISNUMBER(AN35),AN35,0)+IF(ISNUMBER(AS35),AS35,0)</f>
        <v>703900</v>
      </c>
      <c r="BC35" s="97"/>
      <c r="BD35" s="97"/>
      <c r="BE35" s="97"/>
      <c r="BF35" s="98"/>
      <c r="BG35" s="96" t="s">
        <v>173</v>
      </c>
      <c r="BH35" s="97"/>
      <c r="BI35" s="97"/>
      <c r="BJ35" s="97"/>
      <c r="BK35" s="98"/>
      <c r="BL35" s="96">
        <v>0</v>
      </c>
      <c r="BM35" s="97"/>
      <c r="BN35" s="97"/>
      <c r="BO35" s="97"/>
      <c r="BP35" s="98"/>
      <c r="BQ35" s="96">
        <v>0</v>
      </c>
      <c r="BR35" s="97"/>
      <c r="BS35" s="97"/>
      <c r="BT35" s="98"/>
      <c r="BU35" s="96">
        <f>IF(ISNUMBER(BG35),BG35,0)+IF(ISNUMBER(BL35),BL35,0)</f>
        <v>0</v>
      </c>
      <c r="BV35" s="97"/>
      <c r="BW35" s="97"/>
      <c r="BX35" s="97"/>
      <c r="BY35" s="98"/>
    </row>
    <row r="36" spans="1:79" s="6" customFormat="1" ht="12.75" customHeight="1" x14ac:dyDescent="0.2">
      <c r="A36" s="86"/>
      <c r="B36" s="87"/>
      <c r="C36" s="87"/>
      <c r="D36" s="88"/>
      <c r="E36" s="100" t="s">
        <v>147</v>
      </c>
      <c r="F36" s="101"/>
      <c r="G36" s="101"/>
      <c r="H36" s="101"/>
      <c r="I36" s="101"/>
      <c r="J36" s="101"/>
      <c r="K36" s="101"/>
      <c r="L36" s="101"/>
      <c r="M36" s="101"/>
      <c r="N36" s="101"/>
      <c r="O36" s="101"/>
      <c r="P36" s="101"/>
      <c r="Q36" s="101"/>
      <c r="R36" s="101"/>
      <c r="S36" s="101"/>
      <c r="T36" s="102"/>
      <c r="U36" s="103">
        <v>20699527</v>
      </c>
      <c r="V36" s="103"/>
      <c r="W36" s="103"/>
      <c r="X36" s="103"/>
      <c r="Y36" s="103"/>
      <c r="Z36" s="103">
        <v>178071</v>
      </c>
      <c r="AA36" s="103"/>
      <c r="AB36" s="103"/>
      <c r="AC36" s="103"/>
      <c r="AD36" s="103"/>
      <c r="AE36" s="104">
        <v>0</v>
      </c>
      <c r="AF36" s="105"/>
      <c r="AG36" s="105"/>
      <c r="AH36" s="106"/>
      <c r="AI36" s="104">
        <f>IF(ISNUMBER(U36),U36,0)+IF(ISNUMBER(Z36),Z36,0)</f>
        <v>20877598</v>
      </c>
      <c r="AJ36" s="105"/>
      <c r="AK36" s="105"/>
      <c r="AL36" s="105"/>
      <c r="AM36" s="106"/>
      <c r="AN36" s="104">
        <v>22884244</v>
      </c>
      <c r="AO36" s="105"/>
      <c r="AP36" s="105"/>
      <c r="AQ36" s="105"/>
      <c r="AR36" s="106"/>
      <c r="AS36" s="104">
        <v>3203900</v>
      </c>
      <c r="AT36" s="105"/>
      <c r="AU36" s="105"/>
      <c r="AV36" s="105"/>
      <c r="AW36" s="106"/>
      <c r="AX36" s="104">
        <v>703900</v>
      </c>
      <c r="AY36" s="105"/>
      <c r="AZ36" s="105"/>
      <c r="BA36" s="106"/>
      <c r="BB36" s="104">
        <f>IF(ISNUMBER(AN36),AN36,0)+IF(ISNUMBER(AS36),AS36,0)</f>
        <v>26088144</v>
      </c>
      <c r="BC36" s="105"/>
      <c r="BD36" s="105"/>
      <c r="BE36" s="105"/>
      <c r="BF36" s="106"/>
      <c r="BG36" s="104">
        <v>21601824</v>
      </c>
      <c r="BH36" s="105"/>
      <c r="BI36" s="105"/>
      <c r="BJ36" s="105"/>
      <c r="BK36" s="106"/>
      <c r="BL36" s="104">
        <v>0</v>
      </c>
      <c r="BM36" s="105"/>
      <c r="BN36" s="105"/>
      <c r="BO36" s="105"/>
      <c r="BP36" s="106"/>
      <c r="BQ36" s="104">
        <v>0</v>
      </c>
      <c r="BR36" s="105"/>
      <c r="BS36" s="105"/>
      <c r="BT36" s="106"/>
      <c r="BU36" s="104">
        <f>IF(ISNUMBER(BG36),BG36,0)+IF(ISNUMBER(BL36),BL36,0)</f>
        <v>21601824</v>
      </c>
      <c r="BV36" s="105"/>
      <c r="BW36" s="105"/>
      <c r="BX36" s="105"/>
      <c r="BY36" s="106"/>
    </row>
    <row r="38" spans="1:79" ht="14.25" customHeight="1" x14ac:dyDescent="0.2">
      <c r="A38" s="79" t="s">
        <v>344</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79"/>
      <c r="BK38" s="79"/>
      <c r="BL38" s="79"/>
    </row>
    <row r="39" spans="1:79" ht="15" customHeight="1" x14ac:dyDescent="0.2">
      <c r="A39" s="44" t="s">
        <v>318</v>
      </c>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4"/>
      <c r="AZ39" s="44"/>
      <c r="BA39" s="44"/>
      <c r="BB39" s="44"/>
      <c r="BC39" s="44"/>
      <c r="BD39" s="44"/>
      <c r="BE39" s="44"/>
      <c r="BF39" s="44"/>
      <c r="BG39" s="44"/>
      <c r="BH39" s="44"/>
      <c r="BI39" s="44"/>
      <c r="BJ39" s="44"/>
      <c r="BK39" s="44"/>
    </row>
    <row r="40" spans="1:79" ht="22.5" customHeight="1" x14ac:dyDescent="0.2">
      <c r="A40" s="51" t="s">
        <v>2</v>
      </c>
      <c r="B40" s="52"/>
      <c r="C40" s="52"/>
      <c r="D40" s="53"/>
      <c r="E40" s="51" t="s">
        <v>19</v>
      </c>
      <c r="F40" s="52"/>
      <c r="G40" s="52"/>
      <c r="H40" s="52"/>
      <c r="I40" s="52"/>
      <c r="J40" s="52"/>
      <c r="K40" s="52"/>
      <c r="L40" s="52"/>
      <c r="M40" s="52"/>
      <c r="N40" s="52"/>
      <c r="O40" s="52"/>
      <c r="P40" s="52"/>
      <c r="Q40" s="52"/>
      <c r="R40" s="52"/>
      <c r="S40" s="52"/>
      <c r="T40" s="52"/>
      <c r="U40" s="52"/>
      <c r="V40" s="52"/>
      <c r="W40" s="53"/>
      <c r="X40" s="36" t="s">
        <v>340</v>
      </c>
      <c r="Y40" s="37"/>
      <c r="Z40" s="37"/>
      <c r="AA40" s="37"/>
      <c r="AB40" s="37"/>
      <c r="AC40" s="37"/>
      <c r="AD40" s="37"/>
      <c r="AE40" s="37"/>
      <c r="AF40" s="37"/>
      <c r="AG40" s="37"/>
      <c r="AH40" s="37"/>
      <c r="AI40" s="37"/>
      <c r="AJ40" s="37"/>
      <c r="AK40" s="37"/>
      <c r="AL40" s="37"/>
      <c r="AM40" s="37"/>
      <c r="AN40" s="37"/>
      <c r="AO40" s="37"/>
      <c r="AP40" s="37"/>
      <c r="AQ40" s="38"/>
      <c r="AR40" s="27" t="s">
        <v>345</v>
      </c>
      <c r="AS40" s="27"/>
      <c r="AT40" s="27"/>
      <c r="AU40" s="27"/>
      <c r="AV40" s="27"/>
      <c r="AW40" s="27"/>
      <c r="AX40" s="27"/>
      <c r="AY40" s="27"/>
      <c r="AZ40" s="27"/>
      <c r="BA40" s="27"/>
      <c r="BB40" s="27"/>
      <c r="BC40" s="27"/>
      <c r="BD40" s="27"/>
      <c r="BE40" s="27"/>
      <c r="BF40" s="27"/>
      <c r="BG40" s="27"/>
      <c r="BH40" s="27"/>
      <c r="BI40" s="27"/>
      <c r="BJ40" s="27"/>
      <c r="BK40" s="27"/>
    </row>
    <row r="41" spans="1:79" ht="36" customHeight="1" x14ac:dyDescent="0.2">
      <c r="A41" s="54"/>
      <c r="B41" s="55"/>
      <c r="C41" s="55"/>
      <c r="D41" s="56"/>
      <c r="E41" s="54"/>
      <c r="F41" s="55"/>
      <c r="G41" s="55"/>
      <c r="H41" s="55"/>
      <c r="I41" s="55"/>
      <c r="J41" s="55"/>
      <c r="K41" s="55"/>
      <c r="L41" s="55"/>
      <c r="M41" s="55"/>
      <c r="N41" s="55"/>
      <c r="O41" s="55"/>
      <c r="P41" s="55"/>
      <c r="Q41" s="55"/>
      <c r="R41" s="55"/>
      <c r="S41" s="55"/>
      <c r="T41" s="55"/>
      <c r="U41" s="55"/>
      <c r="V41" s="55"/>
      <c r="W41" s="56"/>
      <c r="X41" s="27" t="s">
        <v>4</v>
      </c>
      <c r="Y41" s="27"/>
      <c r="Z41" s="27"/>
      <c r="AA41" s="27"/>
      <c r="AB41" s="27"/>
      <c r="AC41" s="27" t="s">
        <v>3</v>
      </c>
      <c r="AD41" s="27"/>
      <c r="AE41" s="27"/>
      <c r="AF41" s="27"/>
      <c r="AG41" s="27"/>
      <c r="AH41" s="57" t="s">
        <v>116</v>
      </c>
      <c r="AI41" s="58"/>
      <c r="AJ41" s="58"/>
      <c r="AK41" s="58"/>
      <c r="AL41" s="59"/>
      <c r="AM41" s="36" t="s">
        <v>5</v>
      </c>
      <c r="AN41" s="37"/>
      <c r="AO41" s="37"/>
      <c r="AP41" s="37"/>
      <c r="AQ41" s="38"/>
      <c r="AR41" s="36" t="s">
        <v>4</v>
      </c>
      <c r="AS41" s="37"/>
      <c r="AT41" s="37"/>
      <c r="AU41" s="37"/>
      <c r="AV41" s="38"/>
      <c r="AW41" s="36" t="s">
        <v>3</v>
      </c>
      <c r="AX41" s="37"/>
      <c r="AY41" s="37"/>
      <c r="AZ41" s="37"/>
      <c r="BA41" s="38"/>
      <c r="BB41" s="57" t="s">
        <v>116</v>
      </c>
      <c r="BC41" s="58"/>
      <c r="BD41" s="58"/>
      <c r="BE41" s="58"/>
      <c r="BF41" s="59"/>
      <c r="BG41" s="36" t="s">
        <v>96</v>
      </c>
      <c r="BH41" s="37"/>
      <c r="BI41" s="37"/>
      <c r="BJ41" s="37"/>
      <c r="BK41" s="38"/>
    </row>
    <row r="42" spans="1:79" ht="15" customHeight="1" x14ac:dyDescent="0.2">
      <c r="A42" s="36">
        <v>1</v>
      </c>
      <c r="B42" s="37"/>
      <c r="C42" s="37"/>
      <c r="D42" s="38"/>
      <c r="E42" s="36">
        <v>2</v>
      </c>
      <c r="F42" s="37"/>
      <c r="G42" s="37"/>
      <c r="H42" s="37"/>
      <c r="I42" s="37"/>
      <c r="J42" s="37"/>
      <c r="K42" s="37"/>
      <c r="L42" s="37"/>
      <c r="M42" s="37"/>
      <c r="N42" s="37"/>
      <c r="O42" s="37"/>
      <c r="P42" s="37"/>
      <c r="Q42" s="37"/>
      <c r="R42" s="37"/>
      <c r="S42" s="37"/>
      <c r="T42" s="37"/>
      <c r="U42" s="37"/>
      <c r="V42" s="37"/>
      <c r="W42" s="38"/>
      <c r="X42" s="27">
        <v>3</v>
      </c>
      <c r="Y42" s="27"/>
      <c r="Z42" s="27"/>
      <c r="AA42" s="27"/>
      <c r="AB42" s="27"/>
      <c r="AC42" s="27">
        <v>4</v>
      </c>
      <c r="AD42" s="27"/>
      <c r="AE42" s="27"/>
      <c r="AF42" s="27"/>
      <c r="AG42" s="27"/>
      <c r="AH42" s="27">
        <v>5</v>
      </c>
      <c r="AI42" s="27"/>
      <c r="AJ42" s="27"/>
      <c r="AK42" s="27"/>
      <c r="AL42" s="27"/>
      <c r="AM42" s="27">
        <v>6</v>
      </c>
      <c r="AN42" s="27"/>
      <c r="AO42" s="27"/>
      <c r="AP42" s="27"/>
      <c r="AQ42" s="27"/>
      <c r="AR42" s="36">
        <v>7</v>
      </c>
      <c r="AS42" s="37"/>
      <c r="AT42" s="37"/>
      <c r="AU42" s="37"/>
      <c r="AV42" s="38"/>
      <c r="AW42" s="36">
        <v>8</v>
      </c>
      <c r="AX42" s="37"/>
      <c r="AY42" s="37"/>
      <c r="AZ42" s="37"/>
      <c r="BA42" s="38"/>
      <c r="BB42" s="36">
        <v>9</v>
      </c>
      <c r="BC42" s="37"/>
      <c r="BD42" s="37"/>
      <c r="BE42" s="37"/>
      <c r="BF42" s="38"/>
      <c r="BG42" s="36">
        <v>10</v>
      </c>
      <c r="BH42" s="37"/>
      <c r="BI42" s="37"/>
      <c r="BJ42" s="37"/>
      <c r="BK42" s="38"/>
    </row>
    <row r="43" spans="1:79" ht="20.25" hidden="1" customHeight="1" x14ac:dyDescent="0.2">
      <c r="A43" s="39" t="s">
        <v>56</v>
      </c>
      <c r="B43" s="40"/>
      <c r="C43" s="40"/>
      <c r="D43" s="41"/>
      <c r="E43" s="39" t="s">
        <v>57</v>
      </c>
      <c r="F43" s="40"/>
      <c r="G43" s="40"/>
      <c r="H43" s="40"/>
      <c r="I43" s="40"/>
      <c r="J43" s="40"/>
      <c r="K43" s="40"/>
      <c r="L43" s="40"/>
      <c r="M43" s="40"/>
      <c r="N43" s="40"/>
      <c r="O43" s="40"/>
      <c r="P43" s="40"/>
      <c r="Q43" s="40"/>
      <c r="R43" s="40"/>
      <c r="S43" s="40"/>
      <c r="T43" s="40"/>
      <c r="U43" s="40"/>
      <c r="V43" s="40"/>
      <c r="W43" s="41"/>
      <c r="X43" s="26" t="s">
        <v>60</v>
      </c>
      <c r="Y43" s="26"/>
      <c r="Z43" s="26"/>
      <c r="AA43" s="26"/>
      <c r="AB43" s="26"/>
      <c r="AC43" s="26" t="s">
        <v>61</v>
      </c>
      <c r="AD43" s="26"/>
      <c r="AE43" s="26"/>
      <c r="AF43" s="26"/>
      <c r="AG43" s="26"/>
      <c r="AH43" s="39" t="s">
        <v>94</v>
      </c>
      <c r="AI43" s="40"/>
      <c r="AJ43" s="40"/>
      <c r="AK43" s="40"/>
      <c r="AL43" s="41"/>
      <c r="AM43" s="47" t="s">
        <v>170</v>
      </c>
      <c r="AN43" s="48"/>
      <c r="AO43" s="48"/>
      <c r="AP43" s="48"/>
      <c r="AQ43" s="49"/>
      <c r="AR43" s="39" t="s">
        <v>62</v>
      </c>
      <c r="AS43" s="40"/>
      <c r="AT43" s="40"/>
      <c r="AU43" s="40"/>
      <c r="AV43" s="41"/>
      <c r="AW43" s="39" t="s">
        <v>63</v>
      </c>
      <c r="AX43" s="40"/>
      <c r="AY43" s="40"/>
      <c r="AZ43" s="40"/>
      <c r="BA43" s="41"/>
      <c r="BB43" s="39" t="s">
        <v>95</v>
      </c>
      <c r="BC43" s="40"/>
      <c r="BD43" s="40"/>
      <c r="BE43" s="40"/>
      <c r="BF43" s="41"/>
      <c r="BG43" s="47" t="s">
        <v>170</v>
      </c>
      <c r="BH43" s="48"/>
      <c r="BI43" s="48"/>
      <c r="BJ43" s="48"/>
      <c r="BK43" s="49"/>
      <c r="CA43" t="s">
        <v>23</v>
      </c>
    </row>
    <row r="44" spans="1:79" s="99" customFormat="1" ht="12.75" customHeight="1" x14ac:dyDescent="0.2">
      <c r="A44" s="89"/>
      <c r="B44" s="90"/>
      <c r="C44" s="90"/>
      <c r="D44" s="91"/>
      <c r="E44" s="92" t="s">
        <v>172</v>
      </c>
      <c r="F44" s="93"/>
      <c r="G44" s="93"/>
      <c r="H44" s="93"/>
      <c r="I44" s="93"/>
      <c r="J44" s="93"/>
      <c r="K44" s="93"/>
      <c r="L44" s="93"/>
      <c r="M44" s="93"/>
      <c r="N44" s="93"/>
      <c r="O44" s="93"/>
      <c r="P44" s="93"/>
      <c r="Q44" s="93"/>
      <c r="R44" s="93"/>
      <c r="S44" s="93"/>
      <c r="T44" s="93"/>
      <c r="U44" s="93"/>
      <c r="V44" s="93"/>
      <c r="W44" s="94"/>
      <c r="X44" s="96">
        <v>23318456</v>
      </c>
      <c r="Y44" s="97"/>
      <c r="Z44" s="97"/>
      <c r="AA44" s="97"/>
      <c r="AB44" s="98"/>
      <c r="AC44" s="96" t="s">
        <v>173</v>
      </c>
      <c r="AD44" s="97"/>
      <c r="AE44" s="97"/>
      <c r="AF44" s="97"/>
      <c r="AG44" s="98"/>
      <c r="AH44" s="96" t="s">
        <v>173</v>
      </c>
      <c r="AI44" s="97"/>
      <c r="AJ44" s="97"/>
      <c r="AK44" s="97"/>
      <c r="AL44" s="98"/>
      <c r="AM44" s="96">
        <f>IF(ISNUMBER(X44),X44,0)+IF(ISNUMBER(AC44),AC44,0)</f>
        <v>23318456</v>
      </c>
      <c r="AN44" s="97"/>
      <c r="AO44" s="97"/>
      <c r="AP44" s="97"/>
      <c r="AQ44" s="98"/>
      <c r="AR44" s="96">
        <v>24901125</v>
      </c>
      <c r="AS44" s="97"/>
      <c r="AT44" s="97"/>
      <c r="AU44" s="97"/>
      <c r="AV44" s="98"/>
      <c r="AW44" s="96" t="s">
        <v>173</v>
      </c>
      <c r="AX44" s="97"/>
      <c r="AY44" s="97"/>
      <c r="AZ44" s="97"/>
      <c r="BA44" s="98"/>
      <c r="BB44" s="96" t="s">
        <v>173</v>
      </c>
      <c r="BC44" s="97"/>
      <c r="BD44" s="97"/>
      <c r="BE44" s="97"/>
      <c r="BF44" s="98"/>
      <c r="BG44" s="95">
        <f>IF(ISNUMBER(AR44),AR44,0)+IF(ISNUMBER(AW44),AW44,0)</f>
        <v>24901125</v>
      </c>
      <c r="BH44" s="95"/>
      <c r="BI44" s="95"/>
      <c r="BJ44" s="95"/>
      <c r="BK44" s="95"/>
      <c r="CA44" s="99" t="s">
        <v>24</v>
      </c>
    </row>
    <row r="45" spans="1:79" s="99" customFormat="1" ht="25.5" customHeight="1" x14ac:dyDescent="0.2">
      <c r="A45" s="89"/>
      <c r="B45" s="90"/>
      <c r="C45" s="90"/>
      <c r="D45" s="91"/>
      <c r="E45" s="92" t="s">
        <v>174</v>
      </c>
      <c r="F45" s="93"/>
      <c r="G45" s="93"/>
      <c r="H45" s="93"/>
      <c r="I45" s="93"/>
      <c r="J45" s="93"/>
      <c r="K45" s="93"/>
      <c r="L45" s="93"/>
      <c r="M45" s="93"/>
      <c r="N45" s="93"/>
      <c r="O45" s="93"/>
      <c r="P45" s="93"/>
      <c r="Q45" s="93"/>
      <c r="R45" s="93"/>
      <c r="S45" s="93"/>
      <c r="T45" s="93"/>
      <c r="U45" s="93"/>
      <c r="V45" s="93"/>
      <c r="W45" s="94"/>
      <c r="X45" s="96" t="s">
        <v>173</v>
      </c>
      <c r="Y45" s="97"/>
      <c r="Z45" s="97"/>
      <c r="AA45" s="97"/>
      <c r="AB45" s="98"/>
      <c r="AC45" s="96">
        <v>0</v>
      </c>
      <c r="AD45" s="97"/>
      <c r="AE45" s="97"/>
      <c r="AF45" s="97"/>
      <c r="AG45" s="98"/>
      <c r="AH45" s="96">
        <v>0</v>
      </c>
      <c r="AI45" s="97"/>
      <c r="AJ45" s="97"/>
      <c r="AK45" s="97"/>
      <c r="AL45" s="98"/>
      <c r="AM45" s="96">
        <f>IF(ISNUMBER(X45),X45,0)+IF(ISNUMBER(AC45),AC45,0)</f>
        <v>0</v>
      </c>
      <c r="AN45" s="97"/>
      <c r="AO45" s="97"/>
      <c r="AP45" s="97"/>
      <c r="AQ45" s="98"/>
      <c r="AR45" s="96" t="s">
        <v>173</v>
      </c>
      <c r="AS45" s="97"/>
      <c r="AT45" s="97"/>
      <c r="AU45" s="97"/>
      <c r="AV45" s="98"/>
      <c r="AW45" s="96">
        <v>0</v>
      </c>
      <c r="AX45" s="97"/>
      <c r="AY45" s="97"/>
      <c r="AZ45" s="97"/>
      <c r="BA45" s="98"/>
      <c r="BB45" s="96">
        <v>0</v>
      </c>
      <c r="BC45" s="97"/>
      <c r="BD45" s="97"/>
      <c r="BE45" s="97"/>
      <c r="BF45" s="98"/>
      <c r="BG45" s="95">
        <f>IF(ISNUMBER(AR45),AR45,0)+IF(ISNUMBER(AW45),AW45,0)</f>
        <v>0</v>
      </c>
      <c r="BH45" s="95"/>
      <c r="BI45" s="95"/>
      <c r="BJ45" s="95"/>
      <c r="BK45" s="95"/>
    </row>
    <row r="46" spans="1:79" s="99" customFormat="1" ht="38.25" customHeight="1" x14ac:dyDescent="0.2">
      <c r="A46" s="89">
        <v>25010300</v>
      </c>
      <c r="B46" s="90"/>
      <c r="C46" s="90"/>
      <c r="D46" s="91"/>
      <c r="E46" s="92" t="s">
        <v>175</v>
      </c>
      <c r="F46" s="93"/>
      <c r="G46" s="93"/>
      <c r="H46" s="93"/>
      <c r="I46" s="93"/>
      <c r="J46" s="93"/>
      <c r="K46" s="93"/>
      <c r="L46" s="93"/>
      <c r="M46" s="93"/>
      <c r="N46" s="93"/>
      <c r="O46" s="93"/>
      <c r="P46" s="93"/>
      <c r="Q46" s="93"/>
      <c r="R46" s="93"/>
      <c r="S46" s="93"/>
      <c r="T46" s="93"/>
      <c r="U46" s="93"/>
      <c r="V46" s="93"/>
      <c r="W46" s="94"/>
      <c r="X46" s="96" t="s">
        <v>173</v>
      </c>
      <c r="Y46" s="97"/>
      <c r="Z46" s="97"/>
      <c r="AA46" s="97"/>
      <c r="AB46" s="98"/>
      <c r="AC46" s="96">
        <v>0</v>
      </c>
      <c r="AD46" s="97"/>
      <c r="AE46" s="97"/>
      <c r="AF46" s="97"/>
      <c r="AG46" s="98"/>
      <c r="AH46" s="96">
        <v>0</v>
      </c>
      <c r="AI46" s="97"/>
      <c r="AJ46" s="97"/>
      <c r="AK46" s="97"/>
      <c r="AL46" s="98"/>
      <c r="AM46" s="96">
        <f>IF(ISNUMBER(X46),X46,0)+IF(ISNUMBER(AC46),AC46,0)</f>
        <v>0</v>
      </c>
      <c r="AN46" s="97"/>
      <c r="AO46" s="97"/>
      <c r="AP46" s="97"/>
      <c r="AQ46" s="98"/>
      <c r="AR46" s="96" t="s">
        <v>173</v>
      </c>
      <c r="AS46" s="97"/>
      <c r="AT46" s="97"/>
      <c r="AU46" s="97"/>
      <c r="AV46" s="98"/>
      <c r="AW46" s="96">
        <v>0</v>
      </c>
      <c r="AX46" s="97"/>
      <c r="AY46" s="97"/>
      <c r="AZ46" s="97"/>
      <c r="BA46" s="98"/>
      <c r="BB46" s="96">
        <v>0</v>
      </c>
      <c r="BC46" s="97"/>
      <c r="BD46" s="97"/>
      <c r="BE46" s="97"/>
      <c r="BF46" s="98"/>
      <c r="BG46" s="95">
        <f>IF(ISNUMBER(AR46),AR46,0)+IF(ISNUMBER(AW46),AW46,0)</f>
        <v>0</v>
      </c>
      <c r="BH46" s="95"/>
      <c r="BI46" s="95"/>
      <c r="BJ46" s="95"/>
      <c r="BK46" s="95"/>
    </row>
    <row r="47" spans="1:79" s="99" customFormat="1" ht="63.75" customHeight="1" x14ac:dyDescent="0.2">
      <c r="A47" s="89">
        <v>25020200</v>
      </c>
      <c r="B47" s="90"/>
      <c r="C47" s="90"/>
      <c r="D47" s="91"/>
      <c r="E47" s="92" t="s">
        <v>176</v>
      </c>
      <c r="F47" s="93"/>
      <c r="G47" s="93"/>
      <c r="H47" s="93"/>
      <c r="I47" s="93"/>
      <c r="J47" s="93"/>
      <c r="K47" s="93"/>
      <c r="L47" s="93"/>
      <c r="M47" s="93"/>
      <c r="N47" s="93"/>
      <c r="O47" s="93"/>
      <c r="P47" s="93"/>
      <c r="Q47" s="93"/>
      <c r="R47" s="93"/>
      <c r="S47" s="93"/>
      <c r="T47" s="93"/>
      <c r="U47" s="93"/>
      <c r="V47" s="93"/>
      <c r="W47" s="94"/>
      <c r="X47" s="96" t="s">
        <v>173</v>
      </c>
      <c r="Y47" s="97"/>
      <c r="Z47" s="97"/>
      <c r="AA47" s="97"/>
      <c r="AB47" s="98"/>
      <c r="AC47" s="96">
        <v>0</v>
      </c>
      <c r="AD47" s="97"/>
      <c r="AE47" s="97"/>
      <c r="AF47" s="97"/>
      <c r="AG47" s="98"/>
      <c r="AH47" s="96">
        <v>0</v>
      </c>
      <c r="AI47" s="97"/>
      <c r="AJ47" s="97"/>
      <c r="AK47" s="97"/>
      <c r="AL47" s="98"/>
      <c r="AM47" s="96">
        <f>IF(ISNUMBER(X47),X47,0)+IF(ISNUMBER(AC47),AC47,0)</f>
        <v>0</v>
      </c>
      <c r="AN47" s="97"/>
      <c r="AO47" s="97"/>
      <c r="AP47" s="97"/>
      <c r="AQ47" s="98"/>
      <c r="AR47" s="96" t="s">
        <v>173</v>
      </c>
      <c r="AS47" s="97"/>
      <c r="AT47" s="97"/>
      <c r="AU47" s="97"/>
      <c r="AV47" s="98"/>
      <c r="AW47" s="96">
        <v>0</v>
      </c>
      <c r="AX47" s="97"/>
      <c r="AY47" s="97"/>
      <c r="AZ47" s="97"/>
      <c r="BA47" s="98"/>
      <c r="BB47" s="96">
        <v>0</v>
      </c>
      <c r="BC47" s="97"/>
      <c r="BD47" s="97"/>
      <c r="BE47" s="97"/>
      <c r="BF47" s="98"/>
      <c r="BG47" s="95">
        <f>IF(ISNUMBER(AR47),AR47,0)+IF(ISNUMBER(AW47),AW47,0)</f>
        <v>0</v>
      </c>
      <c r="BH47" s="95"/>
      <c r="BI47" s="95"/>
      <c r="BJ47" s="95"/>
      <c r="BK47" s="95"/>
    </row>
    <row r="48" spans="1:79" s="99" customFormat="1" ht="25.5" customHeight="1" x14ac:dyDescent="0.2">
      <c r="A48" s="89"/>
      <c r="B48" s="90"/>
      <c r="C48" s="90"/>
      <c r="D48" s="91"/>
      <c r="E48" s="92" t="s">
        <v>177</v>
      </c>
      <c r="F48" s="93"/>
      <c r="G48" s="93"/>
      <c r="H48" s="93"/>
      <c r="I48" s="93"/>
      <c r="J48" s="93"/>
      <c r="K48" s="93"/>
      <c r="L48" s="93"/>
      <c r="M48" s="93"/>
      <c r="N48" s="93"/>
      <c r="O48" s="93"/>
      <c r="P48" s="93"/>
      <c r="Q48" s="93"/>
      <c r="R48" s="93"/>
      <c r="S48" s="93"/>
      <c r="T48" s="93"/>
      <c r="U48" s="93"/>
      <c r="V48" s="93"/>
      <c r="W48" s="94"/>
      <c r="X48" s="96" t="s">
        <v>173</v>
      </c>
      <c r="Y48" s="97"/>
      <c r="Z48" s="97"/>
      <c r="AA48" s="97"/>
      <c r="AB48" s="98"/>
      <c r="AC48" s="96">
        <v>0</v>
      </c>
      <c r="AD48" s="97"/>
      <c r="AE48" s="97"/>
      <c r="AF48" s="97"/>
      <c r="AG48" s="98"/>
      <c r="AH48" s="96">
        <v>0</v>
      </c>
      <c r="AI48" s="97"/>
      <c r="AJ48" s="97"/>
      <c r="AK48" s="97"/>
      <c r="AL48" s="98"/>
      <c r="AM48" s="96">
        <f>IF(ISNUMBER(X48),X48,0)+IF(ISNUMBER(AC48),AC48,0)</f>
        <v>0</v>
      </c>
      <c r="AN48" s="97"/>
      <c r="AO48" s="97"/>
      <c r="AP48" s="97"/>
      <c r="AQ48" s="98"/>
      <c r="AR48" s="96" t="s">
        <v>173</v>
      </c>
      <c r="AS48" s="97"/>
      <c r="AT48" s="97"/>
      <c r="AU48" s="97"/>
      <c r="AV48" s="98"/>
      <c r="AW48" s="96">
        <v>0</v>
      </c>
      <c r="AX48" s="97"/>
      <c r="AY48" s="97"/>
      <c r="AZ48" s="97"/>
      <c r="BA48" s="98"/>
      <c r="BB48" s="96">
        <v>0</v>
      </c>
      <c r="BC48" s="97"/>
      <c r="BD48" s="97"/>
      <c r="BE48" s="97"/>
      <c r="BF48" s="98"/>
      <c r="BG48" s="95">
        <f>IF(ISNUMBER(AR48),AR48,0)+IF(ISNUMBER(AW48),AW48,0)</f>
        <v>0</v>
      </c>
      <c r="BH48" s="95"/>
      <c r="BI48" s="95"/>
      <c r="BJ48" s="95"/>
      <c r="BK48" s="95"/>
    </row>
    <row r="49" spans="1:79" s="99" customFormat="1" ht="25.5" customHeight="1" x14ac:dyDescent="0.2">
      <c r="A49" s="89">
        <v>208400</v>
      </c>
      <c r="B49" s="90"/>
      <c r="C49" s="90"/>
      <c r="D49" s="91"/>
      <c r="E49" s="92" t="s">
        <v>178</v>
      </c>
      <c r="F49" s="93"/>
      <c r="G49" s="93"/>
      <c r="H49" s="93"/>
      <c r="I49" s="93"/>
      <c r="J49" s="93"/>
      <c r="K49" s="93"/>
      <c r="L49" s="93"/>
      <c r="M49" s="93"/>
      <c r="N49" s="93"/>
      <c r="O49" s="93"/>
      <c r="P49" s="93"/>
      <c r="Q49" s="93"/>
      <c r="R49" s="93"/>
      <c r="S49" s="93"/>
      <c r="T49" s="93"/>
      <c r="U49" s="93"/>
      <c r="V49" s="93"/>
      <c r="W49" s="94"/>
      <c r="X49" s="96" t="s">
        <v>173</v>
      </c>
      <c r="Y49" s="97"/>
      <c r="Z49" s="97"/>
      <c r="AA49" s="97"/>
      <c r="AB49" s="98"/>
      <c r="AC49" s="96">
        <v>0</v>
      </c>
      <c r="AD49" s="97"/>
      <c r="AE49" s="97"/>
      <c r="AF49" s="97"/>
      <c r="AG49" s="98"/>
      <c r="AH49" s="96">
        <v>0</v>
      </c>
      <c r="AI49" s="97"/>
      <c r="AJ49" s="97"/>
      <c r="AK49" s="97"/>
      <c r="AL49" s="98"/>
      <c r="AM49" s="96">
        <f>IF(ISNUMBER(X49),X49,0)+IF(ISNUMBER(AC49),AC49,0)</f>
        <v>0</v>
      </c>
      <c r="AN49" s="97"/>
      <c r="AO49" s="97"/>
      <c r="AP49" s="97"/>
      <c r="AQ49" s="98"/>
      <c r="AR49" s="96" t="s">
        <v>173</v>
      </c>
      <c r="AS49" s="97"/>
      <c r="AT49" s="97"/>
      <c r="AU49" s="97"/>
      <c r="AV49" s="98"/>
      <c r="AW49" s="96">
        <v>0</v>
      </c>
      <c r="AX49" s="97"/>
      <c r="AY49" s="97"/>
      <c r="AZ49" s="97"/>
      <c r="BA49" s="98"/>
      <c r="BB49" s="96">
        <v>0</v>
      </c>
      <c r="BC49" s="97"/>
      <c r="BD49" s="97"/>
      <c r="BE49" s="97"/>
      <c r="BF49" s="98"/>
      <c r="BG49" s="95">
        <f>IF(ISNUMBER(AR49),AR49,0)+IF(ISNUMBER(AW49),AW49,0)</f>
        <v>0</v>
      </c>
      <c r="BH49" s="95"/>
      <c r="BI49" s="95"/>
      <c r="BJ49" s="95"/>
      <c r="BK49" s="95"/>
    </row>
    <row r="50" spans="1:79" s="6" customFormat="1" ht="12.75" customHeight="1" x14ac:dyDescent="0.2">
      <c r="A50" s="86"/>
      <c r="B50" s="87"/>
      <c r="C50" s="87"/>
      <c r="D50" s="88"/>
      <c r="E50" s="100" t="s">
        <v>147</v>
      </c>
      <c r="F50" s="101"/>
      <c r="G50" s="101"/>
      <c r="H50" s="101"/>
      <c r="I50" s="101"/>
      <c r="J50" s="101"/>
      <c r="K50" s="101"/>
      <c r="L50" s="101"/>
      <c r="M50" s="101"/>
      <c r="N50" s="101"/>
      <c r="O50" s="101"/>
      <c r="P50" s="101"/>
      <c r="Q50" s="101"/>
      <c r="R50" s="101"/>
      <c r="S50" s="101"/>
      <c r="T50" s="101"/>
      <c r="U50" s="101"/>
      <c r="V50" s="101"/>
      <c r="W50" s="102"/>
      <c r="X50" s="104">
        <v>23318456</v>
      </c>
      <c r="Y50" s="105"/>
      <c r="Z50" s="105"/>
      <c r="AA50" s="105"/>
      <c r="AB50" s="106"/>
      <c r="AC50" s="104">
        <v>0</v>
      </c>
      <c r="AD50" s="105"/>
      <c r="AE50" s="105"/>
      <c r="AF50" s="105"/>
      <c r="AG50" s="106"/>
      <c r="AH50" s="104">
        <v>0</v>
      </c>
      <c r="AI50" s="105"/>
      <c r="AJ50" s="105"/>
      <c r="AK50" s="105"/>
      <c r="AL50" s="106"/>
      <c r="AM50" s="104">
        <f>IF(ISNUMBER(X50),X50,0)+IF(ISNUMBER(AC50),AC50,0)</f>
        <v>23318456</v>
      </c>
      <c r="AN50" s="105"/>
      <c r="AO50" s="105"/>
      <c r="AP50" s="105"/>
      <c r="AQ50" s="106"/>
      <c r="AR50" s="104">
        <v>24901125</v>
      </c>
      <c r="AS50" s="105"/>
      <c r="AT50" s="105"/>
      <c r="AU50" s="105"/>
      <c r="AV50" s="106"/>
      <c r="AW50" s="104">
        <v>0</v>
      </c>
      <c r="AX50" s="105"/>
      <c r="AY50" s="105"/>
      <c r="AZ50" s="105"/>
      <c r="BA50" s="106"/>
      <c r="BB50" s="104">
        <v>0</v>
      </c>
      <c r="BC50" s="105"/>
      <c r="BD50" s="105"/>
      <c r="BE50" s="105"/>
      <c r="BF50" s="106"/>
      <c r="BG50" s="103">
        <f>IF(ISNUMBER(AR50),AR50,0)+IF(ISNUMBER(AW50),AW50,0)</f>
        <v>24901125</v>
      </c>
      <c r="BH50" s="103"/>
      <c r="BI50" s="103"/>
      <c r="BJ50" s="103"/>
      <c r="BK50" s="103"/>
    </row>
    <row r="51" spans="1:79" s="4" customFormat="1" ht="12.75" customHeight="1" x14ac:dyDescent="0.2">
      <c r="A51" s="17"/>
      <c r="B51" s="17"/>
      <c r="C51" s="17"/>
      <c r="D51" s="17"/>
      <c r="E51" s="17"/>
      <c r="F51" s="17"/>
      <c r="G51" s="17"/>
      <c r="H51" s="17"/>
      <c r="I51" s="17"/>
      <c r="J51" s="17"/>
      <c r="K51" s="17"/>
      <c r="L51" s="17"/>
      <c r="M51" s="17"/>
      <c r="N51" s="17"/>
      <c r="O51" s="17"/>
      <c r="P51" s="17"/>
      <c r="Q51" s="17"/>
      <c r="R51" s="17"/>
      <c r="S51" s="17"/>
      <c r="T51" s="17"/>
      <c r="U51" s="17"/>
      <c r="V51" s="17"/>
      <c r="W51" s="17"/>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row>
    <row r="53" spans="1:79" s="3" customFormat="1" ht="14.25" customHeight="1" x14ac:dyDescent="0.2">
      <c r="A53" s="29" t="s">
        <v>117</v>
      </c>
      <c r="B53" s="29"/>
      <c r="C53" s="29"/>
      <c r="D53" s="29"/>
      <c r="E53" s="29"/>
      <c r="F53" s="29"/>
      <c r="G53" s="29"/>
      <c r="H53" s="29"/>
      <c r="I53" s="29"/>
      <c r="J53" s="29"/>
      <c r="K53" s="29"/>
      <c r="L53" s="29"/>
      <c r="M53" s="29"/>
      <c r="N53" s="29"/>
      <c r="O53" s="29"/>
      <c r="P53" s="29"/>
      <c r="Q53" s="29"/>
      <c r="R53" s="29"/>
      <c r="S53" s="29"/>
      <c r="T53" s="29"/>
      <c r="U53" s="29"/>
      <c r="V53" s="29"/>
      <c r="W53" s="29"/>
      <c r="X53" s="29"/>
      <c r="Y53" s="29"/>
      <c r="Z53" s="29"/>
      <c r="AA53" s="29"/>
      <c r="AB53" s="29"/>
      <c r="AC53" s="29"/>
      <c r="AD53" s="29"/>
      <c r="AE53" s="29"/>
      <c r="AF53" s="29"/>
      <c r="AG53" s="29"/>
      <c r="AH53" s="29"/>
      <c r="AI53" s="29"/>
      <c r="AJ53" s="29"/>
      <c r="AK53" s="29"/>
      <c r="AL53" s="29"/>
      <c r="AM53" s="29"/>
      <c r="AN53" s="29"/>
      <c r="AO53" s="29"/>
      <c r="AP53" s="29"/>
      <c r="AQ53" s="29"/>
      <c r="AR53" s="29"/>
      <c r="AS53" s="29"/>
      <c r="AT53" s="29"/>
      <c r="AU53" s="29"/>
      <c r="AV53" s="29"/>
      <c r="AW53" s="29"/>
      <c r="AX53" s="29"/>
      <c r="AY53" s="29"/>
      <c r="AZ53" s="29"/>
      <c r="BA53" s="29"/>
      <c r="BB53" s="29"/>
      <c r="BC53" s="29"/>
      <c r="BD53" s="29"/>
      <c r="BE53" s="29"/>
      <c r="BF53" s="29"/>
      <c r="BG53" s="29"/>
      <c r="BH53" s="29"/>
      <c r="BI53" s="29"/>
      <c r="BJ53" s="29"/>
      <c r="BK53" s="29"/>
      <c r="BL53" s="29"/>
      <c r="BM53" s="29"/>
      <c r="BN53" s="29"/>
      <c r="BO53" s="29"/>
      <c r="BP53" s="29"/>
      <c r="BQ53" s="29"/>
      <c r="BR53" s="29"/>
      <c r="BS53" s="29"/>
      <c r="BT53" s="29"/>
      <c r="BU53" s="29"/>
      <c r="BV53" s="29"/>
      <c r="BW53" s="29"/>
      <c r="BX53" s="29"/>
      <c r="BY53" s="29"/>
      <c r="BZ53" s="9"/>
    </row>
    <row r="54" spans="1:79" ht="14.25" customHeight="1" x14ac:dyDescent="0.2">
      <c r="A54" s="29" t="s">
        <v>331</v>
      </c>
      <c r="B54" s="29"/>
      <c r="C54" s="29"/>
      <c r="D54" s="29"/>
      <c r="E54" s="29"/>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c r="AG54" s="29"/>
      <c r="AH54" s="29"/>
      <c r="AI54" s="29"/>
      <c r="AJ54" s="29"/>
      <c r="AK54" s="29"/>
      <c r="AL54" s="29"/>
      <c r="AM54" s="29"/>
      <c r="AN54" s="29"/>
      <c r="AO54" s="29"/>
      <c r="AP54" s="29"/>
      <c r="AQ54" s="29"/>
      <c r="AR54" s="29"/>
      <c r="AS54" s="29"/>
      <c r="AT54" s="29"/>
      <c r="AU54" s="29"/>
      <c r="AV54" s="29"/>
      <c r="AW54" s="29"/>
      <c r="AX54" s="29"/>
      <c r="AY54" s="29"/>
      <c r="AZ54" s="29"/>
      <c r="BA54" s="29"/>
      <c r="BB54" s="29"/>
      <c r="BC54" s="29"/>
      <c r="BD54" s="29"/>
      <c r="BE54" s="29"/>
      <c r="BF54" s="29"/>
      <c r="BG54" s="29"/>
      <c r="BH54" s="29"/>
      <c r="BI54" s="29"/>
      <c r="BJ54" s="29"/>
      <c r="BK54" s="29"/>
      <c r="BL54" s="29"/>
      <c r="BM54" s="29"/>
      <c r="BN54" s="29"/>
      <c r="BO54" s="29"/>
      <c r="BP54" s="29"/>
      <c r="BQ54" s="29"/>
      <c r="BR54" s="29"/>
      <c r="BS54" s="29"/>
      <c r="BT54" s="29"/>
      <c r="BU54" s="29"/>
      <c r="BV54" s="29"/>
      <c r="BW54" s="29"/>
      <c r="BX54" s="29"/>
      <c r="BY54" s="29"/>
    </row>
    <row r="55" spans="1:79" ht="15" customHeight="1" x14ac:dyDescent="0.2">
      <c r="A55" s="31" t="s">
        <v>318</v>
      </c>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c r="AB55" s="31"/>
      <c r="AC55" s="31"/>
      <c r="AD55" s="31"/>
      <c r="AE55" s="31"/>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1"/>
      <c r="BE55" s="31"/>
      <c r="BF55" s="31"/>
      <c r="BG55" s="31"/>
      <c r="BH55" s="31"/>
      <c r="BI55" s="31"/>
      <c r="BJ55" s="31"/>
      <c r="BK55" s="31"/>
      <c r="BL55" s="31"/>
      <c r="BM55" s="31"/>
      <c r="BN55" s="31"/>
      <c r="BO55" s="31"/>
      <c r="BP55" s="31"/>
      <c r="BQ55" s="31"/>
      <c r="BR55" s="31"/>
      <c r="BS55" s="31"/>
      <c r="BT55" s="31"/>
      <c r="BU55" s="31"/>
      <c r="BV55" s="31"/>
      <c r="BW55" s="31"/>
      <c r="BX55" s="31"/>
      <c r="BY55" s="31"/>
    </row>
    <row r="56" spans="1:79" ht="23.1" customHeight="1" x14ac:dyDescent="0.2">
      <c r="A56" s="61" t="s">
        <v>118</v>
      </c>
      <c r="B56" s="62"/>
      <c r="C56" s="62"/>
      <c r="D56" s="63"/>
      <c r="E56" s="27" t="s">
        <v>19</v>
      </c>
      <c r="F56" s="27"/>
      <c r="G56" s="27"/>
      <c r="H56" s="27"/>
      <c r="I56" s="27"/>
      <c r="J56" s="27"/>
      <c r="K56" s="27"/>
      <c r="L56" s="27"/>
      <c r="M56" s="27"/>
      <c r="N56" s="27"/>
      <c r="O56" s="27"/>
      <c r="P56" s="27"/>
      <c r="Q56" s="27"/>
      <c r="R56" s="27"/>
      <c r="S56" s="27"/>
      <c r="T56" s="27"/>
      <c r="U56" s="36" t="s">
        <v>319</v>
      </c>
      <c r="V56" s="37"/>
      <c r="W56" s="37"/>
      <c r="X56" s="37"/>
      <c r="Y56" s="37"/>
      <c r="Z56" s="37"/>
      <c r="AA56" s="37"/>
      <c r="AB56" s="37"/>
      <c r="AC56" s="37"/>
      <c r="AD56" s="37"/>
      <c r="AE56" s="37"/>
      <c r="AF56" s="37"/>
      <c r="AG56" s="37"/>
      <c r="AH56" s="37"/>
      <c r="AI56" s="37"/>
      <c r="AJ56" s="37"/>
      <c r="AK56" s="37"/>
      <c r="AL56" s="37"/>
      <c r="AM56" s="38"/>
      <c r="AN56" s="36" t="s">
        <v>322</v>
      </c>
      <c r="AO56" s="37"/>
      <c r="AP56" s="37"/>
      <c r="AQ56" s="37"/>
      <c r="AR56" s="37"/>
      <c r="AS56" s="37"/>
      <c r="AT56" s="37"/>
      <c r="AU56" s="37"/>
      <c r="AV56" s="37"/>
      <c r="AW56" s="37"/>
      <c r="AX56" s="37"/>
      <c r="AY56" s="37"/>
      <c r="AZ56" s="37"/>
      <c r="BA56" s="37"/>
      <c r="BB56" s="37"/>
      <c r="BC56" s="37"/>
      <c r="BD56" s="37"/>
      <c r="BE56" s="37"/>
      <c r="BF56" s="38"/>
      <c r="BG56" s="36" t="s">
        <v>330</v>
      </c>
      <c r="BH56" s="37"/>
      <c r="BI56" s="37"/>
      <c r="BJ56" s="37"/>
      <c r="BK56" s="37"/>
      <c r="BL56" s="37"/>
      <c r="BM56" s="37"/>
      <c r="BN56" s="37"/>
      <c r="BO56" s="37"/>
      <c r="BP56" s="37"/>
      <c r="BQ56" s="37"/>
      <c r="BR56" s="37"/>
      <c r="BS56" s="37"/>
      <c r="BT56" s="37"/>
      <c r="BU56" s="37"/>
      <c r="BV56" s="37"/>
      <c r="BW56" s="37"/>
      <c r="BX56" s="37"/>
      <c r="BY56" s="38"/>
    </row>
    <row r="57" spans="1:79" ht="48.75" customHeight="1" x14ac:dyDescent="0.2">
      <c r="A57" s="64"/>
      <c r="B57" s="65"/>
      <c r="C57" s="65"/>
      <c r="D57" s="66"/>
      <c r="E57" s="27"/>
      <c r="F57" s="27"/>
      <c r="G57" s="27"/>
      <c r="H57" s="27"/>
      <c r="I57" s="27"/>
      <c r="J57" s="27"/>
      <c r="K57" s="27"/>
      <c r="L57" s="27"/>
      <c r="M57" s="27"/>
      <c r="N57" s="27"/>
      <c r="O57" s="27"/>
      <c r="P57" s="27"/>
      <c r="Q57" s="27"/>
      <c r="R57" s="27"/>
      <c r="S57" s="27"/>
      <c r="T57" s="27"/>
      <c r="U57" s="36" t="s">
        <v>4</v>
      </c>
      <c r="V57" s="37"/>
      <c r="W57" s="37"/>
      <c r="X57" s="37"/>
      <c r="Y57" s="38"/>
      <c r="Z57" s="36" t="s">
        <v>3</v>
      </c>
      <c r="AA57" s="37"/>
      <c r="AB57" s="37"/>
      <c r="AC57" s="37"/>
      <c r="AD57" s="38"/>
      <c r="AE57" s="57" t="s">
        <v>116</v>
      </c>
      <c r="AF57" s="58"/>
      <c r="AG57" s="58"/>
      <c r="AH57" s="59"/>
      <c r="AI57" s="36" t="s">
        <v>5</v>
      </c>
      <c r="AJ57" s="37"/>
      <c r="AK57" s="37"/>
      <c r="AL57" s="37"/>
      <c r="AM57" s="38"/>
      <c r="AN57" s="36" t="s">
        <v>4</v>
      </c>
      <c r="AO57" s="37"/>
      <c r="AP57" s="37"/>
      <c r="AQ57" s="37"/>
      <c r="AR57" s="38"/>
      <c r="AS57" s="36" t="s">
        <v>3</v>
      </c>
      <c r="AT57" s="37"/>
      <c r="AU57" s="37"/>
      <c r="AV57" s="37"/>
      <c r="AW57" s="38"/>
      <c r="AX57" s="57" t="s">
        <v>116</v>
      </c>
      <c r="AY57" s="58"/>
      <c r="AZ57" s="58"/>
      <c r="BA57" s="59"/>
      <c r="BB57" s="36" t="s">
        <v>96</v>
      </c>
      <c r="BC57" s="37"/>
      <c r="BD57" s="37"/>
      <c r="BE57" s="37"/>
      <c r="BF57" s="38"/>
      <c r="BG57" s="36" t="s">
        <v>4</v>
      </c>
      <c r="BH57" s="37"/>
      <c r="BI57" s="37"/>
      <c r="BJ57" s="37"/>
      <c r="BK57" s="38"/>
      <c r="BL57" s="36" t="s">
        <v>3</v>
      </c>
      <c r="BM57" s="37"/>
      <c r="BN57" s="37"/>
      <c r="BO57" s="37"/>
      <c r="BP57" s="38"/>
      <c r="BQ57" s="57" t="s">
        <v>116</v>
      </c>
      <c r="BR57" s="58"/>
      <c r="BS57" s="58"/>
      <c r="BT57" s="59"/>
      <c r="BU57" s="36" t="s">
        <v>97</v>
      </c>
      <c r="BV57" s="37"/>
      <c r="BW57" s="37"/>
      <c r="BX57" s="37"/>
      <c r="BY57" s="38"/>
    </row>
    <row r="58" spans="1:79" ht="15" customHeight="1" x14ac:dyDescent="0.2">
      <c r="A58" s="36">
        <v>1</v>
      </c>
      <c r="B58" s="37"/>
      <c r="C58" s="37"/>
      <c r="D58" s="38"/>
      <c r="E58" s="36">
        <v>2</v>
      </c>
      <c r="F58" s="37"/>
      <c r="G58" s="37"/>
      <c r="H58" s="37"/>
      <c r="I58" s="37"/>
      <c r="J58" s="37"/>
      <c r="K58" s="37"/>
      <c r="L58" s="37"/>
      <c r="M58" s="37"/>
      <c r="N58" s="37"/>
      <c r="O58" s="37"/>
      <c r="P58" s="37"/>
      <c r="Q58" s="37"/>
      <c r="R58" s="37"/>
      <c r="S58" s="37"/>
      <c r="T58" s="38"/>
      <c r="U58" s="36">
        <v>3</v>
      </c>
      <c r="V58" s="37"/>
      <c r="W58" s="37"/>
      <c r="X58" s="37"/>
      <c r="Y58" s="38"/>
      <c r="Z58" s="36">
        <v>4</v>
      </c>
      <c r="AA58" s="37"/>
      <c r="AB58" s="37"/>
      <c r="AC58" s="37"/>
      <c r="AD58" s="38"/>
      <c r="AE58" s="36">
        <v>5</v>
      </c>
      <c r="AF58" s="37"/>
      <c r="AG58" s="37"/>
      <c r="AH58" s="38"/>
      <c r="AI58" s="36">
        <v>6</v>
      </c>
      <c r="AJ58" s="37"/>
      <c r="AK58" s="37"/>
      <c r="AL58" s="37"/>
      <c r="AM58" s="38"/>
      <c r="AN58" s="36">
        <v>7</v>
      </c>
      <c r="AO58" s="37"/>
      <c r="AP58" s="37"/>
      <c r="AQ58" s="37"/>
      <c r="AR58" s="38"/>
      <c r="AS58" s="36">
        <v>8</v>
      </c>
      <c r="AT58" s="37"/>
      <c r="AU58" s="37"/>
      <c r="AV58" s="37"/>
      <c r="AW58" s="38"/>
      <c r="AX58" s="36">
        <v>9</v>
      </c>
      <c r="AY58" s="37"/>
      <c r="AZ58" s="37"/>
      <c r="BA58" s="38"/>
      <c r="BB58" s="36">
        <v>10</v>
      </c>
      <c r="BC58" s="37"/>
      <c r="BD58" s="37"/>
      <c r="BE58" s="37"/>
      <c r="BF58" s="38"/>
      <c r="BG58" s="36">
        <v>11</v>
      </c>
      <c r="BH58" s="37"/>
      <c r="BI58" s="37"/>
      <c r="BJ58" s="37"/>
      <c r="BK58" s="38"/>
      <c r="BL58" s="36">
        <v>12</v>
      </c>
      <c r="BM58" s="37"/>
      <c r="BN58" s="37"/>
      <c r="BO58" s="37"/>
      <c r="BP58" s="38"/>
      <c r="BQ58" s="36">
        <v>13</v>
      </c>
      <c r="BR58" s="37"/>
      <c r="BS58" s="37"/>
      <c r="BT58" s="38"/>
      <c r="BU58" s="36">
        <v>14</v>
      </c>
      <c r="BV58" s="37"/>
      <c r="BW58" s="37"/>
      <c r="BX58" s="37"/>
      <c r="BY58" s="38"/>
    </row>
    <row r="59" spans="1:79" s="1" customFormat="1" ht="12.75" hidden="1" customHeight="1" x14ac:dyDescent="0.2">
      <c r="A59" s="39" t="s">
        <v>64</v>
      </c>
      <c r="B59" s="40"/>
      <c r="C59" s="40"/>
      <c r="D59" s="41"/>
      <c r="E59" s="39" t="s">
        <v>57</v>
      </c>
      <c r="F59" s="40"/>
      <c r="G59" s="40"/>
      <c r="H59" s="40"/>
      <c r="I59" s="40"/>
      <c r="J59" s="40"/>
      <c r="K59" s="40"/>
      <c r="L59" s="40"/>
      <c r="M59" s="40"/>
      <c r="N59" s="40"/>
      <c r="O59" s="40"/>
      <c r="P59" s="40"/>
      <c r="Q59" s="40"/>
      <c r="R59" s="40"/>
      <c r="S59" s="40"/>
      <c r="T59" s="41"/>
      <c r="U59" s="39" t="s">
        <v>65</v>
      </c>
      <c r="V59" s="40"/>
      <c r="W59" s="40"/>
      <c r="X59" s="40"/>
      <c r="Y59" s="41"/>
      <c r="Z59" s="39" t="s">
        <v>66</v>
      </c>
      <c r="AA59" s="40"/>
      <c r="AB59" s="40"/>
      <c r="AC59" s="40"/>
      <c r="AD59" s="41"/>
      <c r="AE59" s="39" t="s">
        <v>91</v>
      </c>
      <c r="AF59" s="40"/>
      <c r="AG59" s="40"/>
      <c r="AH59" s="41"/>
      <c r="AI59" s="47" t="s">
        <v>169</v>
      </c>
      <c r="AJ59" s="48"/>
      <c r="AK59" s="48"/>
      <c r="AL59" s="48"/>
      <c r="AM59" s="49"/>
      <c r="AN59" s="39" t="s">
        <v>67</v>
      </c>
      <c r="AO59" s="40"/>
      <c r="AP59" s="40"/>
      <c r="AQ59" s="40"/>
      <c r="AR59" s="41"/>
      <c r="AS59" s="39" t="s">
        <v>68</v>
      </c>
      <c r="AT59" s="40"/>
      <c r="AU59" s="40"/>
      <c r="AV59" s="40"/>
      <c r="AW59" s="41"/>
      <c r="AX59" s="39" t="s">
        <v>92</v>
      </c>
      <c r="AY59" s="40"/>
      <c r="AZ59" s="40"/>
      <c r="BA59" s="41"/>
      <c r="BB59" s="47" t="s">
        <v>169</v>
      </c>
      <c r="BC59" s="48"/>
      <c r="BD59" s="48"/>
      <c r="BE59" s="48"/>
      <c r="BF59" s="49"/>
      <c r="BG59" s="39" t="s">
        <v>58</v>
      </c>
      <c r="BH59" s="40"/>
      <c r="BI59" s="40"/>
      <c r="BJ59" s="40"/>
      <c r="BK59" s="41"/>
      <c r="BL59" s="39" t="s">
        <v>59</v>
      </c>
      <c r="BM59" s="40"/>
      <c r="BN59" s="40"/>
      <c r="BO59" s="40"/>
      <c r="BP59" s="41"/>
      <c r="BQ59" s="39" t="s">
        <v>93</v>
      </c>
      <c r="BR59" s="40"/>
      <c r="BS59" s="40"/>
      <c r="BT59" s="41"/>
      <c r="BU59" s="47" t="s">
        <v>169</v>
      </c>
      <c r="BV59" s="48"/>
      <c r="BW59" s="48"/>
      <c r="BX59" s="48"/>
      <c r="BY59" s="49"/>
      <c r="CA59" t="s">
        <v>25</v>
      </c>
    </row>
    <row r="60" spans="1:79" s="99" customFormat="1" ht="12.75" customHeight="1" x14ac:dyDescent="0.2">
      <c r="A60" s="89">
        <v>2111</v>
      </c>
      <c r="B60" s="90"/>
      <c r="C60" s="90"/>
      <c r="D60" s="91"/>
      <c r="E60" s="92" t="s">
        <v>179</v>
      </c>
      <c r="F60" s="93"/>
      <c r="G60" s="93"/>
      <c r="H60" s="93"/>
      <c r="I60" s="93"/>
      <c r="J60" s="93"/>
      <c r="K60" s="93"/>
      <c r="L60" s="93"/>
      <c r="M60" s="93"/>
      <c r="N60" s="93"/>
      <c r="O60" s="93"/>
      <c r="P60" s="93"/>
      <c r="Q60" s="93"/>
      <c r="R60" s="93"/>
      <c r="S60" s="93"/>
      <c r="T60" s="94"/>
      <c r="U60" s="96">
        <v>6495165</v>
      </c>
      <c r="V60" s="97"/>
      <c r="W60" s="97"/>
      <c r="X60" s="97"/>
      <c r="Y60" s="98"/>
      <c r="Z60" s="96">
        <v>0</v>
      </c>
      <c r="AA60" s="97"/>
      <c r="AB60" s="97"/>
      <c r="AC60" s="97"/>
      <c r="AD60" s="98"/>
      <c r="AE60" s="96">
        <v>0</v>
      </c>
      <c r="AF60" s="97"/>
      <c r="AG60" s="97"/>
      <c r="AH60" s="98"/>
      <c r="AI60" s="96">
        <f>IF(ISNUMBER(U60),U60,0)+IF(ISNUMBER(Z60),Z60,0)</f>
        <v>6495165</v>
      </c>
      <c r="AJ60" s="97"/>
      <c r="AK60" s="97"/>
      <c r="AL60" s="97"/>
      <c r="AM60" s="98"/>
      <c r="AN60" s="96">
        <v>8006113</v>
      </c>
      <c r="AO60" s="97"/>
      <c r="AP60" s="97"/>
      <c r="AQ60" s="97"/>
      <c r="AR60" s="98"/>
      <c r="AS60" s="96">
        <v>0</v>
      </c>
      <c r="AT60" s="97"/>
      <c r="AU60" s="97"/>
      <c r="AV60" s="97"/>
      <c r="AW60" s="98"/>
      <c r="AX60" s="96">
        <v>0</v>
      </c>
      <c r="AY60" s="97"/>
      <c r="AZ60" s="97"/>
      <c r="BA60" s="98"/>
      <c r="BB60" s="96">
        <f>IF(ISNUMBER(AN60),AN60,0)+IF(ISNUMBER(AS60),AS60,0)</f>
        <v>8006113</v>
      </c>
      <c r="BC60" s="97"/>
      <c r="BD60" s="97"/>
      <c r="BE60" s="97"/>
      <c r="BF60" s="98"/>
      <c r="BG60" s="96">
        <v>6043371</v>
      </c>
      <c r="BH60" s="97"/>
      <c r="BI60" s="97"/>
      <c r="BJ60" s="97"/>
      <c r="BK60" s="98"/>
      <c r="BL60" s="96">
        <v>0</v>
      </c>
      <c r="BM60" s="97"/>
      <c r="BN60" s="97"/>
      <c r="BO60" s="97"/>
      <c r="BP60" s="98"/>
      <c r="BQ60" s="96">
        <v>0</v>
      </c>
      <c r="BR60" s="97"/>
      <c r="BS60" s="97"/>
      <c r="BT60" s="98"/>
      <c r="BU60" s="96">
        <f>IF(ISNUMBER(BG60),BG60,0)+IF(ISNUMBER(BL60),BL60,0)</f>
        <v>6043371</v>
      </c>
      <c r="BV60" s="97"/>
      <c r="BW60" s="97"/>
      <c r="BX60" s="97"/>
      <c r="BY60" s="98"/>
      <c r="CA60" s="99" t="s">
        <v>26</v>
      </c>
    </row>
    <row r="61" spans="1:79" s="99" customFormat="1" ht="12.75" customHeight="1" x14ac:dyDescent="0.2">
      <c r="A61" s="89">
        <v>2120</v>
      </c>
      <c r="B61" s="90"/>
      <c r="C61" s="90"/>
      <c r="D61" s="91"/>
      <c r="E61" s="92" t="s">
        <v>180</v>
      </c>
      <c r="F61" s="93"/>
      <c r="G61" s="93"/>
      <c r="H61" s="93"/>
      <c r="I61" s="93"/>
      <c r="J61" s="93"/>
      <c r="K61" s="93"/>
      <c r="L61" s="93"/>
      <c r="M61" s="93"/>
      <c r="N61" s="93"/>
      <c r="O61" s="93"/>
      <c r="P61" s="93"/>
      <c r="Q61" s="93"/>
      <c r="R61" s="93"/>
      <c r="S61" s="93"/>
      <c r="T61" s="94"/>
      <c r="U61" s="96">
        <v>1687082</v>
      </c>
      <c r="V61" s="97"/>
      <c r="W61" s="97"/>
      <c r="X61" s="97"/>
      <c r="Y61" s="98"/>
      <c r="Z61" s="96">
        <v>0</v>
      </c>
      <c r="AA61" s="97"/>
      <c r="AB61" s="97"/>
      <c r="AC61" s="97"/>
      <c r="AD61" s="98"/>
      <c r="AE61" s="96">
        <v>0</v>
      </c>
      <c r="AF61" s="97"/>
      <c r="AG61" s="97"/>
      <c r="AH61" s="98"/>
      <c r="AI61" s="96">
        <f>IF(ISNUMBER(U61),U61,0)+IF(ISNUMBER(Z61),Z61,0)</f>
        <v>1687082</v>
      </c>
      <c r="AJ61" s="97"/>
      <c r="AK61" s="97"/>
      <c r="AL61" s="97"/>
      <c r="AM61" s="98"/>
      <c r="AN61" s="96">
        <v>1761345</v>
      </c>
      <c r="AO61" s="97"/>
      <c r="AP61" s="97"/>
      <c r="AQ61" s="97"/>
      <c r="AR61" s="98"/>
      <c r="AS61" s="96">
        <v>0</v>
      </c>
      <c r="AT61" s="97"/>
      <c r="AU61" s="97"/>
      <c r="AV61" s="97"/>
      <c r="AW61" s="98"/>
      <c r="AX61" s="96">
        <v>0</v>
      </c>
      <c r="AY61" s="97"/>
      <c r="AZ61" s="97"/>
      <c r="BA61" s="98"/>
      <c r="BB61" s="96">
        <f>IF(ISNUMBER(AN61),AN61,0)+IF(ISNUMBER(AS61),AS61,0)</f>
        <v>1761345</v>
      </c>
      <c r="BC61" s="97"/>
      <c r="BD61" s="97"/>
      <c r="BE61" s="97"/>
      <c r="BF61" s="98"/>
      <c r="BG61" s="96">
        <v>1329541</v>
      </c>
      <c r="BH61" s="97"/>
      <c r="BI61" s="97"/>
      <c r="BJ61" s="97"/>
      <c r="BK61" s="98"/>
      <c r="BL61" s="96">
        <v>0</v>
      </c>
      <c r="BM61" s="97"/>
      <c r="BN61" s="97"/>
      <c r="BO61" s="97"/>
      <c r="BP61" s="98"/>
      <c r="BQ61" s="96">
        <v>0</v>
      </c>
      <c r="BR61" s="97"/>
      <c r="BS61" s="97"/>
      <c r="BT61" s="98"/>
      <c r="BU61" s="96">
        <f>IF(ISNUMBER(BG61),BG61,0)+IF(ISNUMBER(BL61),BL61,0)</f>
        <v>1329541</v>
      </c>
      <c r="BV61" s="97"/>
      <c r="BW61" s="97"/>
      <c r="BX61" s="97"/>
      <c r="BY61" s="98"/>
    </row>
    <row r="62" spans="1:79" s="99" customFormat="1" ht="12.75" customHeight="1" x14ac:dyDescent="0.2">
      <c r="A62" s="89">
        <v>2210</v>
      </c>
      <c r="B62" s="90"/>
      <c r="C62" s="90"/>
      <c r="D62" s="91"/>
      <c r="E62" s="92" t="s">
        <v>181</v>
      </c>
      <c r="F62" s="93"/>
      <c r="G62" s="93"/>
      <c r="H62" s="93"/>
      <c r="I62" s="93"/>
      <c r="J62" s="93"/>
      <c r="K62" s="93"/>
      <c r="L62" s="93"/>
      <c r="M62" s="93"/>
      <c r="N62" s="93"/>
      <c r="O62" s="93"/>
      <c r="P62" s="93"/>
      <c r="Q62" s="93"/>
      <c r="R62" s="93"/>
      <c r="S62" s="93"/>
      <c r="T62" s="94"/>
      <c r="U62" s="96">
        <v>473331</v>
      </c>
      <c r="V62" s="97"/>
      <c r="W62" s="97"/>
      <c r="X62" s="97"/>
      <c r="Y62" s="98"/>
      <c r="Z62" s="96">
        <v>111326</v>
      </c>
      <c r="AA62" s="97"/>
      <c r="AB62" s="97"/>
      <c r="AC62" s="97"/>
      <c r="AD62" s="98"/>
      <c r="AE62" s="96">
        <v>0</v>
      </c>
      <c r="AF62" s="97"/>
      <c r="AG62" s="97"/>
      <c r="AH62" s="98"/>
      <c r="AI62" s="96">
        <f>IF(ISNUMBER(U62),U62,0)+IF(ISNUMBER(Z62),Z62,0)</f>
        <v>584657</v>
      </c>
      <c r="AJ62" s="97"/>
      <c r="AK62" s="97"/>
      <c r="AL62" s="97"/>
      <c r="AM62" s="98"/>
      <c r="AN62" s="96">
        <v>243866</v>
      </c>
      <c r="AO62" s="97"/>
      <c r="AP62" s="97"/>
      <c r="AQ62" s="97"/>
      <c r="AR62" s="98"/>
      <c r="AS62" s="96">
        <v>0</v>
      </c>
      <c r="AT62" s="97"/>
      <c r="AU62" s="97"/>
      <c r="AV62" s="97"/>
      <c r="AW62" s="98"/>
      <c r="AX62" s="96">
        <v>0</v>
      </c>
      <c r="AY62" s="97"/>
      <c r="AZ62" s="97"/>
      <c r="BA62" s="98"/>
      <c r="BB62" s="96">
        <f>IF(ISNUMBER(AN62),AN62,0)+IF(ISNUMBER(AS62),AS62,0)</f>
        <v>243866</v>
      </c>
      <c r="BC62" s="97"/>
      <c r="BD62" s="97"/>
      <c r="BE62" s="97"/>
      <c r="BF62" s="98"/>
      <c r="BG62" s="96">
        <v>508714</v>
      </c>
      <c r="BH62" s="97"/>
      <c r="BI62" s="97"/>
      <c r="BJ62" s="97"/>
      <c r="BK62" s="98"/>
      <c r="BL62" s="96">
        <v>0</v>
      </c>
      <c r="BM62" s="97"/>
      <c r="BN62" s="97"/>
      <c r="BO62" s="97"/>
      <c r="BP62" s="98"/>
      <c r="BQ62" s="96">
        <v>0</v>
      </c>
      <c r="BR62" s="97"/>
      <c r="BS62" s="97"/>
      <c r="BT62" s="98"/>
      <c r="BU62" s="96">
        <f>IF(ISNUMBER(BG62),BG62,0)+IF(ISNUMBER(BL62),BL62,0)</f>
        <v>508714</v>
      </c>
      <c r="BV62" s="97"/>
      <c r="BW62" s="97"/>
      <c r="BX62" s="97"/>
      <c r="BY62" s="98"/>
    </row>
    <row r="63" spans="1:79" s="99" customFormat="1" ht="12.75" customHeight="1" x14ac:dyDescent="0.2">
      <c r="A63" s="89">
        <v>2230</v>
      </c>
      <c r="B63" s="90"/>
      <c r="C63" s="90"/>
      <c r="D63" s="91"/>
      <c r="E63" s="92" t="s">
        <v>182</v>
      </c>
      <c r="F63" s="93"/>
      <c r="G63" s="93"/>
      <c r="H63" s="93"/>
      <c r="I63" s="93"/>
      <c r="J63" s="93"/>
      <c r="K63" s="93"/>
      <c r="L63" s="93"/>
      <c r="M63" s="93"/>
      <c r="N63" s="93"/>
      <c r="O63" s="93"/>
      <c r="P63" s="93"/>
      <c r="Q63" s="93"/>
      <c r="R63" s="93"/>
      <c r="S63" s="93"/>
      <c r="T63" s="94"/>
      <c r="U63" s="96">
        <v>232985</v>
      </c>
      <c r="V63" s="97"/>
      <c r="W63" s="97"/>
      <c r="X63" s="97"/>
      <c r="Y63" s="98"/>
      <c r="Z63" s="96">
        <v>66745</v>
      </c>
      <c r="AA63" s="97"/>
      <c r="AB63" s="97"/>
      <c r="AC63" s="97"/>
      <c r="AD63" s="98"/>
      <c r="AE63" s="96">
        <v>0</v>
      </c>
      <c r="AF63" s="97"/>
      <c r="AG63" s="97"/>
      <c r="AH63" s="98"/>
      <c r="AI63" s="96">
        <f>IF(ISNUMBER(U63),U63,0)+IF(ISNUMBER(Z63),Z63,0)</f>
        <v>299730</v>
      </c>
      <c r="AJ63" s="97"/>
      <c r="AK63" s="97"/>
      <c r="AL63" s="97"/>
      <c r="AM63" s="98"/>
      <c r="AN63" s="96">
        <v>0</v>
      </c>
      <c r="AO63" s="97"/>
      <c r="AP63" s="97"/>
      <c r="AQ63" s="97"/>
      <c r="AR63" s="98"/>
      <c r="AS63" s="96">
        <v>2500000</v>
      </c>
      <c r="AT63" s="97"/>
      <c r="AU63" s="97"/>
      <c r="AV63" s="97"/>
      <c r="AW63" s="98"/>
      <c r="AX63" s="96">
        <v>0</v>
      </c>
      <c r="AY63" s="97"/>
      <c r="AZ63" s="97"/>
      <c r="BA63" s="98"/>
      <c r="BB63" s="96">
        <f>IF(ISNUMBER(AN63),AN63,0)+IF(ISNUMBER(AS63),AS63,0)</f>
        <v>2500000</v>
      </c>
      <c r="BC63" s="97"/>
      <c r="BD63" s="97"/>
      <c r="BE63" s="97"/>
      <c r="BF63" s="98"/>
      <c r="BG63" s="96">
        <v>0</v>
      </c>
      <c r="BH63" s="97"/>
      <c r="BI63" s="97"/>
      <c r="BJ63" s="97"/>
      <c r="BK63" s="98"/>
      <c r="BL63" s="96">
        <v>0</v>
      </c>
      <c r="BM63" s="97"/>
      <c r="BN63" s="97"/>
      <c r="BO63" s="97"/>
      <c r="BP63" s="98"/>
      <c r="BQ63" s="96">
        <v>0</v>
      </c>
      <c r="BR63" s="97"/>
      <c r="BS63" s="97"/>
      <c r="BT63" s="98"/>
      <c r="BU63" s="96">
        <f>IF(ISNUMBER(BG63),BG63,0)+IF(ISNUMBER(BL63),BL63,0)</f>
        <v>0</v>
      </c>
      <c r="BV63" s="97"/>
      <c r="BW63" s="97"/>
      <c r="BX63" s="97"/>
      <c r="BY63" s="98"/>
    </row>
    <row r="64" spans="1:79" s="99" customFormat="1" ht="12.75" customHeight="1" x14ac:dyDescent="0.2">
      <c r="A64" s="89">
        <v>2240</v>
      </c>
      <c r="B64" s="90"/>
      <c r="C64" s="90"/>
      <c r="D64" s="91"/>
      <c r="E64" s="92" t="s">
        <v>183</v>
      </c>
      <c r="F64" s="93"/>
      <c r="G64" s="93"/>
      <c r="H64" s="93"/>
      <c r="I64" s="93"/>
      <c r="J64" s="93"/>
      <c r="K64" s="93"/>
      <c r="L64" s="93"/>
      <c r="M64" s="93"/>
      <c r="N64" s="93"/>
      <c r="O64" s="93"/>
      <c r="P64" s="93"/>
      <c r="Q64" s="93"/>
      <c r="R64" s="93"/>
      <c r="S64" s="93"/>
      <c r="T64" s="94"/>
      <c r="U64" s="96">
        <v>4169173</v>
      </c>
      <c r="V64" s="97"/>
      <c r="W64" s="97"/>
      <c r="X64" s="97"/>
      <c r="Y64" s="98"/>
      <c r="Z64" s="96">
        <v>0</v>
      </c>
      <c r="AA64" s="97"/>
      <c r="AB64" s="97"/>
      <c r="AC64" s="97"/>
      <c r="AD64" s="98"/>
      <c r="AE64" s="96">
        <v>0</v>
      </c>
      <c r="AF64" s="97"/>
      <c r="AG64" s="97"/>
      <c r="AH64" s="98"/>
      <c r="AI64" s="96">
        <f>IF(ISNUMBER(U64),U64,0)+IF(ISNUMBER(Z64),Z64,0)</f>
        <v>4169173</v>
      </c>
      <c r="AJ64" s="97"/>
      <c r="AK64" s="97"/>
      <c r="AL64" s="97"/>
      <c r="AM64" s="98"/>
      <c r="AN64" s="96">
        <v>4998591</v>
      </c>
      <c r="AO64" s="97"/>
      <c r="AP64" s="97"/>
      <c r="AQ64" s="97"/>
      <c r="AR64" s="98"/>
      <c r="AS64" s="96">
        <v>0</v>
      </c>
      <c r="AT64" s="97"/>
      <c r="AU64" s="97"/>
      <c r="AV64" s="97"/>
      <c r="AW64" s="98"/>
      <c r="AX64" s="96">
        <v>0</v>
      </c>
      <c r="AY64" s="97"/>
      <c r="AZ64" s="97"/>
      <c r="BA64" s="98"/>
      <c r="BB64" s="96">
        <f>IF(ISNUMBER(AN64),AN64,0)+IF(ISNUMBER(AS64),AS64,0)</f>
        <v>4998591</v>
      </c>
      <c r="BC64" s="97"/>
      <c r="BD64" s="97"/>
      <c r="BE64" s="97"/>
      <c r="BF64" s="98"/>
      <c r="BG64" s="96">
        <v>4133306</v>
      </c>
      <c r="BH64" s="97"/>
      <c r="BI64" s="97"/>
      <c r="BJ64" s="97"/>
      <c r="BK64" s="98"/>
      <c r="BL64" s="96">
        <v>0</v>
      </c>
      <c r="BM64" s="97"/>
      <c r="BN64" s="97"/>
      <c r="BO64" s="97"/>
      <c r="BP64" s="98"/>
      <c r="BQ64" s="96">
        <v>0</v>
      </c>
      <c r="BR64" s="97"/>
      <c r="BS64" s="97"/>
      <c r="BT64" s="98"/>
      <c r="BU64" s="96">
        <f>IF(ISNUMBER(BG64),BG64,0)+IF(ISNUMBER(BL64),BL64,0)</f>
        <v>4133306</v>
      </c>
      <c r="BV64" s="97"/>
      <c r="BW64" s="97"/>
      <c r="BX64" s="97"/>
      <c r="BY64" s="98"/>
    </row>
    <row r="65" spans="1:77" s="99" customFormat="1" ht="12.75" customHeight="1" x14ac:dyDescent="0.2">
      <c r="A65" s="89">
        <v>2250</v>
      </c>
      <c r="B65" s="90"/>
      <c r="C65" s="90"/>
      <c r="D65" s="91"/>
      <c r="E65" s="92" t="s">
        <v>184</v>
      </c>
      <c r="F65" s="93"/>
      <c r="G65" s="93"/>
      <c r="H65" s="93"/>
      <c r="I65" s="93"/>
      <c r="J65" s="93"/>
      <c r="K65" s="93"/>
      <c r="L65" s="93"/>
      <c r="M65" s="93"/>
      <c r="N65" s="93"/>
      <c r="O65" s="93"/>
      <c r="P65" s="93"/>
      <c r="Q65" s="93"/>
      <c r="R65" s="93"/>
      <c r="S65" s="93"/>
      <c r="T65" s="94"/>
      <c r="U65" s="96">
        <v>1500</v>
      </c>
      <c r="V65" s="97"/>
      <c r="W65" s="97"/>
      <c r="X65" s="97"/>
      <c r="Y65" s="98"/>
      <c r="Z65" s="96">
        <v>0</v>
      </c>
      <c r="AA65" s="97"/>
      <c r="AB65" s="97"/>
      <c r="AC65" s="97"/>
      <c r="AD65" s="98"/>
      <c r="AE65" s="96">
        <v>0</v>
      </c>
      <c r="AF65" s="97"/>
      <c r="AG65" s="97"/>
      <c r="AH65" s="98"/>
      <c r="AI65" s="96">
        <f>IF(ISNUMBER(U65),U65,0)+IF(ISNUMBER(Z65),Z65,0)</f>
        <v>1500</v>
      </c>
      <c r="AJ65" s="97"/>
      <c r="AK65" s="97"/>
      <c r="AL65" s="97"/>
      <c r="AM65" s="98"/>
      <c r="AN65" s="96">
        <v>0</v>
      </c>
      <c r="AO65" s="97"/>
      <c r="AP65" s="97"/>
      <c r="AQ65" s="97"/>
      <c r="AR65" s="98"/>
      <c r="AS65" s="96">
        <v>0</v>
      </c>
      <c r="AT65" s="97"/>
      <c r="AU65" s="97"/>
      <c r="AV65" s="97"/>
      <c r="AW65" s="98"/>
      <c r="AX65" s="96">
        <v>0</v>
      </c>
      <c r="AY65" s="97"/>
      <c r="AZ65" s="97"/>
      <c r="BA65" s="98"/>
      <c r="BB65" s="96">
        <f>IF(ISNUMBER(AN65),AN65,0)+IF(ISNUMBER(AS65),AS65,0)</f>
        <v>0</v>
      </c>
      <c r="BC65" s="97"/>
      <c r="BD65" s="97"/>
      <c r="BE65" s="97"/>
      <c r="BF65" s="98"/>
      <c r="BG65" s="96">
        <v>0</v>
      </c>
      <c r="BH65" s="97"/>
      <c r="BI65" s="97"/>
      <c r="BJ65" s="97"/>
      <c r="BK65" s="98"/>
      <c r="BL65" s="96">
        <v>0</v>
      </c>
      <c r="BM65" s="97"/>
      <c r="BN65" s="97"/>
      <c r="BO65" s="97"/>
      <c r="BP65" s="98"/>
      <c r="BQ65" s="96">
        <v>0</v>
      </c>
      <c r="BR65" s="97"/>
      <c r="BS65" s="97"/>
      <c r="BT65" s="98"/>
      <c r="BU65" s="96">
        <f>IF(ISNUMBER(BG65),BG65,0)+IF(ISNUMBER(BL65),BL65,0)</f>
        <v>0</v>
      </c>
      <c r="BV65" s="97"/>
      <c r="BW65" s="97"/>
      <c r="BX65" s="97"/>
      <c r="BY65" s="98"/>
    </row>
    <row r="66" spans="1:77" s="99" customFormat="1" ht="12.75" customHeight="1" x14ac:dyDescent="0.2">
      <c r="A66" s="89">
        <v>2272</v>
      </c>
      <c r="B66" s="90"/>
      <c r="C66" s="90"/>
      <c r="D66" s="91"/>
      <c r="E66" s="92" t="s">
        <v>185</v>
      </c>
      <c r="F66" s="93"/>
      <c r="G66" s="93"/>
      <c r="H66" s="93"/>
      <c r="I66" s="93"/>
      <c r="J66" s="93"/>
      <c r="K66" s="93"/>
      <c r="L66" s="93"/>
      <c r="M66" s="93"/>
      <c r="N66" s="93"/>
      <c r="O66" s="93"/>
      <c r="P66" s="93"/>
      <c r="Q66" s="93"/>
      <c r="R66" s="93"/>
      <c r="S66" s="93"/>
      <c r="T66" s="94"/>
      <c r="U66" s="96">
        <v>37099</v>
      </c>
      <c r="V66" s="97"/>
      <c r="W66" s="97"/>
      <c r="X66" s="97"/>
      <c r="Y66" s="98"/>
      <c r="Z66" s="96">
        <v>0</v>
      </c>
      <c r="AA66" s="97"/>
      <c r="AB66" s="97"/>
      <c r="AC66" s="97"/>
      <c r="AD66" s="98"/>
      <c r="AE66" s="96">
        <v>0</v>
      </c>
      <c r="AF66" s="97"/>
      <c r="AG66" s="97"/>
      <c r="AH66" s="98"/>
      <c r="AI66" s="96">
        <f>IF(ISNUMBER(U66),U66,0)+IF(ISNUMBER(Z66),Z66,0)</f>
        <v>37099</v>
      </c>
      <c r="AJ66" s="97"/>
      <c r="AK66" s="97"/>
      <c r="AL66" s="97"/>
      <c r="AM66" s="98"/>
      <c r="AN66" s="96">
        <v>106344</v>
      </c>
      <c r="AO66" s="97"/>
      <c r="AP66" s="97"/>
      <c r="AQ66" s="97"/>
      <c r="AR66" s="98"/>
      <c r="AS66" s="96">
        <v>0</v>
      </c>
      <c r="AT66" s="97"/>
      <c r="AU66" s="97"/>
      <c r="AV66" s="97"/>
      <c r="AW66" s="98"/>
      <c r="AX66" s="96">
        <v>0</v>
      </c>
      <c r="AY66" s="97"/>
      <c r="AZ66" s="97"/>
      <c r="BA66" s="98"/>
      <c r="BB66" s="96">
        <f>IF(ISNUMBER(AN66),AN66,0)+IF(ISNUMBER(AS66),AS66,0)</f>
        <v>106344</v>
      </c>
      <c r="BC66" s="97"/>
      <c r="BD66" s="97"/>
      <c r="BE66" s="97"/>
      <c r="BF66" s="98"/>
      <c r="BG66" s="96">
        <v>92737</v>
      </c>
      <c r="BH66" s="97"/>
      <c r="BI66" s="97"/>
      <c r="BJ66" s="97"/>
      <c r="BK66" s="98"/>
      <c r="BL66" s="96">
        <v>0</v>
      </c>
      <c r="BM66" s="97"/>
      <c r="BN66" s="97"/>
      <c r="BO66" s="97"/>
      <c r="BP66" s="98"/>
      <c r="BQ66" s="96">
        <v>0</v>
      </c>
      <c r="BR66" s="97"/>
      <c r="BS66" s="97"/>
      <c r="BT66" s="98"/>
      <c r="BU66" s="96">
        <f>IF(ISNUMBER(BG66),BG66,0)+IF(ISNUMBER(BL66),BL66,0)</f>
        <v>92737</v>
      </c>
      <c r="BV66" s="97"/>
      <c r="BW66" s="97"/>
      <c r="BX66" s="97"/>
      <c r="BY66" s="98"/>
    </row>
    <row r="67" spans="1:77" s="99" customFormat="1" ht="12.75" customHeight="1" x14ac:dyDescent="0.2">
      <c r="A67" s="89">
        <v>2273</v>
      </c>
      <c r="B67" s="90"/>
      <c r="C67" s="90"/>
      <c r="D67" s="91"/>
      <c r="E67" s="92" t="s">
        <v>186</v>
      </c>
      <c r="F67" s="93"/>
      <c r="G67" s="93"/>
      <c r="H67" s="93"/>
      <c r="I67" s="93"/>
      <c r="J67" s="93"/>
      <c r="K67" s="93"/>
      <c r="L67" s="93"/>
      <c r="M67" s="93"/>
      <c r="N67" s="93"/>
      <c r="O67" s="93"/>
      <c r="P67" s="93"/>
      <c r="Q67" s="93"/>
      <c r="R67" s="93"/>
      <c r="S67" s="93"/>
      <c r="T67" s="94"/>
      <c r="U67" s="96">
        <v>2063532</v>
      </c>
      <c r="V67" s="97"/>
      <c r="W67" s="97"/>
      <c r="X67" s="97"/>
      <c r="Y67" s="98"/>
      <c r="Z67" s="96">
        <v>0</v>
      </c>
      <c r="AA67" s="97"/>
      <c r="AB67" s="97"/>
      <c r="AC67" s="97"/>
      <c r="AD67" s="98"/>
      <c r="AE67" s="96">
        <v>0</v>
      </c>
      <c r="AF67" s="97"/>
      <c r="AG67" s="97"/>
      <c r="AH67" s="98"/>
      <c r="AI67" s="96">
        <f>IF(ISNUMBER(U67),U67,0)+IF(ISNUMBER(Z67),Z67,0)</f>
        <v>2063532</v>
      </c>
      <c r="AJ67" s="97"/>
      <c r="AK67" s="97"/>
      <c r="AL67" s="97"/>
      <c r="AM67" s="98"/>
      <c r="AN67" s="96">
        <v>3153919</v>
      </c>
      <c r="AO67" s="97"/>
      <c r="AP67" s="97"/>
      <c r="AQ67" s="97"/>
      <c r="AR67" s="98"/>
      <c r="AS67" s="96">
        <v>0</v>
      </c>
      <c r="AT67" s="97"/>
      <c r="AU67" s="97"/>
      <c r="AV67" s="97"/>
      <c r="AW67" s="98"/>
      <c r="AX67" s="96">
        <v>0</v>
      </c>
      <c r="AY67" s="97"/>
      <c r="AZ67" s="97"/>
      <c r="BA67" s="98"/>
      <c r="BB67" s="96">
        <f>IF(ISNUMBER(AN67),AN67,0)+IF(ISNUMBER(AS67),AS67,0)</f>
        <v>3153919</v>
      </c>
      <c r="BC67" s="97"/>
      <c r="BD67" s="97"/>
      <c r="BE67" s="97"/>
      <c r="BF67" s="98"/>
      <c r="BG67" s="96">
        <v>4859079</v>
      </c>
      <c r="BH67" s="97"/>
      <c r="BI67" s="97"/>
      <c r="BJ67" s="97"/>
      <c r="BK67" s="98"/>
      <c r="BL67" s="96">
        <v>0</v>
      </c>
      <c r="BM67" s="97"/>
      <c r="BN67" s="97"/>
      <c r="BO67" s="97"/>
      <c r="BP67" s="98"/>
      <c r="BQ67" s="96">
        <v>0</v>
      </c>
      <c r="BR67" s="97"/>
      <c r="BS67" s="97"/>
      <c r="BT67" s="98"/>
      <c r="BU67" s="96">
        <f>IF(ISNUMBER(BG67),BG67,0)+IF(ISNUMBER(BL67),BL67,0)</f>
        <v>4859079</v>
      </c>
      <c r="BV67" s="97"/>
      <c r="BW67" s="97"/>
      <c r="BX67" s="97"/>
      <c r="BY67" s="98"/>
    </row>
    <row r="68" spans="1:77" s="99" customFormat="1" ht="12.75" customHeight="1" x14ac:dyDescent="0.2">
      <c r="A68" s="89">
        <v>2274</v>
      </c>
      <c r="B68" s="90"/>
      <c r="C68" s="90"/>
      <c r="D68" s="91"/>
      <c r="E68" s="92" t="s">
        <v>187</v>
      </c>
      <c r="F68" s="93"/>
      <c r="G68" s="93"/>
      <c r="H68" s="93"/>
      <c r="I68" s="93"/>
      <c r="J68" s="93"/>
      <c r="K68" s="93"/>
      <c r="L68" s="93"/>
      <c r="M68" s="93"/>
      <c r="N68" s="93"/>
      <c r="O68" s="93"/>
      <c r="P68" s="93"/>
      <c r="Q68" s="93"/>
      <c r="R68" s="93"/>
      <c r="S68" s="93"/>
      <c r="T68" s="94"/>
      <c r="U68" s="96">
        <v>2859059</v>
      </c>
      <c r="V68" s="97"/>
      <c r="W68" s="97"/>
      <c r="X68" s="97"/>
      <c r="Y68" s="98"/>
      <c r="Z68" s="96">
        <v>0</v>
      </c>
      <c r="AA68" s="97"/>
      <c r="AB68" s="97"/>
      <c r="AC68" s="97"/>
      <c r="AD68" s="98"/>
      <c r="AE68" s="96">
        <v>0</v>
      </c>
      <c r="AF68" s="97"/>
      <c r="AG68" s="97"/>
      <c r="AH68" s="98"/>
      <c r="AI68" s="96">
        <f>IF(ISNUMBER(U68),U68,0)+IF(ISNUMBER(Z68),Z68,0)</f>
        <v>2859059</v>
      </c>
      <c r="AJ68" s="97"/>
      <c r="AK68" s="97"/>
      <c r="AL68" s="97"/>
      <c r="AM68" s="98"/>
      <c r="AN68" s="96">
        <v>2330847</v>
      </c>
      <c r="AO68" s="97"/>
      <c r="AP68" s="97"/>
      <c r="AQ68" s="97"/>
      <c r="AR68" s="98"/>
      <c r="AS68" s="96">
        <v>0</v>
      </c>
      <c r="AT68" s="97"/>
      <c r="AU68" s="97"/>
      <c r="AV68" s="97"/>
      <c r="AW68" s="98"/>
      <c r="AX68" s="96">
        <v>0</v>
      </c>
      <c r="AY68" s="97"/>
      <c r="AZ68" s="97"/>
      <c r="BA68" s="98"/>
      <c r="BB68" s="96">
        <f>IF(ISNUMBER(AN68),AN68,0)+IF(ISNUMBER(AS68),AS68,0)</f>
        <v>2330847</v>
      </c>
      <c r="BC68" s="97"/>
      <c r="BD68" s="97"/>
      <c r="BE68" s="97"/>
      <c r="BF68" s="98"/>
      <c r="BG68" s="96">
        <v>2426142</v>
      </c>
      <c r="BH68" s="97"/>
      <c r="BI68" s="97"/>
      <c r="BJ68" s="97"/>
      <c r="BK68" s="98"/>
      <c r="BL68" s="96">
        <v>0</v>
      </c>
      <c r="BM68" s="97"/>
      <c r="BN68" s="97"/>
      <c r="BO68" s="97"/>
      <c r="BP68" s="98"/>
      <c r="BQ68" s="96">
        <v>0</v>
      </c>
      <c r="BR68" s="97"/>
      <c r="BS68" s="97"/>
      <c r="BT68" s="98"/>
      <c r="BU68" s="96">
        <f>IF(ISNUMBER(BG68),BG68,0)+IF(ISNUMBER(BL68),BL68,0)</f>
        <v>2426142</v>
      </c>
      <c r="BV68" s="97"/>
      <c r="BW68" s="97"/>
      <c r="BX68" s="97"/>
      <c r="BY68" s="98"/>
    </row>
    <row r="69" spans="1:77" s="99" customFormat="1" ht="25.5" customHeight="1" x14ac:dyDescent="0.2">
      <c r="A69" s="89">
        <v>2275</v>
      </c>
      <c r="B69" s="90"/>
      <c r="C69" s="90"/>
      <c r="D69" s="91"/>
      <c r="E69" s="92" t="s">
        <v>188</v>
      </c>
      <c r="F69" s="93"/>
      <c r="G69" s="93"/>
      <c r="H69" s="93"/>
      <c r="I69" s="93"/>
      <c r="J69" s="93"/>
      <c r="K69" s="93"/>
      <c r="L69" s="93"/>
      <c r="M69" s="93"/>
      <c r="N69" s="93"/>
      <c r="O69" s="93"/>
      <c r="P69" s="93"/>
      <c r="Q69" s="93"/>
      <c r="R69" s="93"/>
      <c r="S69" s="93"/>
      <c r="T69" s="94"/>
      <c r="U69" s="96">
        <v>2665106</v>
      </c>
      <c r="V69" s="97"/>
      <c r="W69" s="97"/>
      <c r="X69" s="97"/>
      <c r="Y69" s="98"/>
      <c r="Z69" s="96">
        <v>0</v>
      </c>
      <c r="AA69" s="97"/>
      <c r="AB69" s="97"/>
      <c r="AC69" s="97"/>
      <c r="AD69" s="98"/>
      <c r="AE69" s="96">
        <v>0</v>
      </c>
      <c r="AF69" s="97"/>
      <c r="AG69" s="97"/>
      <c r="AH69" s="98"/>
      <c r="AI69" s="96">
        <f>IF(ISNUMBER(U69),U69,0)+IF(ISNUMBER(Z69),Z69,0)</f>
        <v>2665106</v>
      </c>
      <c r="AJ69" s="97"/>
      <c r="AK69" s="97"/>
      <c r="AL69" s="97"/>
      <c r="AM69" s="98"/>
      <c r="AN69" s="96">
        <v>2259285</v>
      </c>
      <c r="AO69" s="97"/>
      <c r="AP69" s="97"/>
      <c r="AQ69" s="97"/>
      <c r="AR69" s="98"/>
      <c r="AS69" s="96">
        <v>0</v>
      </c>
      <c r="AT69" s="97"/>
      <c r="AU69" s="97"/>
      <c r="AV69" s="97"/>
      <c r="AW69" s="98"/>
      <c r="AX69" s="96">
        <v>0</v>
      </c>
      <c r="AY69" s="97"/>
      <c r="AZ69" s="97"/>
      <c r="BA69" s="98"/>
      <c r="BB69" s="96">
        <f>IF(ISNUMBER(AN69),AN69,0)+IF(ISNUMBER(AS69),AS69,0)</f>
        <v>2259285</v>
      </c>
      <c r="BC69" s="97"/>
      <c r="BD69" s="97"/>
      <c r="BE69" s="97"/>
      <c r="BF69" s="98"/>
      <c r="BG69" s="96">
        <v>2177934</v>
      </c>
      <c r="BH69" s="97"/>
      <c r="BI69" s="97"/>
      <c r="BJ69" s="97"/>
      <c r="BK69" s="98"/>
      <c r="BL69" s="96">
        <v>0</v>
      </c>
      <c r="BM69" s="97"/>
      <c r="BN69" s="97"/>
      <c r="BO69" s="97"/>
      <c r="BP69" s="98"/>
      <c r="BQ69" s="96">
        <v>0</v>
      </c>
      <c r="BR69" s="97"/>
      <c r="BS69" s="97"/>
      <c r="BT69" s="98"/>
      <c r="BU69" s="96">
        <f>IF(ISNUMBER(BG69),BG69,0)+IF(ISNUMBER(BL69),BL69,0)</f>
        <v>2177934</v>
      </c>
      <c r="BV69" s="97"/>
      <c r="BW69" s="97"/>
      <c r="BX69" s="97"/>
      <c r="BY69" s="98"/>
    </row>
    <row r="70" spans="1:77" s="99" customFormat="1" ht="38.25" customHeight="1" x14ac:dyDescent="0.2">
      <c r="A70" s="89">
        <v>2282</v>
      </c>
      <c r="B70" s="90"/>
      <c r="C70" s="90"/>
      <c r="D70" s="91"/>
      <c r="E70" s="92" t="s">
        <v>189</v>
      </c>
      <c r="F70" s="93"/>
      <c r="G70" s="93"/>
      <c r="H70" s="93"/>
      <c r="I70" s="93"/>
      <c r="J70" s="93"/>
      <c r="K70" s="93"/>
      <c r="L70" s="93"/>
      <c r="M70" s="93"/>
      <c r="N70" s="93"/>
      <c r="O70" s="93"/>
      <c r="P70" s="93"/>
      <c r="Q70" s="93"/>
      <c r="R70" s="93"/>
      <c r="S70" s="93"/>
      <c r="T70" s="94"/>
      <c r="U70" s="96">
        <v>14855</v>
      </c>
      <c r="V70" s="97"/>
      <c r="W70" s="97"/>
      <c r="X70" s="97"/>
      <c r="Y70" s="98"/>
      <c r="Z70" s="96">
        <v>0</v>
      </c>
      <c r="AA70" s="97"/>
      <c r="AB70" s="97"/>
      <c r="AC70" s="97"/>
      <c r="AD70" s="98"/>
      <c r="AE70" s="96">
        <v>0</v>
      </c>
      <c r="AF70" s="97"/>
      <c r="AG70" s="97"/>
      <c r="AH70" s="98"/>
      <c r="AI70" s="96">
        <f>IF(ISNUMBER(U70),U70,0)+IF(ISNUMBER(Z70),Z70,0)</f>
        <v>14855</v>
      </c>
      <c r="AJ70" s="97"/>
      <c r="AK70" s="97"/>
      <c r="AL70" s="97"/>
      <c r="AM70" s="98"/>
      <c r="AN70" s="96">
        <v>20934</v>
      </c>
      <c r="AO70" s="97"/>
      <c r="AP70" s="97"/>
      <c r="AQ70" s="97"/>
      <c r="AR70" s="98"/>
      <c r="AS70" s="96">
        <v>0</v>
      </c>
      <c r="AT70" s="97"/>
      <c r="AU70" s="97"/>
      <c r="AV70" s="97"/>
      <c r="AW70" s="98"/>
      <c r="AX70" s="96">
        <v>0</v>
      </c>
      <c r="AY70" s="97"/>
      <c r="AZ70" s="97"/>
      <c r="BA70" s="98"/>
      <c r="BB70" s="96">
        <f>IF(ISNUMBER(AN70),AN70,0)+IF(ISNUMBER(AS70),AS70,0)</f>
        <v>20934</v>
      </c>
      <c r="BC70" s="97"/>
      <c r="BD70" s="97"/>
      <c r="BE70" s="97"/>
      <c r="BF70" s="98"/>
      <c r="BG70" s="96">
        <v>28000</v>
      </c>
      <c r="BH70" s="97"/>
      <c r="BI70" s="97"/>
      <c r="BJ70" s="97"/>
      <c r="BK70" s="98"/>
      <c r="BL70" s="96">
        <v>0</v>
      </c>
      <c r="BM70" s="97"/>
      <c r="BN70" s="97"/>
      <c r="BO70" s="97"/>
      <c r="BP70" s="98"/>
      <c r="BQ70" s="96">
        <v>0</v>
      </c>
      <c r="BR70" s="97"/>
      <c r="BS70" s="97"/>
      <c r="BT70" s="98"/>
      <c r="BU70" s="96">
        <f>IF(ISNUMBER(BG70),BG70,0)+IF(ISNUMBER(BL70),BL70,0)</f>
        <v>28000</v>
      </c>
      <c r="BV70" s="97"/>
      <c r="BW70" s="97"/>
      <c r="BX70" s="97"/>
      <c r="BY70" s="98"/>
    </row>
    <row r="71" spans="1:77" s="99" customFormat="1" ht="12.75" customHeight="1" x14ac:dyDescent="0.2">
      <c r="A71" s="89">
        <v>2800</v>
      </c>
      <c r="B71" s="90"/>
      <c r="C71" s="90"/>
      <c r="D71" s="91"/>
      <c r="E71" s="92" t="s">
        <v>190</v>
      </c>
      <c r="F71" s="93"/>
      <c r="G71" s="93"/>
      <c r="H71" s="93"/>
      <c r="I71" s="93"/>
      <c r="J71" s="93"/>
      <c r="K71" s="93"/>
      <c r="L71" s="93"/>
      <c r="M71" s="93"/>
      <c r="N71" s="93"/>
      <c r="O71" s="93"/>
      <c r="P71" s="93"/>
      <c r="Q71" s="93"/>
      <c r="R71" s="93"/>
      <c r="S71" s="93"/>
      <c r="T71" s="94"/>
      <c r="U71" s="96">
        <v>640</v>
      </c>
      <c r="V71" s="97"/>
      <c r="W71" s="97"/>
      <c r="X71" s="97"/>
      <c r="Y71" s="98"/>
      <c r="Z71" s="96">
        <v>0</v>
      </c>
      <c r="AA71" s="97"/>
      <c r="AB71" s="97"/>
      <c r="AC71" s="97"/>
      <c r="AD71" s="98"/>
      <c r="AE71" s="96">
        <v>0</v>
      </c>
      <c r="AF71" s="97"/>
      <c r="AG71" s="97"/>
      <c r="AH71" s="98"/>
      <c r="AI71" s="96">
        <f>IF(ISNUMBER(U71),U71,0)+IF(ISNUMBER(Z71),Z71,0)</f>
        <v>640</v>
      </c>
      <c r="AJ71" s="97"/>
      <c r="AK71" s="97"/>
      <c r="AL71" s="97"/>
      <c r="AM71" s="98"/>
      <c r="AN71" s="96">
        <v>3000</v>
      </c>
      <c r="AO71" s="97"/>
      <c r="AP71" s="97"/>
      <c r="AQ71" s="97"/>
      <c r="AR71" s="98"/>
      <c r="AS71" s="96">
        <v>0</v>
      </c>
      <c r="AT71" s="97"/>
      <c r="AU71" s="97"/>
      <c r="AV71" s="97"/>
      <c r="AW71" s="98"/>
      <c r="AX71" s="96">
        <v>0</v>
      </c>
      <c r="AY71" s="97"/>
      <c r="AZ71" s="97"/>
      <c r="BA71" s="98"/>
      <c r="BB71" s="96">
        <f>IF(ISNUMBER(AN71),AN71,0)+IF(ISNUMBER(AS71),AS71,0)</f>
        <v>3000</v>
      </c>
      <c r="BC71" s="97"/>
      <c r="BD71" s="97"/>
      <c r="BE71" s="97"/>
      <c r="BF71" s="98"/>
      <c r="BG71" s="96">
        <v>3000</v>
      </c>
      <c r="BH71" s="97"/>
      <c r="BI71" s="97"/>
      <c r="BJ71" s="97"/>
      <c r="BK71" s="98"/>
      <c r="BL71" s="96">
        <v>0</v>
      </c>
      <c r="BM71" s="97"/>
      <c r="BN71" s="97"/>
      <c r="BO71" s="97"/>
      <c r="BP71" s="98"/>
      <c r="BQ71" s="96">
        <v>0</v>
      </c>
      <c r="BR71" s="97"/>
      <c r="BS71" s="97"/>
      <c r="BT71" s="98"/>
      <c r="BU71" s="96">
        <f>IF(ISNUMBER(BG71),BG71,0)+IF(ISNUMBER(BL71),BL71,0)</f>
        <v>3000</v>
      </c>
      <c r="BV71" s="97"/>
      <c r="BW71" s="97"/>
      <c r="BX71" s="97"/>
      <c r="BY71" s="98"/>
    </row>
    <row r="72" spans="1:77" s="99" customFormat="1" ht="25.5" customHeight="1" x14ac:dyDescent="0.2">
      <c r="A72" s="89">
        <v>3110</v>
      </c>
      <c r="B72" s="90"/>
      <c r="C72" s="90"/>
      <c r="D72" s="91"/>
      <c r="E72" s="92" t="s">
        <v>191</v>
      </c>
      <c r="F72" s="93"/>
      <c r="G72" s="93"/>
      <c r="H72" s="93"/>
      <c r="I72" s="93"/>
      <c r="J72" s="93"/>
      <c r="K72" s="93"/>
      <c r="L72" s="93"/>
      <c r="M72" s="93"/>
      <c r="N72" s="93"/>
      <c r="O72" s="93"/>
      <c r="P72" s="93"/>
      <c r="Q72" s="93"/>
      <c r="R72" s="93"/>
      <c r="S72" s="93"/>
      <c r="T72" s="94"/>
      <c r="U72" s="96">
        <v>0</v>
      </c>
      <c r="V72" s="97"/>
      <c r="W72" s="97"/>
      <c r="X72" s="97"/>
      <c r="Y72" s="98"/>
      <c r="Z72" s="96">
        <v>0</v>
      </c>
      <c r="AA72" s="97"/>
      <c r="AB72" s="97"/>
      <c r="AC72" s="97"/>
      <c r="AD72" s="98"/>
      <c r="AE72" s="96">
        <v>0</v>
      </c>
      <c r="AF72" s="97"/>
      <c r="AG72" s="97"/>
      <c r="AH72" s="98"/>
      <c r="AI72" s="96">
        <f>IF(ISNUMBER(U72),U72,0)+IF(ISNUMBER(Z72),Z72,0)</f>
        <v>0</v>
      </c>
      <c r="AJ72" s="97"/>
      <c r="AK72" s="97"/>
      <c r="AL72" s="97"/>
      <c r="AM72" s="98"/>
      <c r="AN72" s="96">
        <v>0</v>
      </c>
      <c r="AO72" s="97"/>
      <c r="AP72" s="97"/>
      <c r="AQ72" s="97"/>
      <c r="AR72" s="98"/>
      <c r="AS72" s="96">
        <v>128900</v>
      </c>
      <c r="AT72" s="97"/>
      <c r="AU72" s="97"/>
      <c r="AV72" s="97"/>
      <c r="AW72" s="98"/>
      <c r="AX72" s="96">
        <v>128900</v>
      </c>
      <c r="AY72" s="97"/>
      <c r="AZ72" s="97"/>
      <c r="BA72" s="98"/>
      <c r="BB72" s="96">
        <f>IF(ISNUMBER(AN72),AN72,0)+IF(ISNUMBER(AS72),AS72,0)</f>
        <v>128900</v>
      </c>
      <c r="BC72" s="97"/>
      <c r="BD72" s="97"/>
      <c r="BE72" s="97"/>
      <c r="BF72" s="98"/>
      <c r="BG72" s="96">
        <v>0</v>
      </c>
      <c r="BH72" s="97"/>
      <c r="BI72" s="97"/>
      <c r="BJ72" s="97"/>
      <c r="BK72" s="98"/>
      <c r="BL72" s="96">
        <v>0</v>
      </c>
      <c r="BM72" s="97"/>
      <c r="BN72" s="97"/>
      <c r="BO72" s="97"/>
      <c r="BP72" s="98"/>
      <c r="BQ72" s="96">
        <v>0</v>
      </c>
      <c r="BR72" s="97"/>
      <c r="BS72" s="97"/>
      <c r="BT72" s="98"/>
      <c r="BU72" s="96">
        <f>IF(ISNUMBER(BG72),BG72,0)+IF(ISNUMBER(BL72),BL72,0)</f>
        <v>0</v>
      </c>
      <c r="BV72" s="97"/>
      <c r="BW72" s="97"/>
      <c r="BX72" s="97"/>
      <c r="BY72" s="98"/>
    </row>
    <row r="73" spans="1:77" s="99" customFormat="1" ht="12.75" customHeight="1" x14ac:dyDescent="0.2">
      <c r="A73" s="89">
        <v>3132</v>
      </c>
      <c r="B73" s="90"/>
      <c r="C73" s="90"/>
      <c r="D73" s="91"/>
      <c r="E73" s="92" t="s">
        <v>192</v>
      </c>
      <c r="F73" s="93"/>
      <c r="G73" s="93"/>
      <c r="H73" s="93"/>
      <c r="I73" s="93"/>
      <c r="J73" s="93"/>
      <c r="K73" s="93"/>
      <c r="L73" s="93"/>
      <c r="M73" s="93"/>
      <c r="N73" s="93"/>
      <c r="O73" s="93"/>
      <c r="P73" s="93"/>
      <c r="Q73" s="93"/>
      <c r="R73" s="93"/>
      <c r="S73" s="93"/>
      <c r="T73" s="94"/>
      <c r="U73" s="96">
        <v>0</v>
      </c>
      <c r="V73" s="97"/>
      <c r="W73" s="97"/>
      <c r="X73" s="97"/>
      <c r="Y73" s="98"/>
      <c r="Z73" s="96">
        <v>0</v>
      </c>
      <c r="AA73" s="97"/>
      <c r="AB73" s="97"/>
      <c r="AC73" s="97"/>
      <c r="AD73" s="98"/>
      <c r="AE73" s="96">
        <v>0</v>
      </c>
      <c r="AF73" s="97"/>
      <c r="AG73" s="97"/>
      <c r="AH73" s="98"/>
      <c r="AI73" s="96">
        <f>IF(ISNUMBER(U73),U73,0)+IF(ISNUMBER(Z73),Z73,0)</f>
        <v>0</v>
      </c>
      <c r="AJ73" s="97"/>
      <c r="AK73" s="97"/>
      <c r="AL73" s="97"/>
      <c r="AM73" s="98"/>
      <c r="AN73" s="96">
        <v>0</v>
      </c>
      <c r="AO73" s="97"/>
      <c r="AP73" s="97"/>
      <c r="AQ73" s="97"/>
      <c r="AR73" s="98"/>
      <c r="AS73" s="96">
        <v>575000</v>
      </c>
      <c r="AT73" s="97"/>
      <c r="AU73" s="97"/>
      <c r="AV73" s="97"/>
      <c r="AW73" s="98"/>
      <c r="AX73" s="96">
        <v>575000</v>
      </c>
      <c r="AY73" s="97"/>
      <c r="AZ73" s="97"/>
      <c r="BA73" s="98"/>
      <c r="BB73" s="96">
        <f>IF(ISNUMBER(AN73),AN73,0)+IF(ISNUMBER(AS73),AS73,0)</f>
        <v>575000</v>
      </c>
      <c r="BC73" s="97"/>
      <c r="BD73" s="97"/>
      <c r="BE73" s="97"/>
      <c r="BF73" s="98"/>
      <c r="BG73" s="96">
        <v>0</v>
      </c>
      <c r="BH73" s="97"/>
      <c r="BI73" s="97"/>
      <c r="BJ73" s="97"/>
      <c r="BK73" s="98"/>
      <c r="BL73" s="96">
        <v>0</v>
      </c>
      <c r="BM73" s="97"/>
      <c r="BN73" s="97"/>
      <c r="BO73" s="97"/>
      <c r="BP73" s="98"/>
      <c r="BQ73" s="96">
        <v>0</v>
      </c>
      <c r="BR73" s="97"/>
      <c r="BS73" s="97"/>
      <c r="BT73" s="98"/>
      <c r="BU73" s="96">
        <f>IF(ISNUMBER(BG73),BG73,0)+IF(ISNUMBER(BL73),BL73,0)</f>
        <v>0</v>
      </c>
      <c r="BV73" s="97"/>
      <c r="BW73" s="97"/>
      <c r="BX73" s="97"/>
      <c r="BY73" s="98"/>
    </row>
    <row r="74" spans="1:77" s="6" customFormat="1" ht="12.75" customHeight="1" x14ac:dyDescent="0.2">
      <c r="A74" s="86"/>
      <c r="B74" s="87"/>
      <c r="C74" s="87"/>
      <c r="D74" s="88"/>
      <c r="E74" s="100" t="s">
        <v>147</v>
      </c>
      <c r="F74" s="101"/>
      <c r="G74" s="101"/>
      <c r="H74" s="101"/>
      <c r="I74" s="101"/>
      <c r="J74" s="101"/>
      <c r="K74" s="101"/>
      <c r="L74" s="101"/>
      <c r="M74" s="101"/>
      <c r="N74" s="101"/>
      <c r="O74" s="101"/>
      <c r="P74" s="101"/>
      <c r="Q74" s="101"/>
      <c r="R74" s="101"/>
      <c r="S74" s="101"/>
      <c r="T74" s="102"/>
      <c r="U74" s="104">
        <v>20699527</v>
      </c>
      <c r="V74" s="105"/>
      <c r="W74" s="105"/>
      <c r="X74" s="105"/>
      <c r="Y74" s="106"/>
      <c r="Z74" s="104">
        <v>178071</v>
      </c>
      <c r="AA74" s="105"/>
      <c r="AB74" s="105"/>
      <c r="AC74" s="105"/>
      <c r="AD74" s="106"/>
      <c r="AE74" s="104">
        <v>0</v>
      </c>
      <c r="AF74" s="105"/>
      <c r="AG74" s="105"/>
      <c r="AH74" s="106"/>
      <c r="AI74" s="104">
        <f>IF(ISNUMBER(U74),U74,0)+IF(ISNUMBER(Z74),Z74,0)</f>
        <v>20877598</v>
      </c>
      <c r="AJ74" s="105"/>
      <c r="AK74" s="105"/>
      <c r="AL74" s="105"/>
      <c r="AM74" s="106"/>
      <c r="AN74" s="104">
        <v>22884244</v>
      </c>
      <c r="AO74" s="105"/>
      <c r="AP74" s="105"/>
      <c r="AQ74" s="105"/>
      <c r="AR74" s="106"/>
      <c r="AS74" s="104">
        <v>3203900</v>
      </c>
      <c r="AT74" s="105"/>
      <c r="AU74" s="105"/>
      <c r="AV74" s="105"/>
      <c r="AW74" s="106"/>
      <c r="AX74" s="104">
        <v>703900</v>
      </c>
      <c r="AY74" s="105"/>
      <c r="AZ74" s="105"/>
      <c r="BA74" s="106"/>
      <c r="BB74" s="104">
        <f>IF(ISNUMBER(AN74),AN74,0)+IF(ISNUMBER(AS74),AS74,0)</f>
        <v>26088144</v>
      </c>
      <c r="BC74" s="105"/>
      <c r="BD74" s="105"/>
      <c r="BE74" s="105"/>
      <c r="BF74" s="106"/>
      <c r="BG74" s="104">
        <v>21601824</v>
      </c>
      <c r="BH74" s="105"/>
      <c r="BI74" s="105"/>
      <c r="BJ74" s="105"/>
      <c r="BK74" s="106"/>
      <c r="BL74" s="104">
        <v>0</v>
      </c>
      <c r="BM74" s="105"/>
      <c r="BN74" s="105"/>
      <c r="BO74" s="105"/>
      <c r="BP74" s="106"/>
      <c r="BQ74" s="104">
        <v>0</v>
      </c>
      <c r="BR74" s="105"/>
      <c r="BS74" s="105"/>
      <c r="BT74" s="106"/>
      <c r="BU74" s="104">
        <f>IF(ISNUMBER(BG74),BG74,0)+IF(ISNUMBER(BL74),BL74,0)</f>
        <v>21601824</v>
      </c>
      <c r="BV74" s="105"/>
      <c r="BW74" s="105"/>
      <c r="BX74" s="105"/>
      <c r="BY74" s="106"/>
    </row>
    <row r="76" spans="1:77" ht="14.25" customHeight="1" x14ac:dyDescent="0.2">
      <c r="A76" s="29" t="s">
        <v>332</v>
      </c>
      <c r="B76" s="29"/>
      <c r="C76" s="29"/>
      <c r="D76" s="29"/>
      <c r="E76" s="29"/>
      <c r="F76" s="29"/>
      <c r="G76" s="29"/>
      <c r="H76" s="29"/>
      <c r="I76" s="29"/>
      <c r="J76" s="29"/>
      <c r="K76" s="29"/>
      <c r="L76" s="29"/>
      <c r="M76" s="29"/>
      <c r="N76" s="29"/>
      <c r="O76" s="29"/>
      <c r="P76" s="29"/>
      <c r="Q76" s="29"/>
      <c r="R76" s="29"/>
      <c r="S76" s="29"/>
      <c r="T76" s="29"/>
      <c r="U76" s="29"/>
      <c r="V76" s="29"/>
      <c r="W76" s="29"/>
      <c r="X76" s="29"/>
      <c r="Y76" s="29"/>
      <c r="Z76" s="29"/>
      <c r="AA76" s="29"/>
      <c r="AB76" s="29"/>
      <c r="AC76" s="29"/>
      <c r="AD76" s="29"/>
      <c r="AE76" s="29"/>
      <c r="AF76" s="29"/>
      <c r="AG76" s="29"/>
      <c r="AH76" s="29"/>
      <c r="AI76" s="29"/>
      <c r="AJ76" s="29"/>
      <c r="AK76" s="29"/>
      <c r="AL76" s="29"/>
      <c r="AM76" s="29"/>
      <c r="AN76" s="29"/>
      <c r="AO76" s="29"/>
      <c r="AP76" s="29"/>
      <c r="AQ76" s="29"/>
      <c r="AR76" s="29"/>
      <c r="AS76" s="29"/>
      <c r="AT76" s="29"/>
      <c r="AU76" s="29"/>
      <c r="AV76" s="29"/>
      <c r="AW76" s="29"/>
      <c r="AX76" s="29"/>
      <c r="AY76" s="29"/>
      <c r="AZ76" s="29"/>
      <c r="BA76" s="29"/>
      <c r="BB76" s="29"/>
      <c r="BC76" s="29"/>
      <c r="BD76" s="29"/>
      <c r="BE76" s="29"/>
      <c r="BF76" s="29"/>
      <c r="BG76" s="29"/>
      <c r="BH76" s="29"/>
      <c r="BI76" s="29"/>
      <c r="BJ76" s="29"/>
      <c r="BK76" s="29"/>
      <c r="BL76" s="29"/>
    </row>
    <row r="77" spans="1:77" ht="15" customHeight="1" x14ac:dyDescent="0.2">
      <c r="A77" s="44" t="s">
        <v>318</v>
      </c>
      <c r="B77" s="44"/>
      <c r="C77" s="44"/>
      <c r="D77" s="44"/>
      <c r="E77" s="44"/>
      <c r="F77" s="44"/>
      <c r="G77" s="44"/>
      <c r="H77" s="44"/>
      <c r="I77" s="44"/>
      <c r="J77" s="44"/>
      <c r="K77" s="44"/>
      <c r="L77" s="44"/>
      <c r="M77" s="44"/>
      <c r="N77" s="44"/>
      <c r="O77" s="44"/>
      <c r="P77" s="44"/>
      <c r="Q77" s="44"/>
      <c r="R77" s="44"/>
      <c r="S77" s="44"/>
      <c r="T77" s="44"/>
      <c r="U77" s="44"/>
      <c r="V77" s="44"/>
      <c r="W77" s="44"/>
      <c r="X77" s="44"/>
      <c r="Y77" s="44"/>
      <c r="Z77" s="44"/>
      <c r="AA77" s="44"/>
      <c r="AB77" s="44"/>
      <c r="AC77" s="44"/>
      <c r="AD77" s="44"/>
      <c r="AE77" s="44"/>
      <c r="AF77" s="44"/>
      <c r="AG77" s="44"/>
      <c r="AH77" s="44"/>
      <c r="AI77" s="44"/>
      <c r="AJ77" s="44"/>
      <c r="AK77" s="44"/>
      <c r="AL77" s="44"/>
      <c r="AM77" s="44"/>
      <c r="AN77" s="44"/>
      <c r="AO77" s="44"/>
      <c r="AP77" s="44"/>
      <c r="AQ77" s="44"/>
      <c r="AR77" s="44"/>
      <c r="AS77" s="44"/>
      <c r="AT77" s="44"/>
      <c r="AU77" s="44"/>
      <c r="AV77" s="44"/>
      <c r="AW77" s="44"/>
      <c r="AX77" s="44"/>
      <c r="AY77" s="44"/>
      <c r="AZ77" s="44"/>
      <c r="BA77" s="44"/>
      <c r="BB77" s="44"/>
      <c r="BC77" s="44"/>
      <c r="BD77" s="44"/>
      <c r="BE77" s="44"/>
      <c r="BF77" s="44"/>
      <c r="BG77" s="44"/>
      <c r="BH77" s="44"/>
      <c r="BI77" s="44"/>
      <c r="BJ77" s="44"/>
      <c r="BK77" s="44"/>
      <c r="BL77" s="44"/>
      <c r="BM77" s="44"/>
      <c r="BN77" s="44"/>
      <c r="BO77" s="44"/>
      <c r="BP77" s="44"/>
      <c r="BQ77" s="44"/>
      <c r="BR77" s="44"/>
      <c r="BS77" s="44"/>
      <c r="BT77" s="44"/>
      <c r="BU77" s="44"/>
      <c r="BV77" s="44"/>
      <c r="BW77" s="44"/>
      <c r="BX77" s="44"/>
      <c r="BY77" s="44"/>
    </row>
    <row r="78" spans="1:77" ht="23.1" customHeight="1" x14ac:dyDescent="0.2">
      <c r="A78" s="61" t="s">
        <v>119</v>
      </c>
      <c r="B78" s="62"/>
      <c r="C78" s="62"/>
      <c r="D78" s="62"/>
      <c r="E78" s="63"/>
      <c r="F78" s="27" t="s">
        <v>19</v>
      </c>
      <c r="G78" s="27"/>
      <c r="H78" s="27"/>
      <c r="I78" s="27"/>
      <c r="J78" s="27"/>
      <c r="K78" s="27"/>
      <c r="L78" s="27"/>
      <c r="M78" s="27"/>
      <c r="N78" s="27"/>
      <c r="O78" s="27"/>
      <c r="P78" s="27"/>
      <c r="Q78" s="27"/>
      <c r="R78" s="27"/>
      <c r="S78" s="27"/>
      <c r="T78" s="27"/>
      <c r="U78" s="36" t="s">
        <v>319</v>
      </c>
      <c r="V78" s="37"/>
      <c r="W78" s="37"/>
      <c r="X78" s="37"/>
      <c r="Y78" s="37"/>
      <c r="Z78" s="37"/>
      <c r="AA78" s="37"/>
      <c r="AB78" s="37"/>
      <c r="AC78" s="37"/>
      <c r="AD78" s="37"/>
      <c r="AE78" s="37"/>
      <c r="AF78" s="37"/>
      <c r="AG78" s="37"/>
      <c r="AH78" s="37"/>
      <c r="AI78" s="37"/>
      <c r="AJ78" s="37"/>
      <c r="AK78" s="37"/>
      <c r="AL78" s="37"/>
      <c r="AM78" s="38"/>
      <c r="AN78" s="36" t="s">
        <v>322</v>
      </c>
      <c r="AO78" s="37"/>
      <c r="AP78" s="37"/>
      <c r="AQ78" s="37"/>
      <c r="AR78" s="37"/>
      <c r="AS78" s="37"/>
      <c r="AT78" s="37"/>
      <c r="AU78" s="37"/>
      <c r="AV78" s="37"/>
      <c r="AW78" s="37"/>
      <c r="AX78" s="37"/>
      <c r="AY78" s="37"/>
      <c r="AZ78" s="37"/>
      <c r="BA78" s="37"/>
      <c r="BB78" s="37"/>
      <c r="BC78" s="37"/>
      <c r="BD78" s="37"/>
      <c r="BE78" s="37"/>
      <c r="BF78" s="38"/>
      <c r="BG78" s="36" t="s">
        <v>330</v>
      </c>
      <c r="BH78" s="37"/>
      <c r="BI78" s="37"/>
      <c r="BJ78" s="37"/>
      <c r="BK78" s="37"/>
      <c r="BL78" s="37"/>
      <c r="BM78" s="37"/>
      <c r="BN78" s="37"/>
      <c r="BO78" s="37"/>
      <c r="BP78" s="37"/>
      <c r="BQ78" s="37"/>
      <c r="BR78" s="37"/>
      <c r="BS78" s="37"/>
      <c r="BT78" s="37"/>
      <c r="BU78" s="37"/>
      <c r="BV78" s="37"/>
      <c r="BW78" s="37"/>
      <c r="BX78" s="37"/>
      <c r="BY78" s="38"/>
    </row>
    <row r="79" spans="1:77" ht="51.75" customHeight="1" x14ac:dyDescent="0.2">
      <c r="A79" s="64"/>
      <c r="B79" s="65"/>
      <c r="C79" s="65"/>
      <c r="D79" s="65"/>
      <c r="E79" s="66"/>
      <c r="F79" s="27"/>
      <c r="G79" s="27"/>
      <c r="H79" s="27"/>
      <c r="I79" s="27"/>
      <c r="J79" s="27"/>
      <c r="K79" s="27"/>
      <c r="L79" s="27"/>
      <c r="M79" s="27"/>
      <c r="N79" s="27"/>
      <c r="O79" s="27"/>
      <c r="P79" s="27"/>
      <c r="Q79" s="27"/>
      <c r="R79" s="27"/>
      <c r="S79" s="27"/>
      <c r="T79" s="27"/>
      <c r="U79" s="36" t="s">
        <v>4</v>
      </c>
      <c r="V79" s="37"/>
      <c r="W79" s="37"/>
      <c r="X79" s="37"/>
      <c r="Y79" s="38"/>
      <c r="Z79" s="36" t="s">
        <v>3</v>
      </c>
      <c r="AA79" s="37"/>
      <c r="AB79" s="37"/>
      <c r="AC79" s="37"/>
      <c r="AD79" s="38"/>
      <c r="AE79" s="57" t="s">
        <v>116</v>
      </c>
      <c r="AF79" s="58"/>
      <c r="AG79" s="58"/>
      <c r="AH79" s="59"/>
      <c r="AI79" s="36" t="s">
        <v>5</v>
      </c>
      <c r="AJ79" s="37"/>
      <c r="AK79" s="37"/>
      <c r="AL79" s="37"/>
      <c r="AM79" s="38"/>
      <c r="AN79" s="36" t="s">
        <v>4</v>
      </c>
      <c r="AO79" s="37"/>
      <c r="AP79" s="37"/>
      <c r="AQ79" s="37"/>
      <c r="AR79" s="38"/>
      <c r="AS79" s="36" t="s">
        <v>3</v>
      </c>
      <c r="AT79" s="37"/>
      <c r="AU79" s="37"/>
      <c r="AV79" s="37"/>
      <c r="AW79" s="38"/>
      <c r="AX79" s="57" t="s">
        <v>116</v>
      </c>
      <c r="AY79" s="58"/>
      <c r="AZ79" s="58"/>
      <c r="BA79" s="59"/>
      <c r="BB79" s="36" t="s">
        <v>96</v>
      </c>
      <c r="BC79" s="37"/>
      <c r="BD79" s="37"/>
      <c r="BE79" s="37"/>
      <c r="BF79" s="38"/>
      <c r="BG79" s="36" t="s">
        <v>4</v>
      </c>
      <c r="BH79" s="37"/>
      <c r="BI79" s="37"/>
      <c r="BJ79" s="37"/>
      <c r="BK79" s="38"/>
      <c r="BL79" s="36" t="s">
        <v>3</v>
      </c>
      <c r="BM79" s="37"/>
      <c r="BN79" s="37"/>
      <c r="BO79" s="37"/>
      <c r="BP79" s="38"/>
      <c r="BQ79" s="57" t="s">
        <v>116</v>
      </c>
      <c r="BR79" s="58"/>
      <c r="BS79" s="58"/>
      <c r="BT79" s="59"/>
      <c r="BU79" s="27" t="s">
        <v>97</v>
      </c>
      <c r="BV79" s="27"/>
      <c r="BW79" s="27"/>
      <c r="BX79" s="27"/>
      <c r="BY79" s="27"/>
    </row>
    <row r="80" spans="1:77" ht="15" customHeight="1" x14ac:dyDescent="0.2">
      <c r="A80" s="36">
        <v>1</v>
      </c>
      <c r="B80" s="37"/>
      <c r="C80" s="37"/>
      <c r="D80" s="37"/>
      <c r="E80" s="38"/>
      <c r="F80" s="36">
        <v>2</v>
      </c>
      <c r="G80" s="37"/>
      <c r="H80" s="37"/>
      <c r="I80" s="37"/>
      <c r="J80" s="37"/>
      <c r="K80" s="37"/>
      <c r="L80" s="37"/>
      <c r="M80" s="37"/>
      <c r="N80" s="37"/>
      <c r="O80" s="37"/>
      <c r="P80" s="37"/>
      <c r="Q80" s="37"/>
      <c r="R80" s="37"/>
      <c r="S80" s="37"/>
      <c r="T80" s="38"/>
      <c r="U80" s="36">
        <v>3</v>
      </c>
      <c r="V80" s="37"/>
      <c r="W80" s="37"/>
      <c r="X80" s="37"/>
      <c r="Y80" s="38"/>
      <c r="Z80" s="36">
        <v>4</v>
      </c>
      <c r="AA80" s="37"/>
      <c r="AB80" s="37"/>
      <c r="AC80" s="37"/>
      <c r="AD80" s="38"/>
      <c r="AE80" s="36">
        <v>5</v>
      </c>
      <c r="AF80" s="37"/>
      <c r="AG80" s="37"/>
      <c r="AH80" s="38"/>
      <c r="AI80" s="36">
        <v>6</v>
      </c>
      <c r="AJ80" s="37"/>
      <c r="AK80" s="37"/>
      <c r="AL80" s="37"/>
      <c r="AM80" s="38"/>
      <c r="AN80" s="36">
        <v>7</v>
      </c>
      <c r="AO80" s="37"/>
      <c r="AP80" s="37"/>
      <c r="AQ80" s="37"/>
      <c r="AR80" s="38"/>
      <c r="AS80" s="36">
        <v>8</v>
      </c>
      <c r="AT80" s="37"/>
      <c r="AU80" s="37"/>
      <c r="AV80" s="37"/>
      <c r="AW80" s="38"/>
      <c r="AX80" s="36">
        <v>9</v>
      </c>
      <c r="AY80" s="37"/>
      <c r="AZ80" s="37"/>
      <c r="BA80" s="38"/>
      <c r="BB80" s="36">
        <v>10</v>
      </c>
      <c r="BC80" s="37"/>
      <c r="BD80" s="37"/>
      <c r="BE80" s="37"/>
      <c r="BF80" s="38"/>
      <c r="BG80" s="36">
        <v>11</v>
      </c>
      <c r="BH80" s="37"/>
      <c r="BI80" s="37"/>
      <c r="BJ80" s="37"/>
      <c r="BK80" s="38"/>
      <c r="BL80" s="36">
        <v>12</v>
      </c>
      <c r="BM80" s="37"/>
      <c r="BN80" s="37"/>
      <c r="BO80" s="37"/>
      <c r="BP80" s="38"/>
      <c r="BQ80" s="36">
        <v>13</v>
      </c>
      <c r="BR80" s="37"/>
      <c r="BS80" s="37"/>
      <c r="BT80" s="38"/>
      <c r="BU80" s="27">
        <v>14</v>
      </c>
      <c r="BV80" s="27"/>
      <c r="BW80" s="27"/>
      <c r="BX80" s="27"/>
      <c r="BY80" s="27"/>
    </row>
    <row r="81" spans="1:79" s="1" customFormat="1" ht="13.5" hidden="1" customHeight="1" x14ac:dyDescent="0.2">
      <c r="A81" s="39" t="s">
        <v>64</v>
      </c>
      <c r="B81" s="40"/>
      <c r="C81" s="40"/>
      <c r="D81" s="40"/>
      <c r="E81" s="41"/>
      <c r="F81" s="39" t="s">
        <v>57</v>
      </c>
      <c r="G81" s="40"/>
      <c r="H81" s="40"/>
      <c r="I81" s="40"/>
      <c r="J81" s="40"/>
      <c r="K81" s="40"/>
      <c r="L81" s="40"/>
      <c r="M81" s="40"/>
      <c r="N81" s="40"/>
      <c r="O81" s="40"/>
      <c r="P81" s="40"/>
      <c r="Q81" s="40"/>
      <c r="R81" s="40"/>
      <c r="S81" s="40"/>
      <c r="T81" s="41"/>
      <c r="U81" s="39" t="s">
        <v>65</v>
      </c>
      <c r="V81" s="40"/>
      <c r="W81" s="40"/>
      <c r="X81" s="40"/>
      <c r="Y81" s="41"/>
      <c r="Z81" s="39" t="s">
        <v>66</v>
      </c>
      <c r="AA81" s="40"/>
      <c r="AB81" s="40"/>
      <c r="AC81" s="40"/>
      <c r="AD81" s="41"/>
      <c r="AE81" s="39" t="s">
        <v>91</v>
      </c>
      <c r="AF81" s="40"/>
      <c r="AG81" s="40"/>
      <c r="AH81" s="41"/>
      <c r="AI81" s="47" t="s">
        <v>169</v>
      </c>
      <c r="AJ81" s="48"/>
      <c r="AK81" s="48"/>
      <c r="AL81" s="48"/>
      <c r="AM81" s="49"/>
      <c r="AN81" s="39" t="s">
        <v>67</v>
      </c>
      <c r="AO81" s="40"/>
      <c r="AP81" s="40"/>
      <c r="AQ81" s="40"/>
      <c r="AR81" s="41"/>
      <c r="AS81" s="39" t="s">
        <v>68</v>
      </c>
      <c r="AT81" s="40"/>
      <c r="AU81" s="40"/>
      <c r="AV81" s="40"/>
      <c r="AW81" s="41"/>
      <c r="AX81" s="39" t="s">
        <v>92</v>
      </c>
      <c r="AY81" s="40"/>
      <c r="AZ81" s="40"/>
      <c r="BA81" s="41"/>
      <c r="BB81" s="47" t="s">
        <v>169</v>
      </c>
      <c r="BC81" s="48"/>
      <c r="BD81" s="48"/>
      <c r="BE81" s="48"/>
      <c r="BF81" s="49"/>
      <c r="BG81" s="39" t="s">
        <v>58</v>
      </c>
      <c r="BH81" s="40"/>
      <c r="BI81" s="40"/>
      <c r="BJ81" s="40"/>
      <c r="BK81" s="41"/>
      <c r="BL81" s="39" t="s">
        <v>59</v>
      </c>
      <c r="BM81" s="40"/>
      <c r="BN81" s="40"/>
      <c r="BO81" s="40"/>
      <c r="BP81" s="41"/>
      <c r="BQ81" s="39" t="s">
        <v>93</v>
      </c>
      <c r="BR81" s="40"/>
      <c r="BS81" s="40"/>
      <c r="BT81" s="41"/>
      <c r="BU81" s="50" t="s">
        <v>169</v>
      </c>
      <c r="BV81" s="50"/>
      <c r="BW81" s="50"/>
      <c r="BX81" s="50"/>
      <c r="BY81" s="50"/>
      <c r="CA81" t="s">
        <v>27</v>
      </c>
    </row>
    <row r="82" spans="1:79" s="6" customFormat="1" ht="12.75" customHeight="1" x14ac:dyDescent="0.2">
      <c r="A82" s="86"/>
      <c r="B82" s="87"/>
      <c r="C82" s="87"/>
      <c r="D82" s="87"/>
      <c r="E82" s="88"/>
      <c r="F82" s="86" t="s">
        <v>147</v>
      </c>
      <c r="G82" s="87"/>
      <c r="H82" s="87"/>
      <c r="I82" s="87"/>
      <c r="J82" s="87"/>
      <c r="K82" s="87"/>
      <c r="L82" s="87"/>
      <c r="M82" s="87"/>
      <c r="N82" s="87"/>
      <c r="O82" s="87"/>
      <c r="P82" s="87"/>
      <c r="Q82" s="87"/>
      <c r="R82" s="87"/>
      <c r="S82" s="87"/>
      <c r="T82" s="88"/>
      <c r="U82" s="104"/>
      <c r="V82" s="105"/>
      <c r="W82" s="105"/>
      <c r="X82" s="105"/>
      <c r="Y82" s="106"/>
      <c r="Z82" s="104"/>
      <c r="AA82" s="105"/>
      <c r="AB82" s="105"/>
      <c r="AC82" s="105"/>
      <c r="AD82" s="106"/>
      <c r="AE82" s="104"/>
      <c r="AF82" s="105"/>
      <c r="AG82" s="105"/>
      <c r="AH82" s="106"/>
      <c r="AI82" s="104">
        <f>IF(ISNUMBER(U82),U82,0)+IF(ISNUMBER(Z82),Z82,0)</f>
        <v>0</v>
      </c>
      <c r="AJ82" s="105"/>
      <c r="AK82" s="105"/>
      <c r="AL82" s="105"/>
      <c r="AM82" s="106"/>
      <c r="AN82" s="104"/>
      <c r="AO82" s="105"/>
      <c r="AP82" s="105"/>
      <c r="AQ82" s="105"/>
      <c r="AR82" s="106"/>
      <c r="AS82" s="104"/>
      <c r="AT82" s="105"/>
      <c r="AU82" s="105"/>
      <c r="AV82" s="105"/>
      <c r="AW82" s="106"/>
      <c r="AX82" s="104"/>
      <c r="AY82" s="105"/>
      <c r="AZ82" s="105"/>
      <c r="BA82" s="106"/>
      <c r="BB82" s="104">
        <f>IF(ISNUMBER(AN82),AN82,0)+IF(ISNUMBER(AS82),AS82,0)</f>
        <v>0</v>
      </c>
      <c r="BC82" s="105"/>
      <c r="BD82" s="105"/>
      <c r="BE82" s="105"/>
      <c r="BF82" s="106"/>
      <c r="BG82" s="104"/>
      <c r="BH82" s="105"/>
      <c r="BI82" s="105"/>
      <c r="BJ82" s="105"/>
      <c r="BK82" s="106"/>
      <c r="BL82" s="104"/>
      <c r="BM82" s="105"/>
      <c r="BN82" s="105"/>
      <c r="BO82" s="105"/>
      <c r="BP82" s="106"/>
      <c r="BQ82" s="104"/>
      <c r="BR82" s="105"/>
      <c r="BS82" s="105"/>
      <c r="BT82" s="106"/>
      <c r="BU82" s="104">
        <f>IF(ISNUMBER(BG82),BG82,0)+IF(ISNUMBER(BL82),BL82,0)</f>
        <v>0</v>
      </c>
      <c r="BV82" s="105"/>
      <c r="BW82" s="105"/>
      <c r="BX82" s="105"/>
      <c r="BY82" s="106"/>
      <c r="CA82" s="6" t="s">
        <v>28</v>
      </c>
    </row>
    <row r="84" spans="1:79" ht="14.25" customHeight="1" x14ac:dyDescent="0.2">
      <c r="A84" s="29" t="s">
        <v>346</v>
      </c>
      <c r="B84" s="29"/>
      <c r="C84" s="29"/>
      <c r="D84" s="29"/>
      <c r="E84" s="29"/>
      <c r="F84" s="29"/>
      <c r="G84" s="29"/>
      <c r="H84" s="29"/>
      <c r="I84" s="29"/>
      <c r="J84" s="29"/>
      <c r="K84" s="29"/>
      <c r="L84" s="29"/>
      <c r="M84" s="29"/>
      <c r="N84" s="29"/>
      <c r="O84" s="29"/>
      <c r="P84" s="29"/>
      <c r="Q84" s="29"/>
      <c r="R84" s="29"/>
      <c r="S84" s="29"/>
      <c r="T84" s="29"/>
      <c r="U84" s="29"/>
      <c r="V84" s="29"/>
      <c r="W84" s="29"/>
      <c r="X84" s="29"/>
      <c r="Y84" s="29"/>
      <c r="Z84" s="29"/>
      <c r="AA84" s="29"/>
      <c r="AB84" s="29"/>
      <c r="AC84" s="29"/>
      <c r="AD84" s="29"/>
      <c r="AE84" s="29"/>
      <c r="AF84" s="29"/>
      <c r="AG84" s="29"/>
      <c r="AH84" s="29"/>
      <c r="AI84" s="29"/>
      <c r="AJ84" s="29"/>
      <c r="AK84" s="29"/>
      <c r="AL84" s="29"/>
      <c r="AM84" s="29"/>
      <c r="AN84" s="29"/>
      <c r="AO84" s="29"/>
      <c r="AP84" s="29"/>
      <c r="AQ84" s="29"/>
      <c r="AR84" s="29"/>
      <c r="AS84" s="29"/>
      <c r="AT84" s="29"/>
      <c r="AU84" s="29"/>
      <c r="AV84" s="29"/>
      <c r="AW84" s="29"/>
      <c r="AX84" s="29"/>
      <c r="AY84" s="29"/>
      <c r="AZ84" s="29"/>
      <c r="BA84" s="29"/>
      <c r="BB84" s="29"/>
      <c r="BC84" s="29"/>
      <c r="BD84" s="29"/>
      <c r="BE84" s="29"/>
      <c r="BF84" s="29"/>
      <c r="BG84" s="29"/>
      <c r="BH84" s="29"/>
      <c r="BI84" s="29"/>
      <c r="BJ84" s="29"/>
      <c r="BK84" s="29"/>
      <c r="BL84" s="29"/>
    </row>
    <row r="85" spans="1:79" ht="15" customHeight="1" x14ac:dyDescent="0.2">
      <c r="A85" s="44" t="s">
        <v>318</v>
      </c>
      <c r="B85" s="44"/>
      <c r="C85" s="44"/>
      <c r="D85" s="44"/>
      <c r="E85" s="44"/>
      <c r="F85" s="44"/>
      <c r="G85" s="44"/>
      <c r="H85" s="44"/>
      <c r="I85" s="44"/>
      <c r="J85" s="44"/>
      <c r="K85" s="44"/>
      <c r="L85" s="44"/>
      <c r="M85" s="44"/>
      <c r="N85" s="44"/>
      <c r="O85" s="44"/>
      <c r="P85" s="44"/>
      <c r="Q85" s="44"/>
      <c r="R85" s="44"/>
      <c r="S85" s="44"/>
      <c r="T85" s="44"/>
      <c r="U85" s="44"/>
      <c r="V85" s="44"/>
      <c r="W85" s="44"/>
      <c r="X85" s="44"/>
      <c r="Y85" s="44"/>
      <c r="Z85" s="44"/>
      <c r="AA85" s="44"/>
      <c r="AB85" s="44"/>
      <c r="AC85" s="44"/>
      <c r="AD85" s="44"/>
      <c r="AE85" s="44"/>
      <c r="AF85" s="44"/>
      <c r="AG85" s="44"/>
      <c r="AH85" s="44"/>
      <c r="AI85" s="44"/>
      <c r="AJ85" s="44"/>
      <c r="AK85" s="44"/>
      <c r="AL85" s="44"/>
      <c r="AM85" s="44"/>
      <c r="AN85" s="44"/>
      <c r="AO85" s="44"/>
      <c r="AP85" s="44"/>
      <c r="AQ85" s="44"/>
      <c r="AR85" s="44"/>
      <c r="AS85" s="44"/>
      <c r="AT85" s="44"/>
      <c r="AU85" s="44"/>
      <c r="AV85" s="44"/>
      <c r="AW85" s="44"/>
      <c r="AX85" s="44"/>
      <c r="AY85" s="44"/>
      <c r="AZ85" s="44"/>
      <c r="BA85" s="44"/>
      <c r="BB85" s="44"/>
      <c r="BC85" s="44"/>
      <c r="BD85" s="44"/>
      <c r="BE85" s="44"/>
      <c r="BF85" s="44"/>
      <c r="BG85" s="44"/>
      <c r="BH85" s="44"/>
      <c r="BI85" s="44"/>
      <c r="BJ85" s="44"/>
      <c r="BK85" s="44"/>
    </row>
    <row r="86" spans="1:79" ht="23.1" customHeight="1" x14ac:dyDescent="0.2">
      <c r="A86" s="61" t="s">
        <v>118</v>
      </c>
      <c r="B86" s="62"/>
      <c r="C86" s="62"/>
      <c r="D86" s="63"/>
      <c r="E86" s="51" t="s">
        <v>19</v>
      </c>
      <c r="F86" s="52"/>
      <c r="G86" s="52"/>
      <c r="H86" s="52"/>
      <c r="I86" s="52"/>
      <c r="J86" s="52"/>
      <c r="K86" s="52"/>
      <c r="L86" s="52"/>
      <c r="M86" s="52"/>
      <c r="N86" s="52"/>
      <c r="O86" s="52"/>
      <c r="P86" s="52"/>
      <c r="Q86" s="52"/>
      <c r="R86" s="52"/>
      <c r="S86" s="52"/>
      <c r="T86" s="52"/>
      <c r="U86" s="52"/>
      <c r="V86" s="52"/>
      <c r="W86" s="53"/>
      <c r="X86" s="36" t="s">
        <v>340</v>
      </c>
      <c r="Y86" s="37"/>
      <c r="Z86" s="37"/>
      <c r="AA86" s="37"/>
      <c r="AB86" s="37"/>
      <c r="AC86" s="37"/>
      <c r="AD86" s="37"/>
      <c r="AE86" s="37"/>
      <c r="AF86" s="37"/>
      <c r="AG86" s="37"/>
      <c r="AH86" s="37"/>
      <c r="AI86" s="37"/>
      <c r="AJ86" s="37"/>
      <c r="AK86" s="37"/>
      <c r="AL86" s="37"/>
      <c r="AM86" s="37"/>
      <c r="AN86" s="37"/>
      <c r="AO86" s="37"/>
      <c r="AP86" s="37"/>
      <c r="AQ86" s="38"/>
      <c r="AR86" s="27" t="s">
        <v>345</v>
      </c>
      <c r="AS86" s="27"/>
      <c r="AT86" s="27"/>
      <c r="AU86" s="27"/>
      <c r="AV86" s="27"/>
      <c r="AW86" s="27"/>
      <c r="AX86" s="27"/>
      <c r="AY86" s="27"/>
      <c r="AZ86" s="27"/>
      <c r="BA86" s="27"/>
      <c r="BB86" s="27"/>
      <c r="BC86" s="27"/>
      <c r="BD86" s="27"/>
      <c r="BE86" s="27"/>
      <c r="BF86" s="27"/>
      <c r="BG86" s="27"/>
      <c r="BH86" s="27"/>
      <c r="BI86" s="27"/>
      <c r="BJ86" s="27"/>
      <c r="BK86" s="27"/>
    </row>
    <row r="87" spans="1:79" ht="48.75" customHeight="1" x14ac:dyDescent="0.2">
      <c r="A87" s="64"/>
      <c r="B87" s="65"/>
      <c r="C87" s="65"/>
      <c r="D87" s="66"/>
      <c r="E87" s="54"/>
      <c r="F87" s="55"/>
      <c r="G87" s="55"/>
      <c r="H87" s="55"/>
      <c r="I87" s="55"/>
      <c r="J87" s="55"/>
      <c r="K87" s="55"/>
      <c r="L87" s="55"/>
      <c r="M87" s="55"/>
      <c r="N87" s="55"/>
      <c r="O87" s="55"/>
      <c r="P87" s="55"/>
      <c r="Q87" s="55"/>
      <c r="R87" s="55"/>
      <c r="S87" s="55"/>
      <c r="T87" s="55"/>
      <c r="U87" s="55"/>
      <c r="V87" s="55"/>
      <c r="W87" s="56"/>
      <c r="X87" s="51" t="s">
        <v>4</v>
      </c>
      <c r="Y87" s="52"/>
      <c r="Z87" s="52"/>
      <c r="AA87" s="52"/>
      <c r="AB87" s="53"/>
      <c r="AC87" s="51" t="s">
        <v>3</v>
      </c>
      <c r="AD87" s="52"/>
      <c r="AE87" s="52"/>
      <c r="AF87" s="52"/>
      <c r="AG87" s="53"/>
      <c r="AH87" s="57" t="s">
        <v>116</v>
      </c>
      <c r="AI87" s="58"/>
      <c r="AJ87" s="58"/>
      <c r="AK87" s="58"/>
      <c r="AL87" s="59"/>
      <c r="AM87" s="36" t="s">
        <v>5</v>
      </c>
      <c r="AN87" s="37"/>
      <c r="AO87" s="37"/>
      <c r="AP87" s="37"/>
      <c r="AQ87" s="38"/>
      <c r="AR87" s="36" t="s">
        <v>4</v>
      </c>
      <c r="AS87" s="37"/>
      <c r="AT87" s="37"/>
      <c r="AU87" s="37"/>
      <c r="AV87" s="38"/>
      <c r="AW87" s="36" t="s">
        <v>3</v>
      </c>
      <c r="AX87" s="37"/>
      <c r="AY87" s="37"/>
      <c r="AZ87" s="37"/>
      <c r="BA87" s="38"/>
      <c r="BB87" s="57" t="s">
        <v>116</v>
      </c>
      <c r="BC87" s="58"/>
      <c r="BD87" s="58"/>
      <c r="BE87" s="58"/>
      <c r="BF87" s="59"/>
      <c r="BG87" s="36" t="s">
        <v>96</v>
      </c>
      <c r="BH87" s="37"/>
      <c r="BI87" s="37"/>
      <c r="BJ87" s="37"/>
      <c r="BK87" s="38"/>
    </row>
    <row r="88" spans="1:79" ht="12.75" customHeight="1" x14ac:dyDescent="0.2">
      <c r="A88" s="36">
        <v>1</v>
      </c>
      <c r="B88" s="37"/>
      <c r="C88" s="37"/>
      <c r="D88" s="38"/>
      <c r="E88" s="36">
        <v>2</v>
      </c>
      <c r="F88" s="37"/>
      <c r="G88" s="37"/>
      <c r="H88" s="37"/>
      <c r="I88" s="37"/>
      <c r="J88" s="37"/>
      <c r="K88" s="37"/>
      <c r="L88" s="37"/>
      <c r="M88" s="37"/>
      <c r="N88" s="37"/>
      <c r="O88" s="37"/>
      <c r="P88" s="37"/>
      <c r="Q88" s="37"/>
      <c r="R88" s="37"/>
      <c r="S88" s="37"/>
      <c r="T88" s="37"/>
      <c r="U88" s="37"/>
      <c r="V88" s="37"/>
      <c r="W88" s="38"/>
      <c r="X88" s="36">
        <v>3</v>
      </c>
      <c r="Y88" s="37"/>
      <c r="Z88" s="37"/>
      <c r="AA88" s="37"/>
      <c r="AB88" s="38"/>
      <c r="AC88" s="36">
        <v>4</v>
      </c>
      <c r="AD88" s="37"/>
      <c r="AE88" s="37"/>
      <c r="AF88" s="37"/>
      <c r="AG88" s="38"/>
      <c r="AH88" s="36">
        <v>5</v>
      </c>
      <c r="AI88" s="37"/>
      <c r="AJ88" s="37"/>
      <c r="AK88" s="37"/>
      <c r="AL88" s="38"/>
      <c r="AM88" s="36">
        <v>6</v>
      </c>
      <c r="AN88" s="37"/>
      <c r="AO88" s="37"/>
      <c r="AP88" s="37"/>
      <c r="AQ88" s="38"/>
      <c r="AR88" s="36">
        <v>7</v>
      </c>
      <c r="AS88" s="37"/>
      <c r="AT88" s="37"/>
      <c r="AU88" s="37"/>
      <c r="AV88" s="38"/>
      <c r="AW88" s="36">
        <v>8</v>
      </c>
      <c r="AX88" s="37"/>
      <c r="AY88" s="37"/>
      <c r="AZ88" s="37"/>
      <c r="BA88" s="38"/>
      <c r="BB88" s="36">
        <v>9</v>
      </c>
      <c r="BC88" s="37"/>
      <c r="BD88" s="37"/>
      <c r="BE88" s="37"/>
      <c r="BF88" s="38"/>
      <c r="BG88" s="36">
        <v>10</v>
      </c>
      <c r="BH88" s="37"/>
      <c r="BI88" s="37"/>
      <c r="BJ88" s="37"/>
      <c r="BK88" s="38"/>
    </row>
    <row r="89" spans="1:79" s="1" customFormat="1" ht="12.75" hidden="1" customHeight="1" x14ac:dyDescent="0.2">
      <c r="A89" s="39" t="s">
        <v>64</v>
      </c>
      <c r="B89" s="40"/>
      <c r="C89" s="40"/>
      <c r="D89" s="41"/>
      <c r="E89" s="39" t="s">
        <v>57</v>
      </c>
      <c r="F89" s="40"/>
      <c r="G89" s="40"/>
      <c r="H89" s="40"/>
      <c r="I89" s="40"/>
      <c r="J89" s="40"/>
      <c r="K89" s="40"/>
      <c r="L89" s="40"/>
      <c r="M89" s="40"/>
      <c r="N89" s="40"/>
      <c r="O89" s="40"/>
      <c r="P89" s="40"/>
      <c r="Q89" s="40"/>
      <c r="R89" s="40"/>
      <c r="S89" s="40"/>
      <c r="T89" s="40"/>
      <c r="U89" s="40"/>
      <c r="V89" s="40"/>
      <c r="W89" s="41"/>
      <c r="X89" s="68" t="s">
        <v>60</v>
      </c>
      <c r="Y89" s="69"/>
      <c r="Z89" s="69"/>
      <c r="AA89" s="69"/>
      <c r="AB89" s="70"/>
      <c r="AC89" s="68" t="s">
        <v>61</v>
      </c>
      <c r="AD89" s="69"/>
      <c r="AE89" s="69"/>
      <c r="AF89" s="69"/>
      <c r="AG89" s="70"/>
      <c r="AH89" s="39" t="s">
        <v>94</v>
      </c>
      <c r="AI89" s="40"/>
      <c r="AJ89" s="40"/>
      <c r="AK89" s="40"/>
      <c r="AL89" s="41"/>
      <c r="AM89" s="47" t="s">
        <v>170</v>
      </c>
      <c r="AN89" s="48"/>
      <c r="AO89" s="48"/>
      <c r="AP89" s="48"/>
      <c r="AQ89" s="49"/>
      <c r="AR89" s="39" t="s">
        <v>62</v>
      </c>
      <c r="AS89" s="40"/>
      <c r="AT89" s="40"/>
      <c r="AU89" s="40"/>
      <c r="AV89" s="41"/>
      <c r="AW89" s="39" t="s">
        <v>63</v>
      </c>
      <c r="AX89" s="40"/>
      <c r="AY89" s="40"/>
      <c r="AZ89" s="40"/>
      <c r="BA89" s="41"/>
      <c r="BB89" s="39" t="s">
        <v>95</v>
      </c>
      <c r="BC89" s="40"/>
      <c r="BD89" s="40"/>
      <c r="BE89" s="40"/>
      <c r="BF89" s="41"/>
      <c r="BG89" s="47" t="s">
        <v>170</v>
      </c>
      <c r="BH89" s="48"/>
      <c r="BI89" s="48"/>
      <c r="BJ89" s="48"/>
      <c r="BK89" s="49"/>
      <c r="CA89" t="s">
        <v>29</v>
      </c>
    </row>
    <row r="90" spans="1:79" s="99" customFormat="1" ht="12.75" customHeight="1" x14ac:dyDescent="0.2">
      <c r="A90" s="89">
        <v>2111</v>
      </c>
      <c r="B90" s="90"/>
      <c r="C90" s="90"/>
      <c r="D90" s="91"/>
      <c r="E90" s="92" t="s">
        <v>179</v>
      </c>
      <c r="F90" s="93"/>
      <c r="G90" s="93"/>
      <c r="H90" s="93"/>
      <c r="I90" s="93"/>
      <c r="J90" s="93"/>
      <c r="K90" s="93"/>
      <c r="L90" s="93"/>
      <c r="M90" s="93"/>
      <c r="N90" s="93"/>
      <c r="O90" s="93"/>
      <c r="P90" s="93"/>
      <c r="Q90" s="93"/>
      <c r="R90" s="93"/>
      <c r="S90" s="93"/>
      <c r="T90" s="93"/>
      <c r="U90" s="93"/>
      <c r="V90" s="93"/>
      <c r="W90" s="94"/>
      <c r="X90" s="96">
        <v>6508711</v>
      </c>
      <c r="Y90" s="97"/>
      <c r="Z90" s="97"/>
      <c r="AA90" s="97"/>
      <c r="AB90" s="98"/>
      <c r="AC90" s="96">
        <v>0</v>
      </c>
      <c r="AD90" s="97"/>
      <c r="AE90" s="97"/>
      <c r="AF90" s="97"/>
      <c r="AG90" s="98"/>
      <c r="AH90" s="96">
        <v>0</v>
      </c>
      <c r="AI90" s="97"/>
      <c r="AJ90" s="97"/>
      <c r="AK90" s="97"/>
      <c r="AL90" s="98"/>
      <c r="AM90" s="96">
        <f>IF(ISNUMBER(X90),X90,0)+IF(ISNUMBER(AC90),AC90,0)</f>
        <v>6508711</v>
      </c>
      <c r="AN90" s="97"/>
      <c r="AO90" s="97"/>
      <c r="AP90" s="97"/>
      <c r="AQ90" s="98"/>
      <c r="AR90" s="96">
        <v>6964321</v>
      </c>
      <c r="AS90" s="97"/>
      <c r="AT90" s="97"/>
      <c r="AU90" s="97"/>
      <c r="AV90" s="98"/>
      <c r="AW90" s="96">
        <v>0</v>
      </c>
      <c r="AX90" s="97"/>
      <c r="AY90" s="97"/>
      <c r="AZ90" s="97"/>
      <c r="BA90" s="98"/>
      <c r="BB90" s="96">
        <v>0</v>
      </c>
      <c r="BC90" s="97"/>
      <c r="BD90" s="97"/>
      <c r="BE90" s="97"/>
      <c r="BF90" s="98"/>
      <c r="BG90" s="95">
        <f>IF(ISNUMBER(AR90),AR90,0)+IF(ISNUMBER(AW90),AW90,0)</f>
        <v>6964321</v>
      </c>
      <c r="BH90" s="95"/>
      <c r="BI90" s="95"/>
      <c r="BJ90" s="95"/>
      <c r="BK90" s="95"/>
      <c r="CA90" s="99" t="s">
        <v>30</v>
      </c>
    </row>
    <row r="91" spans="1:79" s="99" customFormat="1" ht="12.75" customHeight="1" x14ac:dyDescent="0.2">
      <c r="A91" s="89">
        <v>2120</v>
      </c>
      <c r="B91" s="90"/>
      <c r="C91" s="90"/>
      <c r="D91" s="91"/>
      <c r="E91" s="92" t="s">
        <v>180</v>
      </c>
      <c r="F91" s="93"/>
      <c r="G91" s="93"/>
      <c r="H91" s="93"/>
      <c r="I91" s="93"/>
      <c r="J91" s="93"/>
      <c r="K91" s="93"/>
      <c r="L91" s="93"/>
      <c r="M91" s="93"/>
      <c r="N91" s="93"/>
      <c r="O91" s="93"/>
      <c r="P91" s="93"/>
      <c r="Q91" s="93"/>
      <c r="R91" s="93"/>
      <c r="S91" s="93"/>
      <c r="T91" s="93"/>
      <c r="U91" s="93"/>
      <c r="V91" s="93"/>
      <c r="W91" s="94"/>
      <c r="X91" s="96">
        <v>1431916</v>
      </c>
      <c r="Y91" s="97"/>
      <c r="Z91" s="97"/>
      <c r="AA91" s="97"/>
      <c r="AB91" s="98"/>
      <c r="AC91" s="96">
        <v>0</v>
      </c>
      <c r="AD91" s="97"/>
      <c r="AE91" s="97"/>
      <c r="AF91" s="97"/>
      <c r="AG91" s="98"/>
      <c r="AH91" s="96">
        <v>0</v>
      </c>
      <c r="AI91" s="97"/>
      <c r="AJ91" s="97"/>
      <c r="AK91" s="97"/>
      <c r="AL91" s="98"/>
      <c r="AM91" s="96">
        <f>IF(ISNUMBER(X91),X91,0)+IF(ISNUMBER(AC91),AC91,0)</f>
        <v>1431916</v>
      </c>
      <c r="AN91" s="97"/>
      <c r="AO91" s="97"/>
      <c r="AP91" s="97"/>
      <c r="AQ91" s="98"/>
      <c r="AR91" s="96">
        <v>1532150</v>
      </c>
      <c r="AS91" s="97"/>
      <c r="AT91" s="97"/>
      <c r="AU91" s="97"/>
      <c r="AV91" s="98"/>
      <c r="AW91" s="96">
        <v>0</v>
      </c>
      <c r="AX91" s="97"/>
      <c r="AY91" s="97"/>
      <c r="AZ91" s="97"/>
      <c r="BA91" s="98"/>
      <c r="BB91" s="96">
        <v>0</v>
      </c>
      <c r="BC91" s="97"/>
      <c r="BD91" s="97"/>
      <c r="BE91" s="97"/>
      <c r="BF91" s="98"/>
      <c r="BG91" s="95">
        <f>IF(ISNUMBER(AR91),AR91,0)+IF(ISNUMBER(AW91),AW91,0)</f>
        <v>1532150</v>
      </c>
      <c r="BH91" s="95"/>
      <c r="BI91" s="95"/>
      <c r="BJ91" s="95"/>
      <c r="BK91" s="95"/>
    </row>
    <row r="92" spans="1:79" s="99" customFormat="1" ht="12.75" customHeight="1" x14ac:dyDescent="0.2">
      <c r="A92" s="89">
        <v>2210</v>
      </c>
      <c r="B92" s="90"/>
      <c r="C92" s="90"/>
      <c r="D92" s="91"/>
      <c r="E92" s="92" t="s">
        <v>181</v>
      </c>
      <c r="F92" s="93"/>
      <c r="G92" s="93"/>
      <c r="H92" s="93"/>
      <c r="I92" s="93"/>
      <c r="J92" s="93"/>
      <c r="K92" s="93"/>
      <c r="L92" s="93"/>
      <c r="M92" s="93"/>
      <c r="N92" s="93"/>
      <c r="O92" s="93"/>
      <c r="P92" s="93"/>
      <c r="Q92" s="93"/>
      <c r="R92" s="93"/>
      <c r="S92" s="93"/>
      <c r="T92" s="93"/>
      <c r="U92" s="93"/>
      <c r="V92" s="93"/>
      <c r="W92" s="94"/>
      <c r="X92" s="96">
        <v>544324</v>
      </c>
      <c r="Y92" s="97"/>
      <c r="Z92" s="97"/>
      <c r="AA92" s="97"/>
      <c r="AB92" s="98"/>
      <c r="AC92" s="96">
        <v>0</v>
      </c>
      <c r="AD92" s="97"/>
      <c r="AE92" s="97"/>
      <c r="AF92" s="97"/>
      <c r="AG92" s="98"/>
      <c r="AH92" s="96">
        <v>0</v>
      </c>
      <c r="AI92" s="97"/>
      <c r="AJ92" s="97"/>
      <c r="AK92" s="97"/>
      <c r="AL92" s="98"/>
      <c r="AM92" s="96">
        <f>IF(ISNUMBER(X92),X92,0)+IF(ISNUMBER(AC92),AC92,0)</f>
        <v>544324</v>
      </c>
      <c r="AN92" s="97"/>
      <c r="AO92" s="97"/>
      <c r="AP92" s="97"/>
      <c r="AQ92" s="98"/>
      <c r="AR92" s="96">
        <v>575895</v>
      </c>
      <c r="AS92" s="97"/>
      <c r="AT92" s="97"/>
      <c r="AU92" s="97"/>
      <c r="AV92" s="98"/>
      <c r="AW92" s="96">
        <v>0</v>
      </c>
      <c r="AX92" s="97"/>
      <c r="AY92" s="97"/>
      <c r="AZ92" s="97"/>
      <c r="BA92" s="98"/>
      <c r="BB92" s="96">
        <v>0</v>
      </c>
      <c r="BC92" s="97"/>
      <c r="BD92" s="97"/>
      <c r="BE92" s="97"/>
      <c r="BF92" s="98"/>
      <c r="BG92" s="95">
        <f>IF(ISNUMBER(AR92),AR92,0)+IF(ISNUMBER(AW92),AW92,0)</f>
        <v>575895</v>
      </c>
      <c r="BH92" s="95"/>
      <c r="BI92" s="95"/>
      <c r="BJ92" s="95"/>
      <c r="BK92" s="95"/>
    </row>
    <row r="93" spans="1:79" s="99" customFormat="1" ht="12.75" customHeight="1" x14ac:dyDescent="0.2">
      <c r="A93" s="89">
        <v>2230</v>
      </c>
      <c r="B93" s="90"/>
      <c r="C93" s="90"/>
      <c r="D93" s="91"/>
      <c r="E93" s="92" t="s">
        <v>182</v>
      </c>
      <c r="F93" s="93"/>
      <c r="G93" s="93"/>
      <c r="H93" s="93"/>
      <c r="I93" s="93"/>
      <c r="J93" s="93"/>
      <c r="K93" s="93"/>
      <c r="L93" s="93"/>
      <c r="M93" s="93"/>
      <c r="N93" s="93"/>
      <c r="O93" s="93"/>
      <c r="P93" s="93"/>
      <c r="Q93" s="93"/>
      <c r="R93" s="93"/>
      <c r="S93" s="93"/>
      <c r="T93" s="93"/>
      <c r="U93" s="93"/>
      <c r="V93" s="93"/>
      <c r="W93" s="94"/>
      <c r="X93" s="96">
        <v>0</v>
      </c>
      <c r="Y93" s="97"/>
      <c r="Z93" s="97"/>
      <c r="AA93" s="97"/>
      <c r="AB93" s="98"/>
      <c r="AC93" s="96">
        <v>0</v>
      </c>
      <c r="AD93" s="97"/>
      <c r="AE93" s="97"/>
      <c r="AF93" s="97"/>
      <c r="AG93" s="98"/>
      <c r="AH93" s="96">
        <v>0</v>
      </c>
      <c r="AI93" s="97"/>
      <c r="AJ93" s="97"/>
      <c r="AK93" s="97"/>
      <c r="AL93" s="98"/>
      <c r="AM93" s="96">
        <f>IF(ISNUMBER(X93),X93,0)+IF(ISNUMBER(AC93),AC93,0)</f>
        <v>0</v>
      </c>
      <c r="AN93" s="97"/>
      <c r="AO93" s="97"/>
      <c r="AP93" s="97"/>
      <c r="AQ93" s="98"/>
      <c r="AR93" s="96">
        <v>0</v>
      </c>
      <c r="AS93" s="97"/>
      <c r="AT93" s="97"/>
      <c r="AU93" s="97"/>
      <c r="AV93" s="98"/>
      <c r="AW93" s="96">
        <v>0</v>
      </c>
      <c r="AX93" s="97"/>
      <c r="AY93" s="97"/>
      <c r="AZ93" s="97"/>
      <c r="BA93" s="98"/>
      <c r="BB93" s="96">
        <v>0</v>
      </c>
      <c r="BC93" s="97"/>
      <c r="BD93" s="97"/>
      <c r="BE93" s="97"/>
      <c r="BF93" s="98"/>
      <c r="BG93" s="95">
        <f>IF(ISNUMBER(AR93),AR93,0)+IF(ISNUMBER(AW93),AW93,0)</f>
        <v>0</v>
      </c>
      <c r="BH93" s="95"/>
      <c r="BI93" s="95"/>
      <c r="BJ93" s="95"/>
      <c r="BK93" s="95"/>
    </row>
    <row r="94" spans="1:79" s="99" customFormat="1" ht="12.75" customHeight="1" x14ac:dyDescent="0.2">
      <c r="A94" s="89">
        <v>2240</v>
      </c>
      <c r="B94" s="90"/>
      <c r="C94" s="90"/>
      <c r="D94" s="91"/>
      <c r="E94" s="92" t="s">
        <v>183</v>
      </c>
      <c r="F94" s="93"/>
      <c r="G94" s="93"/>
      <c r="H94" s="93"/>
      <c r="I94" s="93"/>
      <c r="J94" s="93"/>
      <c r="K94" s="93"/>
      <c r="L94" s="93"/>
      <c r="M94" s="93"/>
      <c r="N94" s="93"/>
      <c r="O94" s="93"/>
      <c r="P94" s="93"/>
      <c r="Q94" s="93"/>
      <c r="R94" s="93"/>
      <c r="S94" s="93"/>
      <c r="T94" s="93"/>
      <c r="U94" s="93"/>
      <c r="V94" s="93"/>
      <c r="W94" s="94"/>
      <c r="X94" s="96">
        <v>4422637</v>
      </c>
      <c r="Y94" s="97"/>
      <c r="Z94" s="97"/>
      <c r="AA94" s="97"/>
      <c r="AB94" s="98"/>
      <c r="AC94" s="96">
        <v>0</v>
      </c>
      <c r="AD94" s="97"/>
      <c r="AE94" s="97"/>
      <c r="AF94" s="97"/>
      <c r="AG94" s="98"/>
      <c r="AH94" s="96">
        <v>0</v>
      </c>
      <c r="AI94" s="97"/>
      <c r="AJ94" s="97"/>
      <c r="AK94" s="97"/>
      <c r="AL94" s="98"/>
      <c r="AM94" s="96">
        <f>IF(ISNUMBER(X94),X94,0)+IF(ISNUMBER(AC94),AC94,0)</f>
        <v>4422637</v>
      </c>
      <c r="AN94" s="97"/>
      <c r="AO94" s="97"/>
      <c r="AP94" s="97"/>
      <c r="AQ94" s="98"/>
      <c r="AR94" s="96">
        <v>4679150</v>
      </c>
      <c r="AS94" s="97"/>
      <c r="AT94" s="97"/>
      <c r="AU94" s="97"/>
      <c r="AV94" s="98"/>
      <c r="AW94" s="96">
        <v>0</v>
      </c>
      <c r="AX94" s="97"/>
      <c r="AY94" s="97"/>
      <c r="AZ94" s="97"/>
      <c r="BA94" s="98"/>
      <c r="BB94" s="96">
        <v>0</v>
      </c>
      <c r="BC94" s="97"/>
      <c r="BD94" s="97"/>
      <c r="BE94" s="97"/>
      <c r="BF94" s="98"/>
      <c r="BG94" s="95">
        <f>IF(ISNUMBER(AR94),AR94,0)+IF(ISNUMBER(AW94),AW94,0)</f>
        <v>4679150</v>
      </c>
      <c r="BH94" s="95"/>
      <c r="BI94" s="95"/>
      <c r="BJ94" s="95"/>
      <c r="BK94" s="95"/>
    </row>
    <row r="95" spans="1:79" s="99" customFormat="1" ht="12.75" customHeight="1" x14ac:dyDescent="0.2">
      <c r="A95" s="89">
        <v>2250</v>
      </c>
      <c r="B95" s="90"/>
      <c r="C95" s="90"/>
      <c r="D95" s="91"/>
      <c r="E95" s="92" t="s">
        <v>184</v>
      </c>
      <c r="F95" s="93"/>
      <c r="G95" s="93"/>
      <c r="H95" s="93"/>
      <c r="I95" s="93"/>
      <c r="J95" s="93"/>
      <c r="K95" s="93"/>
      <c r="L95" s="93"/>
      <c r="M95" s="93"/>
      <c r="N95" s="93"/>
      <c r="O95" s="93"/>
      <c r="P95" s="93"/>
      <c r="Q95" s="93"/>
      <c r="R95" s="93"/>
      <c r="S95" s="93"/>
      <c r="T95" s="93"/>
      <c r="U95" s="93"/>
      <c r="V95" s="93"/>
      <c r="W95" s="94"/>
      <c r="X95" s="96">
        <v>0</v>
      </c>
      <c r="Y95" s="97"/>
      <c r="Z95" s="97"/>
      <c r="AA95" s="97"/>
      <c r="AB95" s="98"/>
      <c r="AC95" s="96">
        <v>0</v>
      </c>
      <c r="AD95" s="97"/>
      <c r="AE95" s="97"/>
      <c r="AF95" s="97"/>
      <c r="AG95" s="98"/>
      <c r="AH95" s="96">
        <v>0</v>
      </c>
      <c r="AI95" s="97"/>
      <c r="AJ95" s="97"/>
      <c r="AK95" s="97"/>
      <c r="AL95" s="98"/>
      <c r="AM95" s="96">
        <f>IF(ISNUMBER(X95),X95,0)+IF(ISNUMBER(AC95),AC95,0)</f>
        <v>0</v>
      </c>
      <c r="AN95" s="97"/>
      <c r="AO95" s="97"/>
      <c r="AP95" s="97"/>
      <c r="AQ95" s="98"/>
      <c r="AR95" s="96">
        <v>0</v>
      </c>
      <c r="AS95" s="97"/>
      <c r="AT95" s="97"/>
      <c r="AU95" s="97"/>
      <c r="AV95" s="98"/>
      <c r="AW95" s="96">
        <v>0</v>
      </c>
      <c r="AX95" s="97"/>
      <c r="AY95" s="97"/>
      <c r="AZ95" s="97"/>
      <c r="BA95" s="98"/>
      <c r="BB95" s="96">
        <v>0</v>
      </c>
      <c r="BC95" s="97"/>
      <c r="BD95" s="97"/>
      <c r="BE95" s="97"/>
      <c r="BF95" s="98"/>
      <c r="BG95" s="95">
        <f>IF(ISNUMBER(AR95),AR95,0)+IF(ISNUMBER(AW95),AW95,0)</f>
        <v>0</v>
      </c>
      <c r="BH95" s="95"/>
      <c r="BI95" s="95"/>
      <c r="BJ95" s="95"/>
      <c r="BK95" s="95"/>
    </row>
    <row r="96" spans="1:79" s="99" customFormat="1" ht="12.75" customHeight="1" x14ac:dyDescent="0.2">
      <c r="A96" s="89">
        <v>2272</v>
      </c>
      <c r="B96" s="90"/>
      <c r="C96" s="90"/>
      <c r="D96" s="91"/>
      <c r="E96" s="92" t="s">
        <v>185</v>
      </c>
      <c r="F96" s="93"/>
      <c r="G96" s="93"/>
      <c r="H96" s="93"/>
      <c r="I96" s="93"/>
      <c r="J96" s="93"/>
      <c r="K96" s="93"/>
      <c r="L96" s="93"/>
      <c r="M96" s="93"/>
      <c r="N96" s="93"/>
      <c r="O96" s="93"/>
      <c r="P96" s="93"/>
      <c r="Q96" s="93"/>
      <c r="R96" s="93"/>
      <c r="S96" s="93"/>
      <c r="T96" s="93"/>
      <c r="U96" s="93"/>
      <c r="V96" s="93"/>
      <c r="W96" s="94"/>
      <c r="X96" s="96">
        <v>100712</v>
      </c>
      <c r="Y96" s="97"/>
      <c r="Z96" s="97"/>
      <c r="AA96" s="97"/>
      <c r="AB96" s="98"/>
      <c r="AC96" s="96">
        <v>0</v>
      </c>
      <c r="AD96" s="97"/>
      <c r="AE96" s="97"/>
      <c r="AF96" s="97"/>
      <c r="AG96" s="98"/>
      <c r="AH96" s="96">
        <v>0</v>
      </c>
      <c r="AI96" s="97"/>
      <c r="AJ96" s="97"/>
      <c r="AK96" s="97"/>
      <c r="AL96" s="98"/>
      <c r="AM96" s="96">
        <f>IF(ISNUMBER(X96),X96,0)+IF(ISNUMBER(AC96),AC96,0)</f>
        <v>100712</v>
      </c>
      <c r="AN96" s="97"/>
      <c r="AO96" s="97"/>
      <c r="AP96" s="97"/>
      <c r="AQ96" s="98"/>
      <c r="AR96" s="96">
        <v>107863</v>
      </c>
      <c r="AS96" s="97"/>
      <c r="AT96" s="97"/>
      <c r="AU96" s="97"/>
      <c r="AV96" s="98"/>
      <c r="AW96" s="96">
        <v>0</v>
      </c>
      <c r="AX96" s="97"/>
      <c r="AY96" s="97"/>
      <c r="AZ96" s="97"/>
      <c r="BA96" s="98"/>
      <c r="BB96" s="96">
        <v>0</v>
      </c>
      <c r="BC96" s="97"/>
      <c r="BD96" s="97"/>
      <c r="BE96" s="97"/>
      <c r="BF96" s="98"/>
      <c r="BG96" s="95">
        <f>IF(ISNUMBER(AR96),AR96,0)+IF(ISNUMBER(AW96),AW96,0)</f>
        <v>107863</v>
      </c>
      <c r="BH96" s="95"/>
      <c r="BI96" s="95"/>
      <c r="BJ96" s="95"/>
      <c r="BK96" s="95"/>
    </row>
    <row r="97" spans="1:79" s="99" customFormat="1" ht="12.75" customHeight="1" x14ac:dyDescent="0.2">
      <c r="A97" s="89">
        <v>2273</v>
      </c>
      <c r="B97" s="90"/>
      <c r="C97" s="90"/>
      <c r="D97" s="91"/>
      <c r="E97" s="92" t="s">
        <v>186</v>
      </c>
      <c r="F97" s="93"/>
      <c r="G97" s="93"/>
      <c r="H97" s="93"/>
      <c r="I97" s="93"/>
      <c r="J97" s="93"/>
      <c r="K97" s="93"/>
      <c r="L97" s="93"/>
      <c r="M97" s="93"/>
      <c r="N97" s="93"/>
      <c r="O97" s="93"/>
      <c r="P97" s="93"/>
      <c r="Q97" s="93"/>
      <c r="R97" s="93"/>
      <c r="S97" s="93"/>
      <c r="T97" s="93"/>
      <c r="U97" s="93"/>
      <c r="V97" s="93"/>
      <c r="W97" s="94"/>
      <c r="X97" s="96">
        <v>5276960</v>
      </c>
      <c r="Y97" s="97"/>
      <c r="Z97" s="97"/>
      <c r="AA97" s="97"/>
      <c r="AB97" s="98"/>
      <c r="AC97" s="96">
        <v>0</v>
      </c>
      <c r="AD97" s="97"/>
      <c r="AE97" s="97"/>
      <c r="AF97" s="97"/>
      <c r="AG97" s="98"/>
      <c r="AH97" s="96">
        <v>0</v>
      </c>
      <c r="AI97" s="97"/>
      <c r="AJ97" s="97"/>
      <c r="AK97" s="97"/>
      <c r="AL97" s="98"/>
      <c r="AM97" s="96">
        <f>IF(ISNUMBER(X97),X97,0)+IF(ISNUMBER(AC97),AC97,0)</f>
        <v>5276960</v>
      </c>
      <c r="AN97" s="97"/>
      <c r="AO97" s="97"/>
      <c r="AP97" s="97"/>
      <c r="AQ97" s="98"/>
      <c r="AR97" s="96">
        <v>5651624</v>
      </c>
      <c r="AS97" s="97"/>
      <c r="AT97" s="97"/>
      <c r="AU97" s="97"/>
      <c r="AV97" s="98"/>
      <c r="AW97" s="96">
        <v>0</v>
      </c>
      <c r="AX97" s="97"/>
      <c r="AY97" s="97"/>
      <c r="AZ97" s="97"/>
      <c r="BA97" s="98"/>
      <c r="BB97" s="96">
        <v>0</v>
      </c>
      <c r="BC97" s="97"/>
      <c r="BD97" s="97"/>
      <c r="BE97" s="97"/>
      <c r="BF97" s="98"/>
      <c r="BG97" s="95">
        <f>IF(ISNUMBER(AR97),AR97,0)+IF(ISNUMBER(AW97),AW97,0)</f>
        <v>5651624</v>
      </c>
      <c r="BH97" s="95"/>
      <c r="BI97" s="95"/>
      <c r="BJ97" s="95"/>
      <c r="BK97" s="95"/>
    </row>
    <row r="98" spans="1:79" s="99" customFormat="1" ht="12.75" customHeight="1" x14ac:dyDescent="0.2">
      <c r="A98" s="89">
        <v>2274</v>
      </c>
      <c r="B98" s="90"/>
      <c r="C98" s="90"/>
      <c r="D98" s="91"/>
      <c r="E98" s="92" t="s">
        <v>187</v>
      </c>
      <c r="F98" s="93"/>
      <c r="G98" s="93"/>
      <c r="H98" s="93"/>
      <c r="I98" s="93"/>
      <c r="J98" s="93"/>
      <c r="K98" s="93"/>
      <c r="L98" s="93"/>
      <c r="M98" s="93"/>
      <c r="N98" s="93"/>
      <c r="O98" s="93"/>
      <c r="P98" s="93"/>
      <c r="Q98" s="93"/>
      <c r="R98" s="93"/>
      <c r="S98" s="93"/>
      <c r="T98" s="93"/>
      <c r="U98" s="93"/>
      <c r="V98" s="93"/>
      <c r="W98" s="94"/>
      <c r="X98" s="96">
        <v>2634790</v>
      </c>
      <c r="Y98" s="97"/>
      <c r="Z98" s="97"/>
      <c r="AA98" s="97"/>
      <c r="AB98" s="98"/>
      <c r="AC98" s="96">
        <v>0</v>
      </c>
      <c r="AD98" s="97"/>
      <c r="AE98" s="97"/>
      <c r="AF98" s="97"/>
      <c r="AG98" s="98"/>
      <c r="AH98" s="96">
        <v>0</v>
      </c>
      <c r="AI98" s="97"/>
      <c r="AJ98" s="97"/>
      <c r="AK98" s="97"/>
      <c r="AL98" s="98"/>
      <c r="AM98" s="96">
        <f>IF(ISNUMBER(X98),X98,0)+IF(ISNUMBER(AC98),AC98,0)</f>
        <v>2634790</v>
      </c>
      <c r="AN98" s="97"/>
      <c r="AO98" s="97"/>
      <c r="AP98" s="97"/>
      <c r="AQ98" s="98"/>
      <c r="AR98" s="96">
        <v>2821860</v>
      </c>
      <c r="AS98" s="97"/>
      <c r="AT98" s="97"/>
      <c r="AU98" s="97"/>
      <c r="AV98" s="98"/>
      <c r="AW98" s="96">
        <v>0</v>
      </c>
      <c r="AX98" s="97"/>
      <c r="AY98" s="97"/>
      <c r="AZ98" s="97"/>
      <c r="BA98" s="98"/>
      <c r="BB98" s="96">
        <v>0</v>
      </c>
      <c r="BC98" s="97"/>
      <c r="BD98" s="97"/>
      <c r="BE98" s="97"/>
      <c r="BF98" s="98"/>
      <c r="BG98" s="95">
        <f>IF(ISNUMBER(AR98),AR98,0)+IF(ISNUMBER(AW98),AW98,0)</f>
        <v>2821860</v>
      </c>
      <c r="BH98" s="95"/>
      <c r="BI98" s="95"/>
      <c r="BJ98" s="95"/>
      <c r="BK98" s="95"/>
    </row>
    <row r="99" spans="1:79" s="99" customFormat="1" ht="12.75" customHeight="1" x14ac:dyDescent="0.2">
      <c r="A99" s="89">
        <v>2275</v>
      </c>
      <c r="B99" s="90"/>
      <c r="C99" s="90"/>
      <c r="D99" s="91"/>
      <c r="E99" s="92" t="s">
        <v>188</v>
      </c>
      <c r="F99" s="93"/>
      <c r="G99" s="93"/>
      <c r="H99" s="93"/>
      <c r="I99" s="93"/>
      <c r="J99" s="93"/>
      <c r="K99" s="93"/>
      <c r="L99" s="93"/>
      <c r="M99" s="93"/>
      <c r="N99" s="93"/>
      <c r="O99" s="93"/>
      <c r="P99" s="93"/>
      <c r="Q99" s="93"/>
      <c r="R99" s="93"/>
      <c r="S99" s="93"/>
      <c r="T99" s="93"/>
      <c r="U99" s="93"/>
      <c r="V99" s="93"/>
      <c r="W99" s="94"/>
      <c r="X99" s="96">
        <v>2365236</v>
      </c>
      <c r="Y99" s="97"/>
      <c r="Z99" s="97"/>
      <c r="AA99" s="97"/>
      <c r="AB99" s="98"/>
      <c r="AC99" s="96">
        <v>0</v>
      </c>
      <c r="AD99" s="97"/>
      <c r="AE99" s="97"/>
      <c r="AF99" s="97"/>
      <c r="AG99" s="98"/>
      <c r="AH99" s="96">
        <v>0</v>
      </c>
      <c r="AI99" s="97"/>
      <c r="AJ99" s="97"/>
      <c r="AK99" s="97"/>
      <c r="AL99" s="98"/>
      <c r="AM99" s="96">
        <f>IF(ISNUMBER(X99),X99,0)+IF(ISNUMBER(AC99),AC99,0)</f>
        <v>2365236</v>
      </c>
      <c r="AN99" s="97"/>
      <c r="AO99" s="97"/>
      <c r="AP99" s="97"/>
      <c r="AQ99" s="98"/>
      <c r="AR99" s="96">
        <v>2533168</v>
      </c>
      <c r="AS99" s="97"/>
      <c r="AT99" s="97"/>
      <c r="AU99" s="97"/>
      <c r="AV99" s="98"/>
      <c r="AW99" s="96">
        <v>0</v>
      </c>
      <c r="AX99" s="97"/>
      <c r="AY99" s="97"/>
      <c r="AZ99" s="97"/>
      <c r="BA99" s="98"/>
      <c r="BB99" s="96">
        <v>0</v>
      </c>
      <c r="BC99" s="97"/>
      <c r="BD99" s="97"/>
      <c r="BE99" s="97"/>
      <c r="BF99" s="98"/>
      <c r="BG99" s="95">
        <f>IF(ISNUMBER(AR99),AR99,0)+IF(ISNUMBER(AW99),AW99,0)</f>
        <v>2533168</v>
      </c>
      <c r="BH99" s="95"/>
      <c r="BI99" s="95"/>
      <c r="BJ99" s="95"/>
      <c r="BK99" s="95"/>
    </row>
    <row r="100" spans="1:79" s="99" customFormat="1" ht="25.5" customHeight="1" x14ac:dyDescent="0.2">
      <c r="A100" s="89">
        <v>2282</v>
      </c>
      <c r="B100" s="90"/>
      <c r="C100" s="90"/>
      <c r="D100" s="91"/>
      <c r="E100" s="92" t="s">
        <v>189</v>
      </c>
      <c r="F100" s="93"/>
      <c r="G100" s="93"/>
      <c r="H100" s="93"/>
      <c r="I100" s="93"/>
      <c r="J100" s="93"/>
      <c r="K100" s="93"/>
      <c r="L100" s="93"/>
      <c r="M100" s="93"/>
      <c r="N100" s="93"/>
      <c r="O100" s="93"/>
      <c r="P100" s="93"/>
      <c r="Q100" s="93"/>
      <c r="R100" s="93"/>
      <c r="S100" s="93"/>
      <c r="T100" s="93"/>
      <c r="U100" s="93"/>
      <c r="V100" s="93"/>
      <c r="W100" s="94"/>
      <c r="X100" s="96">
        <v>29960</v>
      </c>
      <c r="Y100" s="97"/>
      <c r="Z100" s="97"/>
      <c r="AA100" s="97"/>
      <c r="AB100" s="98"/>
      <c r="AC100" s="96">
        <v>0</v>
      </c>
      <c r="AD100" s="97"/>
      <c r="AE100" s="97"/>
      <c r="AF100" s="97"/>
      <c r="AG100" s="98"/>
      <c r="AH100" s="96">
        <v>0</v>
      </c>
      <c r="AI100" s="97"/>
      <c r="AJ100" s="97"/>
      <c r="AK100" s="97"/>
      <c r="AL100" s="98"/>
      <c r="AM100" s="96">
        <f>IF(ISNUMBER(X100),X100,0)+IF(ISNUMBER(AC100),AC100,0)</f>
        <v>29960</v>
      </c>
      <c r="AN100" s="97"/>
      <c r="AO100" s="97"/>
      <c r="AP100" s="97"/>
      <c r="AQ100" s="98"/>
      <c r="AR100" s="96">
        <v>31698</v>
      </c>
      <c r="AS100" s="97"/>
      <c r="AT100" s="97"/>
      <c r="AU100" s="97"/>
      <c r="AV100" s="98"/>
      <c r="AW100" s="96">
        <v>0</v>
      </c>
      <c r="AX100" s="97"/>
      <c r="AY100" s="97"/>
      <c r="AZ100" s="97"/>
      <c r="BA100" s="98"/>
      <c r="BB100" s="96">
        <v>0</v>
      </c>
      <c r="BC100" s="97"/>
      <c r="BD100" s="97"/>
      <c r="BE100" s="97"/>
      <c r="BF100" s="98"/>
      <c r="BG100" s="95">
        <f>IF(ISNUMBER(AR100),AR100,0)+IF(ISNUMBER(AW100),AW100,0)</f>
        <v>31698</v>
      </c>
      <c r="BH100" s="95"/>
      <c r="BI100" s="95"/>
      <c r="BJ100" s="95"/>
      <c r="BK100" s="95"/>
    </row>
    <row r="101" spans="1:79" s="99" customFormat="1" ht="12.75" customHeight="1" x14ac:dyDescent="0.2">
      <c r="A101" s="89">
        <v>2800</v>
      </c>
      <c r="B101" s="90"/>
      <c r="C101" s="90"/>
      <c r="D101" s="91"/>
      <c r="E101" s="92" t="s">
        <v>190</v>
      </c>
      <c r="F101" s="93"/>
      <c r="G101" s="93"/>
      <c r="H101" s="93"/>
      <c r="I101" s="93"/>
      <c r="J101" s="93"/>
      <c r="K101" s="93"/>
      <c r="L101" s="93"/>
      <c r="M101" s="93"/>
      <c r="N101" s="93"/>
      <c r="O101" s="93"/>
      <c r="P101" s="93"/>
      <c r="Q101" s="93"/>
      <c r="R101" s="93"/>
      <c r="S101" s="93"/>
      <c r="T101" s="93"/>
      <c r="U101" s="93"/>
      <c r="V101" s="93"/>
      <c r="W101" s="94"/>
      <c r="X101" s="96">
        <v>3210</v>
      </c>
      <c r="Y101" s="97"/>
      <c r="Z101" s="97"/>
      <c r="AA101" s="97"/>
      <c r="AB101" s="98"/>
      <c r="AC101" s="96">
        <v>0</v>
      </c>
      <c r="AD101" s="97"/>
      <c r="AE101" s="97"/>
      <c r="AF101" s="97"/>
      <c r="AG101" s="98"/>
      <c r="AH101" s="96">
        <v>0</v>
      </c>
      <c r="AI101" s="97"/>
      <c r="AJ101" s="97"/>
      <c r="AK101" s="97"/>
      <c r="AL101" s="98"/>
      <c r="AM101" s="96">
        <f>IF(ISNUMBER(X101),X101,0)+IF(ISNUMBER(AC101),AC101,0)</f>
        <v>3210</v>
      </c>
      <c r="AN101" s="97"/>
      <c r="AO101" s="97"/>
      <c r="AP101" s="97"/>
      <c r="AQ101" s="98"/>
      <c r="AR101" s="96">
        <v>3396</v>
      </c>
      <c r="AS101" s="97"/>
      <c r="AT101" s="97"/>
      <c r="AU101" s="97"/>
      <c r="AV101" s="98"/>
      <c r="AW101" s="96">
        <v>0</v>
      </c>
      <c r="AX101" s="97"/>
      <c r="AY101" s="97"/>
      <c r="AZ101" s="97"/>
      <c r="BA101" s="98"/>
      <c r="BB101" s="96">
        <v>0</v>
      </c>
      <c r="BC101" s="97"/>
      <c r="BD101" s="97"/>
      <c r="BE101" s="97"/>
      <c r="BF101" s="98"/>
      <c r="BG101" s="95">
        <f>IF(ISNUMBER(AR101),AR101,0)+IF(ISNUMBER(AW101),AW101,0)</f>
        <v>3396</v>
      </c>
      <c r="BH101" s="95"/>
      <c r="BI101" s="95"/>
      <c r="BJ101" s="95"/>
      <c r="BK101" s="95"/>
    </row>
    <row r="102" spans="1:79" s="99" customFormat="1" ht="25.5" customHeight="1" x14ac:dyDescent="0.2">
      <c r="A102" s="89">
        <v>3110</v>
      </c>
      <c r="B102" s="90"/>
      <c r="C102" s="90"/>
      <c r="D102" s="91"/>
      <c r="E102" s="92" t="s">
        <v>191</v>
      </c>
      <c r="F102" s="93"/>
      <c r="G102" s="93"/>
      <c r="H102" s="93"/>
      <c r="I102" s="93"/>
      <c r="J102" s="93"/>
      <c r="K102" s="93"/>
      <c r="L102" s="93"/>
      <c r="M102" s="93"/>
      <c r="N102" s="93"/>
      <c r="O102" s="93"/>
      <c r="P102" s="93"/>
      <c r="Q102" s="93"/>
      <c r="R102" s="93"/>
      <c r="S102" s="93"/>
      <c r="T102" s="93"/>
      <c r="U102" s="93"/>
      <c r="V102" s="93"/>
      <c r="W102" s="94"/>
      <c r="X102" s="96">
        <v>0</v>
      </c>
      <c r="Y102" s="97"/>
      <c r="Z102" s="97"/>
      <c r="AA102" s="97"/>
      <c r="AB102" s="98"/>
      <c r="AC102" s="96">
        <v>0</v>
      </c>
      <c r="AD102" s="97"/>
      <c r="AE102" s="97"/>
      <c r="AF102" s="97"/>
      <c r="AG102" s="98"/>
      <c r="AH102" s="96">
        <v>0</v>
      </c>
      <c r="AI102" s="97"/>
      <c r="AJ102" s="97"/>
      <c r="AK102" s="97"/>
      <c r="AL102" s="98"/>
      <c r="AM102" s="96">
        <f>IF(ISNUMBER(X102),X102,0)+IF(ISNUMBER(AC102),AC102,0)</f>
        <v>0</v>
      </c>
      <c r="AN102" s="97"/>
      <c r="AO102" s="97"/>
      <c r="AP102" s="97"/>
      <c r="AQ102" s="98"/>
      <c r="AR102" s="96">
        <v>0</v>
      </c>
      <c r="AS102" s="97"/>
      <c r="AT102" s="97"/>
      <c r="AU102" s="97"/>
      <c r="AV102" s="98"/>
      <c r="AW102" s="96">
        <v>0</v>
      </c>
      <c r="AX102" s="97"/>
      <c r="AY102" s="97"/>
      <c r="AZ102" s="97"/>
      <c r="BA102" s="98"/>
      <c r="BB102" s="96">
        <v>0</v>
      </c>
      <c r="BC102" s="97"/>
      <c r="BD102" s="97"/>
      <c r="BE102" s="97"/>
      <c r="BF102" s="98"/>
      <c r="BG102" s="95">
        <f>IF(ISNUMBER(AR102),AR102,0)+IF(ISNUMBER(AW102),AW102,0)</f>
        <v>0</v>
      </c>
      <c r="BH102" s="95"/>
      <c r="BI102" s="95"/>
      <c r="BJ102" s="95"/>
      <c r="BK102" s="95"/>
    </row>
    <row r="103" spans="1:79" s="99" customFormat="1" ht="12.75" customHeight="1" x14ac:dyDescent="0.2">
      <c r="A103" s="89">
        <v>3132</v>
      </c>
      <c r="B103" s="90"/>
      <c r="C103" s="90"/>
      <c r="D103" s="91"/>
      <c r="E103" s="92" t="s">
        <v>192</v>
      </c>
      <c r="F103" s="93"/>
      <c r="G103" s="93"/>
      <c r="H103" s="93"/>
      <c r="I103" s="93"/>
      <c r="J103" s="93"/>
      <c r="K103" s="93"/>
      <c r="L103" s="93"/>
      <c r="M103" s="93"/>
      <c r="N103" s="93"/>
      <c r="O103" s="93"/>
      <c r="P103" s="93"/>
      <c r="Q103" s="93"/>
      <c r="R103" s="93"/>
      <c r="S103" s="93"/>
      <c r="T103" s="93"/>
      <c r="U103" s="93"/>
      <c r="V103" s="93"/>
      <c r="W103" s="94"/>
      <c r="X103" s="96">
        <v>0</v>
      </c>
      <c r="Y103" s="97"/>
      <c r="Z103" s="97"/>
      <c r="AA103" s="97"/>
      <c r="AB103" s="98"/>
      <c r="AC103" s="96">
        <v>0</v>
      </c>
      <c r="AD103" s="97"/>
      <c r="AE103" s="97"/>
      <c r="AF103" s="97"/>
      <c r="AG103" s="98"/>
      <c r="AH103" s="96">
        <v>0</v>
      </c>
      <c r="AI103" s="97"/>
      <c r="AJ103" s="97"/>
      <c r="AK103" s="97"/>
      <c r="AL103" s="98"/>
      <c r="AM103" s="96">
        <f>IF(ISNUMBER(X103),X103,0)+IF(ISNUMBER(AC103),AC103,0)</f>
        <v>0</v>
      </c>
      <c r="AN103" s="97"/>
      <c r="AO103" s="97"/>
      <c r="AP103" s="97"/>
      <c r="AQ103" s="98"/>
      <c r="AR103" s="96">
        <v>0</v>
      </c>
      <c r="AS103" s="97"/>
      <c r="AT103" s="97"/>
      <c r="AU103" s="97"/>
      <c r="AV103" s="98"/>
      <c r="AW103" s="96">
        <v>0</v>
      </c>
      <c r="AX103" s="97"/>
      <c r="AY103" s="97"/>
      <c r="AZ103" s="97"/>
      <c r="BA103" s="98"/>
      <c r="BB103" s="96">
        <v>0</v>
      </c>
      <c r="BC103" s="97"/>
      <c r="BD103" s="97"/>
      <c r="BE103" s="97"/>
      <c r="BF103" s="98"/>
      <c r="BG103" s="95">
        <f>IF(ISNUMBER(AR103),AR103,0)+IF(ISNUMBER(AW103),AW103,0)</f>
        <v>0</v>
      </c>
      <c r="BH103" s="95"/>
      <c r="BI103" s="95"/>
      <c r="BJ103" s="95"/>
      <c r="BK103" s="95"/>
    </row>
    <row r="104" spans="1:79" s="6" customFormat="1" ht="12.75" customHeight="1" x14ac:dyDescent="0.2">
      <c r="A104" s="86"/>
      <c r="B104" s="87"/>
      <c r="C104" s="87"/>
      <c r="D104" s="88"/>
      <c r="E104" s="100" t="s">
        <v>147</v>
      </c>
      <c r="F104" s="101"/>
      <c r="G104" s="101"/>
      <c r="H104" s="101"/>
      <c r="I104" s="101"/>
      <c r="J104" s="101"/>
      <c r="K104" s="101"/>
      <c r="L104" s="101"/>
      <c r="M104" s="101"/>
      <c r="N104" s="101"/>
      <c r="O104" s="101"/>
      <c r="P104" s="101"/>
      <c r="Q104" s="101"/>
      <c r="R104" s="101"/>
      <c r="S104" s="101"/>
      <c r="T104" s="101"/>
      <c r="U104" s="101"/>
      <c r="V104" s="101"/>
      <c r="W104" s="102"/>
      <c r="X104" s="104">
        <v>23318456</v>
      </c>
      <c r="Y104" s="105"/>
      <c r="Z104" s="105"/>
      <c r="AA104" s="105"/>
      <c r="AB104" s="106"/>
      <c r="AC104" s="104">
        <v>0</v>
      </c>
      <c r="AD104" s="105"/>
      <c r="AE104" s="105"/>
      <c r="AF104" s="105"/>
      <c r="AG104" s="106"/>
      <c r="AH104" s="104">
        <v>0</v>
      </c>
      <c r="AI104" s="105"/>
      <c r="AJ104" s="105"/>
      <c r="AK104" s="105"/>
      <c r="AL104" s="106"/>
      <c r="AM104" s="104">
        <f>IF(ISNUMBER(X104),X104,0)+IF(ISNUMBER(AC104),AC104,0)</f>
        <v>23318456</v>
      </c>
      <c r="AN104" s="105"/>
      <c r="AO104" s="105"/>
      <c r="AP104" s="105"/>
      <c r="AQ104" s="106"/>
      <c r="AR104" s="104">
        <v>24901125</v>
      </c>
      <c r="AS104" s="105"/>
      <c r="AT104" s="105"/>
      <c r="AU104" s="105"/>
      <c r="AV104" s="106"/>
      <c r="AW104" s="104">
        <v>0</v>
      </c>
      <c r="AX104" s="105"/>
      <c r="AY104" s="105"/>
      <c r="AZ104" s="105"/>
      <c r="BA104" s="106"/>
      <c r="BB104" s="104">
        <v>0</v>
      </c>
      <c r="BC104" s="105"/>
      <c r="BD104" s="105"/>
      <c r="BE104" s="105"/>
      <c r="BF104" s="106"/>
      <c r="BG104" s="103">
        <f>IF(ISNUMBER(AR104),AR104,0)+IF(ISNUMBER(AW104),AW104,0)</f>
        <v>24901125</v>
      </c>
      <c r="BH104" s="103"/>
      <c r="BI104" s="103"/>
      <c r="BJ104" s="103"/>
      <c r="BK104" s="103"/>
    </row>
    <row r="106" spans="1:79" ht="14.25" customHeight="1" x14ac:dyDescent="0.2">
      <c r="A106" s="29" t="s">
        <v>347</v>
      </c>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c r="AA106" s="29"/>
      <c r="AB106" s="29"/>
      <c r="AC106" s="29"/>
      <c r="AD106" s="29"/>
      <c r="AE106" s="29"/>
      <c r="AF106" s="29"/>
      <c r="AG106" s="29"/>
      <c r="AH106" s="29"/>
      <c r="AI106" s="29"/>
      <c r="AJ106" s="29"/>
      <c r="AK106" s="29"/>
      <c r="AL106" s="29"/>
      <c r="AM106" s="29"/>
      <c r="AN106" s="29"/>
      <c r="AO106" s="29"/>
      <c r="AP106" s="29"/>
      <c r="AQ106" s="29"/>
      <c r="AR106" s="29"/>
      <c r="AS106" s="29"/>
      <c r="AT106" s="29"/>
      <c r="AU106" s="29"/>
      <c r="AV106" s="29"/>
      <c r="AW106" s="29"/>
      <c r="AX106" s="29"/>
      <c r="AY106" s="29"/>
      <c r="AZ106" s="29"/>
      <c r="BA106" s="29"/>
      <c r="BB106" s="29"/>
      <c r="BC106" s="29"/>
      <c r="BD106" s="29"/>
      <c r="BE106" s="29"/>
      <c r="BF106" s="29"/>
      <c r="BG106" s="29"/>
      <c r="BH106" s="29"/>
      <c r="BI106" s="29"/>
      <c r="BJ106" s="29"/>
      <c r="BK106" s="29"/>
      <c r="BL106" s="29"/>
    </row>
    <row r="107" spans="1:79" ht="15" customHeight="1" x14ac:dyDescent="0.2">
      <c r="A107" s="44" t="s">
        <v>318</v>
      </c>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c r="AA107" s="44"/>
      <c r="AB107" s="44"/>
      <c r="AC107" s="44"/>
      <c r="AD107" s="44"/>
      <c r="AE107" s="44"/>
      <c r="AF107" s="44"/>
      <c r="AG107" s="44"/>
      <c r="AH107" s="44"/>
      <c r="AI107" s="44"/>
      <c r="AJ107" s="44"/>
      <c r="AK107" s="44"/>
      <c r="AL107" s="44"/>
      <c r="AM107" s="44"/>
      <c r="AN107" s="44"/>
      <c r="AO107" s="44"/>
      <c r="AP107" s="44"/>
      <c r="AQ107" s="44"/>
      <c r="AR107" s="44"/>
      <c r="AS107" s="44"/>
      <c r="AT107" s="44"/>
      <c r="AU107" s="44"/>
      <c r="AV107" s="44"/>
      <c r="AW107" s="44"/>
      <c r="AX107" s="44"/>
      <c r="AY107" s="44"/>
      <c r="AZ107" s="44"/>
      <c r="BA107" s="44"/>
      <c r="BB107" s="44"/>
      <c r="BC107" s="44"/>
      <c r="BD107" s="44"/>
      <c r="BE107" s="44"/>
      <c r="BF107" s="44"/>
      <c r="BG107" s="44"/>
      <c r="BH107" s="44"/>
      <c r="BI107" s="44"/>
      <c r="BJ107" s="44"/>
      <c r="BK107" s="44"/>
    </row>
    <row r="108" spans="1:79" ht="23.1" customHeight="1" x14ac:dyDescent="0.2">
      <c r="A108" s="61" t="s">
        <v>119</v>
      </c>
      <c r="B108" s="62"/>
      <c r="C108" s="62"/>
      <c r="D108" s="62"/>
      <c r="E108" s="63"/>
      <c r="F108" s="51" t="s">
        <v>19</v>
      </c>
      <c r="G108" s="52"/>
      <c r="H108" s="52"/>
      <c r="I108" s="52"/>
      <c r="J108" s="52"/>
      <c r="K108" s="52"/>
      <c r="L108" s="52"/>
      <c r="M108" s="52"/>
      <c r="N108" s="52"/>
      <c r="O108" s="52"/>
      <c r="P108" s="52"/>
      <c r="Q108" s="52"/>
      <c r="R108" s="52"/>
      <c r="S108" s="52"/>
      <c r="T108" s="52"/>
      <c r="U108" s="52"/>
      <c r="V108" s="52"/>
      <c r="W108" s="53"/>
      <c r="X108" s="27" t="s">
        <v>340</v>
      </c>
      <c r="Y108" s="27"/>
      <c r="Z108" s="27"/>
      <c r="AA108" s="27"/>
      <c r="AB108" s="27"/>
      <c r="AC108" s="27"/>
      <c r="AD108" s="27"/>
      <c r="AE108" s="27"/>
      <c r="AF108" s="27"/>
      <c r="AG108" s="27"/>
      <c r="AH108" s="27"/>
      <c r="AI108" s="27"/>
      <c r="AJ108" s="27"/>
      <c r="AK108" s="27"/>
      <c r="AL108" s="27"/>
      <c r="AM108" s="27"/>
      <c r="AN108" s="27"/>
      <c r="AO108" s="27"/>
      <c r="AP108" s="27"/>
      <c r="AQ108" s="27"/>
      <c r="AR108" s="36" t="s">
        <v>345</v>
      </c>
      <c r="AS108" s="37"/>
      <c r="AT108" s="37"/>
      <c r="AU108" s="37"/>
      <c r="AV108" s="37"/>
      <c r="AW108" s="37"/>
      <c r="AX108" s="37"/>
      <c r="AY108" s="37"/>
      <c r="AZ108" s="37"/>
      <c r="BA108" s="37"/>
      <c r="BB108" s="37"/>
      <c r="BC108" s="37"/>
      <c r="BD108" s="37"/>
      <c r="BE108" s="37"/>
      <c r="BF108" s="37"/>
      <c r="BG108" s="37"/>
      <c r="BH108" s="37"/>
      <c r="BI108" s="37"/>
      <c r="BJ108" s="37"/>
      <c r="BK108" s="38"/>
    </row>
    <row r="109" spans="1:79" ht="53.25" customHeight="1" x14ac:dyDescent="0.2">
      <c r="A109" s="64"/>
      <c r="B109" s="65"/>
      <c r="C109" s="65"/>
      <c r="D109" s="65"/>
      <c r="E109" s="66"/>
      <c r="F109" s="54"/>
      <c r="G109" s="55"/>
      <c r="H109" s="55"/>
      <c r="I109" s="55"/>
      <c r="J109" s="55"/>
      <c r="K109" s="55"/>
      <c r="L109" s="55"/>
      <c r="M109" s="55"/>
      <c r="N109" s="55"/>
      <c r="O109" s="55"/>
      <c r="P109" s="55"/>
      <c r="Q109" s="55"/>
      <c r="R109" s="55"/>
      <c r="S109" s="55"/>
      <c r="T109" s="55"/>
      <c r="U109" s="55"/>
      <c r="V109" s="55"/>
      <c r="W109" s="56"/>
      <c r="X109" s="36" t="s">
        <v>4</v>
      </c>
      <c r="Y109" s="37"/>
      <c r="Z109" s="37"/>
      <c r="AA109" s="37"/>
      <c r="AB109" s="38"/>
      <c r="AC109" s="36" t="s">
        <v>3</v>
      </c>
      <c r="AD109" s="37"/>
      <c r="AE109" s="37"/>
      <c r="AF109" s="37"/>
      <c r="AG109" s="38"/>
      <c r="AH109" s="57" t="s">
        <v>116</v>
      </c>
      <c r="AI109" s="58"/>
      <c r="AJ109" s="58"/>
      <c r="AK109" s="58"/>
      <c r="AL109" s="59"/>
      <c r="AM109" s="36" t="s">
        <v>5</v>
      </c>
      <c r="AN109" s="37"/>
      <c r="AO109" s="37"/>
      <c r="AP109" s="37"/>
      <c r="AQ109" s="38"/>
      <c r="AR109" s="36" t="s">
        <v>4</v>
      </c>
      <c r="AS109" s="37"/>
      <c r="AT109" s="37"/>
      <c r="AU109" s="37"/>
      <c r="AV109" s="38"/>
      <c r="AW109" s="36" t="s">
        <v>3</v>
      </c>
      <c r="AX109" s="37"/>
      <c r="AY109" s="37"/>
      <c r="AZ109" s="37"/>
      <c r="BA109" s="38"/>
      <c r="BB109" s="74" t="s">
        <v>116</v>
      </c>
      <c r="BC109" s="74"/>
      <c r="BD109" s="74"/>
      <c r="BE109" s="74"/>
      <c r="BF109" s="74"/>
      <c r="BG109" s="36" t="s">
        <v>96</v>
      </c>
      <c r="BH109" s="37"/>
      <c r="BI109" s="37"/>
      <c r="BJ109" s="37"/>
      <c r="BK109" s="38"/>
    </row>
    <row r="110" spans="1:79" ht="15" customHeight="1" x14ac:dyDescent="0.2">
      <c r="A110" s="36">
        <v>1</v>
      </c>
      <c r="B110" s="37"/>
      <c r="C110" s="37"/>
      <c r="D110" s="37"/>
      <c r="E110" s="38"/>
      <c r="F110" s="36">
        <v>2</v>
      </c>
      <c r="G110" s="37"/>
      <c r="H110" s="37"/>
      <c r="I110" s="37"/>
      <c r="J110" s="37"/>
      <c r="K110" s="37"/>
      <c r="L110" s="37"/>
      <c r="M110" s="37"/>
      <c r="N110" s="37"/>
      <c r="O110" s="37"/>
      <c r="P110" s="37"/>
      <c r="Q110" s="37"/>
      <c r="R110" s="37"/>
      <c r="S110" s="37"/>
      <c r="T110" s="37"/>
      <c r="U110" s="37"/>
      <c r="V110" s="37"/>
      <c r="W110" s="38"/>
      <c r="X110" s="36">
        <v>3</v>
      </c>
      <c r="Y110" s="37"/>
      <c r="Z110" s="37"/>
      <c r="AA110" s="37"/>
      <c r="AB110" s="38"/>
      <c r="AC110" s="36">
        <v>4</v>
      </c>
      <c r="AD110" s="37"/>
      <c r="AE110" s="37"/>
      <c r="AF110" s="37"/>
      <c r="AG110" s="38"/>
      <c r="AH110" s="36">
        <v>5</v>
      </c>
      <c r="AI110" s="37"/>
      <c r="AJ110" s="37"/>
      <c r="AK110" s="37"/>
      <c r="AL110" s="38"/>
      <c r="AM110" s="36">
        <v>6</v>
      </c>
      <c r="AN110" s="37"/>
      <c r="AO110" s="37"/>
      <c r="AP110" s="37"/>
      <c r="AQ110" s="38"/>
      <c r="AR110" s="36">
        <v>7</v>
      </c>
      <c r="AS110" s="37"/>
      <c r="AT110" s="37"/>
      <c r="AU110" s="37"/>
      <c r="AV110" s="38"/>
      <c r="AW110" s="36">
        <v>8</v>
      </c>
      <c r="AX110" s="37"/>
      <c r="AY110" s="37"/>
      <c r="AZ110" s="37"/>
      <c r="BA110" s="38"/>
      <c r="BB110" s="36">
        <v>9</v>
      </c>
      <c r="BC110" s="37"/>
      <c r="BD110" s="37"/>
      <c r="BE110" s="37"/>
      <c r="BF110" s="38"/>
      <c r="BG110" s="36">
        <v>10</v>
      </c>
      <c r="BH110" s="37"/>
      <c r="BI110" s="37"/>
      <c r="BJ110" s="37"/>
      <c r="BK110" s="38"/>
    </row>
    <row r="111" spans="1:79" s="1" customFormat="1" ht="15" hidden="1" customHeight="1" x14ac:dyDescent="0.2">
      <c r="A111" s="39" t="s">
        <v>64</v>
      </c>
      <c r="B111" s="40"/>
      <c r="C111" s="40"/>
      <c r="D111" s="40"/>
      <c r="E111" s="41"/>
      <c r="F111" s="39" t="s">
        <v>57</v>
      </c>
      <c r="G111" s="40"/>
      <c r="H111" s="40"/>
      <c r="I111" s="40"/>
      <c r="J111" s="40"/>
      <c r="K111" s="40"/>
      <c r="L111" s="40"/>
      <c r="M111" s="40"/>
      <c r="N111" s="40"/>
      <c r="O111" s="40"/>
      <c r="P111" s="40"/>
      <c r="Q111" s="40"/>
      <c r="R111" s="40"/>
      <c r="S111" s="40"/>
      <c r="T111" s="40"/>
      <c r="U111" s="40"/>
      <c r="V111" s="40"/>
      <c r="W111" s="41"/>
      <c r="X111" s="39" t="s">
        <v>60</v>
      </c>
      <c r="Y111" s="40"/>
      <c r="Z111" s="40"/>
      <c r="AA111" s="40"/>
      <c r="AB111" s="41"/>
      <c r="AC111" s="39" t="s">
        <v>61</v>
      </c>
      <c r="AD111" s="40"/>
      <c r="AE111" s="40"/>
      <c r="AF111" s="40"/>
      <c r="AG111" s="41"/>
      <c r="AH111" s="39" t="s">
        <v>94</v>
      </c>
      <c r="AI111" s="40"/>
      <c r="AJ111" s="40"/>
      <c r="AK111" s="40"/>
      <c r="AL111" s="41"/>
      <c r="AM111" s="47" t="s">
        <v>170</v>
      </c>
      <c r="AN111" s="48"/>
      <c r="AO111" s="48"/>
      <c r="AP111" s="48"/>
      <c r="AQ111" s="49"/>
      <c r="AR111" s="39" t="s">
        <v>62</v>
      </c>
      <c r="AS111" s="40"/>
      <c r="AT111" s="40"/>
      <c r="AU111" s="40"/>
      <c r="AV111" s="41"/>
      <c r="AW111" s="39" t="s">
        <v>63</v>
      </c>
      <c r="AX111" s="40"/>
      <c r="AY111" s="40"/>
      <c r="AZ111" s="40"/>
      <c r="BA111" s="41"/>
      <c r="BB111" s="39" t="s">
        <v>95</v>
      </c>
      <c r="BC111" s="40"/>
      <c r="BD111" s="40"/>
      <c r="BE111" s="40"/>
      <c r="BF111" s="41"/>
      <c r="BG111" s="47" t="s">
        <v>170</v>
      </c>
      <c r="BH111" s="48"/>
      <c r="BI111" s="48"/>
      <c r="BJ111" s="48"/>
      <c r="BK111" s="49"/>
      <c r="CA111" t="s">
        <v>31</v>
      </c>
    </row>
    <row r="112" spans="1:79" s="6" customFormat="1" ht="12.75" customHeight="1" x14ac:dyDescent="0.2">
      <c r="A112" s="86"/>
      <c r="B112" s="87"/>
      <c r="C112" s="87"/>
      <c r="D112" s="87"/>
      <c r="E112" s="88"/>
      <c r="F112" s="86" t="s">
        <v>147</v>
      </c>
      <c r="G112" s="87"/>
      <c r="H112" s="87"/>
      <c r="I112" s="87"/>
      <c r="J112" s="87"/>
      <c r="K112" s="87"/>
      <c r="L112" s="87"/>
      <c r="M112" s="87"/>
      <c r="N112" s="87"/>
      <c r="O112" s="87"/>
      <c r="P112" s="87"/>
      <c r="Q112" s="87"/>
      <c r="R112" s="87"/>
      <c r="S112" s="87"/>
      <c r="T112" s="87"/>
      <c r="U112" s="87"/>
      <c r="V112" s="87"/>
      <c r="W112" s="88"/>
      <c r="X112" s="107"/>
      <c r="Y112" s="108"/>
      <c r="Z112" s="108"/>
      <c r="AA112" s="108"/>
      <c r="AB112" s="109"/>
      <c r="AC112" s="107"/>
      <c r="AD112" s="108"/>
      <c r="AE112" s="108"/>
      <c r="AF112" s="108"/>
      <c r="AG112" s="109"/>
      <c r="AH112" s="103"/>
      <c r="AI112" s="103"/>
      <c r="AJ112" s="103"/>
      <c r="AK112" s="103"/>
      <c r="AL112" s="103"/>
      <c r="AM112" s="103">
        <f>IF(ISNUMBER(X112),X112,0)+IF(ISNUMBER(AC112),AC112,0)</f>
        <v>0</v>
      </c>
      <c r="AN112" s="103"/>
      <c r="AO112" s="103"/>
      <c r="AP112" s="103"/>
      <c r="AQ112" s="103"/>
      <c r="AR112" s="103"/>
      <c r="AS112" s="103"/>
      <c r="AT112" s="103"/>
      <c r="AU112" s="103"/>
      <c r="AV112" s="103"/>
      <c r="AW112" s="103"/>
      <c r="AX112" s="103"/>
      <c r="AY112" s="103"/>
      <c r="AZ112" s="103"/>
      <c r="BA112" s="103"/>
      <c r="BB112" s="103"/>
      <c r="BC112" s="103"/>
      <c r="BD112" s="103"/>
      <c r="BE112" s="103"/>
      <c r="BF112" s="103"/>
      <c r="BG112" s="103">
        <f>IF(ISNUMBER(AR112),AR112,0)+IF(ISNUMBER(AW112),AW112,0)</f>
        <v>0</v>
      </c>
      <c r="BH112" s="103"/>
      <c r="BI112" s="103"/>
      <c r="BJ112" s="103"/>
      <c r="BK112" s="103"/>
      <c r="CA112" s="6" t="s">
        <v>32</v>
      </c>
    </row>
    <row r="115" spans="1:79" ht="14.25" customHeight="1" x14ac:dyDescent="0.2">
      <c r="A115" s="29" t="s">
        <v>120</v>
      </c>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c r="AA115" s="29"/>
      <c r="AB115" s="29"/>
      <c r="AC115" s="29"/>
      <c r="AD115" s="29"/>
      <c r="AE115" s="29"/>
      <c r="AF115" s="29"/>
      <c r="AG115" s="29"/>
      <c r="AH115" s="29"/>
      <c r="AI115" s="29"/>
      <c r="AJ115" s="29"/>
      <c r="AK115" s="29"/>
      <c r="AL115" s="29"/>
      <c r="AM115" s="29"/>
      <c r="AN115" s="29"/>
      <c r="AO115" s="29"/>
      <c r="AP115" s="29"/>
      <c r="AQ115" s="29"/>
      <c r="AR115" s="29"/>
      <c r="AS115" s="29"/>
      <c r="AT115" s="29"/>
      <c r="AU115" s="29"/>
      <c r="AV115" s="29"/>
      <c r="AW115" s="29"/>
      <c r="AX115" s="29"/>
      <c r="AY115" s="29"/>
      <c r="AZ115" s="29"/>
      <c r="BA115" s="29"/>
      <c r="BB115" s="29"/>
      <c r="BC115" s="29"/>
      <c r="BD115" s="29"/>
      <c r="BE115" s="29"/>
      <c r="BF115" s="29"/>
      <c r="BG115" s="29"/>
      <c r="BH115" s="29"/>
      <c r="BI115" s="29"/>
      <c r="BJ115" s="29"/>
      <c r="BK115" s="29"/>
      <c r="BL115" s="29"/>
    </row>
    <row r="116" spans="1:79" ht="14.25" customHeight="1" x14ac:dyDescent="0.2">
      <c r="A116" s="29" t="s">
        <v>333</v>
      </c>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c r="AD116" s="29"/>
      <c r="AE116" s="29"/>
      <c r="AF116" s="29"/>
      <c r="AG116" s="29"/>
      <c r="AH116" s="29"/>
      <c r="AI116" s="29"/>
      <c r="AJ116" s="29"/>
      <c r="AK116" s="29"/>
      <c r="AL116" s="29"/>
      <c r="AM116" s="29"/>
      <c r="AN116" s="29"/>
      <c r="AO116" s="29"/>
      <c r="AP116" s="29"/>
      <c r="AQ116" s="29"/>
      <c r="AR116" s="29"/>
      <c r="AS116" s="29"/>
      <c r="AT116" s="29"/>
      <c r="AU116" s="29"/>
      <c r="AV116" s="29"/>
      <c r="AW116" s="29"/>
      <c r="AX116" s="29"/>
      <c r="AY116" s="29"/>
      <c r="AZ116" s="29"/>
      <c r="BA116" s="29"/>
      <c r="BB116" s="29"/>
      <c r="BC116" s="29"/>
      <c r="BD116" s="29"/>
      <c r="BE116" s="29"/>
      <c r="BF116" s="29"/>
      <c r="BG116" s="29"/>
      <c r="BH116" s="29"/>
      <c r="BI116" s="29"/>
      <c r="BJ116" s="29"/>
      <c r="BK116" s="29"/>
      <c r="BL116" s="29"/>
    </row>
    <row r="117" spans="1:79" ht="15" customHeight="1" x14ac:dyDescent="0.2">
      <c r="A117" s="44" t="s">
        <v>318</v>
      </c>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c r="AA117" s="44"/>
      <c r="AB117" s="44"/>
      <c r="AC117" s="44"/>
      <c r="AD117" s="44"/>
      <c r="AE117" s="44"/>
      <c r="AF117" s="44"/>
      <c r="AG117" s="44"/>
      <c r="AH117" s="44"/>
      <c r="AI117" s="44"/>
      <c r="AJ117" s="44"/>
      <c r="AK117" s="44"/>
      <c r="AL117" s="44"/>
      <c r="AM117" s="44"/>
      <c r="AN117" s="44"/>
      <c r="AO117" s="44"/>
      <c r="AP117" s="44"/>
      <c r="AQ117" s="44"/>
      <c r="AR117" s="44"/>
      <c r="AS117" s="44"/>
      <c r="AT117" s="44"/>
      <c r="AU117" s="44"/>
      <c r="AV117" s="44"/>
      <c r="AW117" s="44"/>
      <c r="AX117" s="44"/>
      <c r="AY117" s="44"/>
      <c r="AZ117" s="44"/>
      <c r="BA117" s="44"/>
      <c r="BB117" s="44"/>
      <c r="BC117" s="44"/>
      <c r="BD117" s="44"/>
      <c r="BE117" s="44"/>
      <c r="BF117" s="44"/>
      <c r="BG117" s="44"/>
      <c r="BH117" s="44"/>
      <c r="BI117" s="44"/>
      <c r="BJ117" s="44"/>
      <c r="BK117" s="44"/>
      <c r="BL117" s="44"/>
      <c r="BM117" s="44"/>
      <c r="BN117" s="44"/>
      <c r="BO117" s="44"/>
      <c r="BP117" s="44"/>
      <c r="BQ117" s="44"/>
      <c r="BR117" s="44"/>
      <c r="BS117" s="44"/>
      <c r="BT117" s="44"/>
      <c r="BU117" s="44"/>
      <c r="BV117" s="44"/>
      <c r="BW117" s="44"/>
      <c r="BX117" s="44"/>
      <c r="BY117" s="44"/>
    </row>
    <row r="118" spans="1:79" ht="23.1" customHeight="1" x14ac:dyDescent="0.2">
      <c r="A118" s="51" t="s">
        <v>6</v>
      </c>
      <c r="B118" s="52"/>
      <c r="C118" s="52"/>
      <c r="D118" s="51" t="s">
        <v>121</v>
      </c>
      <c r="E118" s="52"/>
      <c r="F118" s="52"/>
      <c r="G118" s="52"/>
      <c r="H118" s="52"/>
      <c r="I118" s="52"/>
      <c r="J118" s="52"/>
      <c r="K118" s="52"/>
      <c r="L118" s="52"/>
      <c r="M118" s="52"/>
      <c r="N118" s="52"/>
      <c r="O118" s="52"/>
      <c r="P118" s="52"/>
      <c r="Q118" s="52"/>
      <c r="R118" s="52"/>
      <c r="S118" s="52"/>
      <c r="T118" s="53"/>
      <c r="U118" s="36" t="s">
        <v>319</v>
      </c>
      <c r="V118" s="37"/>
      <c r="W118" s="37"/>
      <c r="X118" s="37"/>
      <c r="Y118" s="37"/>
      <c r="Z118" s="37"/>
      <c r="AA118" s="37"/>
      <c r="AB118" s="37"/>
      <c r="AC118" s="37"/>
      <c r="AD118" s="37"/>
      <c r="AE118" s="37"/>
      <c r="AF118" s="37"/>
      <c r="AG118" s="37"/>
      <c r="AH118" s="37"/>
      <c r="AI118" s="37"/>
      <c r="AJ118" s="37"/>
      <c r="AK118" s="37"/>
      <c r="AL118" s="37"/>
      <c r="AM118" s="38"/>
      <c r="AN118" s="36" t="s">
        <v>322</v>
      </c>
      <c r="AO118" s="37"/>
      <c r="AP118" s="37"/>
      <c r="AQ118" s="37"/>
      <c r="AR118" s="37"/>
      <c r="AS118" s="37"/>
      <c r="AT118" s="37"/>
      <c r="AU118" s="37"/>
      <c r="AV118" s="37"/>
      <c r="AW118" s="37"/>
      <c r="AX118" s="37"/>
      <c r="AY118" s="37"/>
      <c r="AZ118" s="37"/>
      <c r="BA118" s="37"/>
      <c r="BB118" s="37"/>
      <c r="BC118" s="37"/>
      <c r="BD118" s="37"/>
      <c r="BE118" s="37"/>
      <c r="BF118" s="38"/>
      <c r="BG118" s="27" t="s">
        <v>330</v>
      </c>
      <c r="BH118" s="27"/>
      <c r="BI118" s="27"/>
      <c r="BJ118" s="27"/>
      <c r="BK118" s="27"/>
      <c r="BL118" s="27"/>
      <c r="BM118" s="27"/>
      <c r="BN118" s="27"/>
      <c r="BO118" s="27"/>
      <c r="BP118" s="27"/>
      <c r="BQ118" s="27"/>
      <c r="BR118" s="27"/>
      <c r="BS118" s="27"/>
      <c r="BT118" s="27"/>
      <c r="BU118" s="27"/>
      <c r="BV118" s="27"/>
      <c r="BW118" s="27"/>
      <c r="BX118" s="27"/>
      <c r="BY118" s="27"/>
    </row>
    <row r="119" spans="1:79" ht="52.5" customHeight="1" x14ac:dyDescent="0.2">
      <c r="A119" s="54"/>
      <c r="B119" s="55"/>
      <c r="C119" s="55"/>
      <c r="D119" s="54"/>
      <c r="E119" s="55"/>
      <c r="F119" s="55"/>
      <c r="G119" s="55"/>
      <c r="H119" s="55"/>
      <c r="I119" s="55"/>
      <c r="J119" s="55"/>
      <c r="K119" s="55"/>
      <c r="L119" s="55"/>
      <c r="M119" s="55"/>
      <c r="N119" s="55"/>
      <c r="O119" s="55"/>
      <c r="P119" s="55"/>
      <c r="Q119" s="55"/>
      <c r="R119" s="55"/>
      <c r="S119" s="55"/>
      <c r="T119" s="56"/>
      <c r="U119" s="36" t="s">
        <v>4</v>
      </c>
      <c r="V119" s="37"/>
      <c r="W119" s="37"/>
      <c r="X119" s="37"/>
      <c r="Y119" s="38"/>
      <c r="Z119" s="36" t="s">
        <v>3</v>
      </c>
      <c r="AA119" s="37"/>
      <c r="AB119" s="37"/>
      <c r="AC119" s="37"/>
      <c r="AD119" s="38"/>
      <c r="AE119" s="57" t="s">
        <v>116</v>
      </c>
      <c r="AF119" s="58"/>
      <c r="AG119" s="58"/>
      <c r="AH119" s="59"/>
      <c r="AI119" s="36" t="s">
        <v>5</v>
      </c>
      <c r="AJ119" s="37"/>
      <c r="AK119" s="37"/>
      <c r="AL119" s="37"/>
      <c r="AM119" s="38"/>
      <c r="AN119" s="36" t="s">
        <v>4</v>
      </c>
      <c r="AO119" s="37"/>
      <c r="AP119" s="37"/>
      <c r="AQ119" s="37"/>
      <c r="AR119" s="38"/>
      <c r="AS119" s="36" t="s">
        <v>3</v>
      </c>
      <c r="AT119" s="37"/>
      <c r="AU119" s="37"/>
      <c r="AV119" s="37"/>
      <c r="AW119" s="38"/>
      <c r="AX119" s="57" t="s">
        <v>116</v>
      </c>
      <c r="AY119" s="58"/>
      <c r="AZ119" s="58"/>
      <c r="BA119" s="59"/>
      <c r="BB119" s="36" t="s">
        <v>96</v>
      </c>
      <c r="BC119" s="37"/>
      <c r="BD119" s="37"/>
      <c r="BE119" s="37"/>
      <c r="BF119" s="38"/>
      <c r="BG119" s="36" t="s">
        <v>4</v>
      </c>
      <c r="BH119" s="37"/>
      <c r="BI119" s="37"/>
      <c r="BJ119" s="37"/>
      <c r="BK119" s="38"/>
      <c r="BL119" s="27" t="s">
        <v>3</v>
      </c>
      <c r="BM119" s="27"/>
      <c r="BN119" s="27"/>
      <c r="BO119" s="27"/>
      <c r="BP119" s="27"/>
      <c r="BQ119" s="74" t="s">
        <v>116</v>
      </c>
      <c r="BR119" s="74"/>
      <c r="BS119" s="74"/>
      <c r="BT119" s="74"/>
      <c r="BU119" s="36" t="s">
        <v>97</v>
      </c>
      <c r="BV119" s="37"/>
      <c r="BW119" s="37"/>
      <c r="BX119" s="37"/>
      <c r="BY119" s="38"/>
    </row>
    <row r="120" spans="1:79" ht="15" customHeight="1" x14ac:dyDescent="0.2">
      <c r="A120" s="36">
        <v>1</v>
      </c>
      <c r="B120" s="37"/>
      <c r="C120" s="37"/>
      <c r="D120" s="36">
        <v>2</v>
      </c>
      <c r="E120" s="37"/>
      <c r="F120" s="37"/>
      <c r="G120" s="37"/>
      <c r="H120" s="37"/>
      <c r="I120" s="37"/>
      <c r="J120" s="37"/>
      <c r="K120" s="37"/>
      <c r="L120" s="37"/>
      <c r="M120" s="37"/>
      <c r="N120" s="37"/>
      <c r="O120" s="37"/>
      <c r="P120" s="37"/>
      <c r="Q120" s="37"/>
      <c r="R120" s="37"/>
      <c r="S120" s="37"/>
      <c r="T120" s="38"/>
      <c r="U120" s="36">
        <v>3</v>
      </c>
      <c r="V120" s="37"/>
      <c r="W120" s="37"/>
      <c r="X120" s="37"/>
      <c r="Y120" s="38"/>
      <c r="Z120" s="36">
        <v>4</v>
      </c>
      <c r="AA120" s="37"/>
      <c r="AB120" s="37"/>
      <c r="AC120" s="37"/>
      <c r="AD120" s="38"/>
      <c r="AE120" s="36">
        <v>5</v>
      </c>
      <c r="AF120" s="37"/>
      <c r="AG120" s="37"/>
      <c r="AH120" s="38"/>
      <c r="AI120" s="36">
        <v>6</v>
      </c>
      <c r="AJ120" s="37"/>
      <c r="AK120" s="37"/>
      <c r="AL120" s="37"/>
      <c r="AM120" s="38"/>
      <c r="AN120" s="36">
        <v>7</v>
      </c>
      <c r="AO120" s="37"/>
      <c r="AP120" s="37"/>
      <c r="AQ120" s="37"/>
      <c r="AR120" s="38"/>
      <c r="AS120" s="36">
        <v>8</v>
      </c>
      <c r="AT120" s="37"/>
      <c r="AU120" s="37"/>
      <c r="AV120" s="37"/>
      <c r="AW120" s="38"/>
      <c r="AX120" s="27">
        <v>9</v>
      </c>
      <c r="AY120" s="27"/>
      <c r="AZ120" s="27"/>
      <c r="BA120" s="27"/>
      <c r="BB120" s="36">
        <v>10</v>
      </c>
      <c r="BC120" s="37"/>
      <c r="BD120" s="37"/>
      <c r="BE120" s="37"/>
      <c r="BF120" s="38"/>
      <c r="BG120" s="36">
        <v>11</v>
      </c>
      <c r="BH120" s="37"/>
      <c r="BI120" s="37"/>
      <c r="BJ120" s="37"/>
      <c r="BK120" s="38"/>
      <c r="BL120" s="27">
        <v>12</v>
      </c>
      <c r="BM120" s="27"/>
      <c r="BN120" s="27"/>
      <c r="BO120" s="27"/>
      <c r="BP120" s="27"/>
      <c r="BQ120" s="36">
        <v>13</v>
      </c>
      <c r="BR120" s="37"/>
      <c r="BS120" s="37"/>
      <c r="BT120" s="38"/>
      <c r="BU120" s="36">
        <v>14</v>
      </c>
      <c r="BV120" s="37"/>
      <c r="BW120" s="37"/>
      <c r="BX120" s="37"/>
      <c r="BY120" s="38"/>
    </row>
    <row r="121" spans="1:79" s="1" customFormat="1" ht="14.25" hidden="1" customHeight="1" x14ac:dyDescent="0.2">
      <c r="A121" s="39" t="s">
        <v>69</v>
      </c>
      <c r="B121" s="40"/>
      <c r="C121" s="40"/>
      <c r="D121" s="39" t="s">
        <v>57</v>
      </c>
      <c r="E121" s="40"/>
      <c r="F121" s="40"/>
      <c r="G121" s="40"/>
      <c r="H121" s="40"/>
      <c r="I121" s="40"/>
      <c r="J121" s="40"/>
      <c r="K121" s="40"/>
      <c r="L121" s="40"/>
      <c r="M121" s="40"/>
      <c r="N121" s="40"/>
      <c r="O121" s="40"/>
      <c r="P121" s="40"/>
      <c r="Q121" s="40"/>
      <c r="R121" s="40"/>
      <c r="S121" s="40"/>
      <c r="T121" s="41"/>
      <c r="U121" s="26" t="s">
        <v>65</v>
      </c>
      <c r="V121" s="26"/>
      <c r="W121" s="26"/>
      <c r="X121" s="26"/>
      <c r="Y121" s="26"/>
      <c r="Z121" s="26" t="s">
        <v>66</v>
      </c>
      <c r="AA121" s="26"/>
      <c r="AB121" s="26"/>
      <c r="AC121" s="26"/>
      <c r="AD121" s="26"/>
      <c r="AE121" s="26" t="s">
        <v>91</v>
      </c>
      <c r="AF121" s="26"/>
      <c r="AG121" s="26"/>
      <c r="AH121" s="26"/>
      <c r="AI121" s="50" t="s">
        <v>169</v>
      </c>
      <c r="AJ121" s="50"/>
      <c r="AK121" s="50"/>
      <c r="AL121" s="50"/>
      <c r="AM121" s="50"/>
      <c r="AN121" s="26" t="s">
        <v>67</v>
      </c>
      <c r="AO121" s="26"/>
      <c r="AP121" s="26"/>
      <c r="AQ121" s="26"/>
      <c r="AR121" s="26"/>
      <c r="AS121" s="26" t="s">
        <v>68</v>
      </c>
      <c r="AT121" s="26"/>
      <c r="AU121" s="26"/>
      <c r="AV121" s="26"/>
      <c r="AW121" s="26"/>
      <c r="AX121" s="26" t="s">
        <v>92</v>
      </c>
      <c r="AY121" s="26"/>
      <c r="AZ121" s="26"/>
      <c r="BA121" s="26"/>
      <c r="BB121" s="50" t="s">
        <v>169</v>
      </c>
      <c r="BC121" s="50"/>
      <c r="BD121" s="50"/>
      <c r="BE121" s="50"/>
      <c r="BF121" s="50"/>
      <c r="BG121" s="26" t="s">
        <v>58</v>
      </c>
      <c r="BH121" s="26"/>
      <c r="BI121" s="26"/>
      <c r="BJ121" s="26"/>
      <c r="BK121" s="26"/>
      <c r="BL121" s="26" t="s">
        <v>59</v>
      </c>
      <c r="BM121" s="26"/>
      <c r="BN121" s="26"/>
      <c r="BO121" s="26"/>
      <c r="BP121" s="26"/>
      <c r="BQ121" s="26" t="s">
        <v>93</v>
      </c>
      <c r="BR121" s="26"/>
      <c r="BS121" s="26"/>
      <c r="BT121" s="26"/>
      <c r="BU121" s="50" t="s">
        <v>169</v>
      </c>
      <c r="BV121" s="50"/>
      <c r="BW121" s="50"/>
      <c r="BX121" s="50"/>
      <c r="BY121" s="50"/>
      <c r="CA121" t="s">
        <v>33</v>
      </c>
    </row>
    <row r="122" spans="1:79" s="99" customFormat="1" ht="12.75" customHeight="1" x14ac:dyDescent="0.2">
      <c r="A122" s="89">
        <v>1</v>
      </c>
      <c r="B122" s="90"/>
      <c r="C122" s="90"/>
      <c r="D122" s="92" t="s">
        <v>184</v>
      </c>
      <c r="E122" s="93"/>
      <c r="F122" s="93"/>
      <c r="G122" s="93"/>
      <c r="H122" s="93"/>
      <c r="I122" s="93"/>
      <c r="J122" s="93"/>
      <c r="K122" s="93"/>
      <c r="L122" s="93"/>
      <c r="M122" s="93"/>
      <c r="N122" s="93"/>
      <c r="O122" s="93"/>
      <c r="P122" s="93"/>
      <c r="Q122" s="93"/>
      <c r="R122" s="93"/>
      <c r="S122" s="93"/>
      <c r="T122" s="94"/>
      <c r="U122" s="96">
        <v>1500</v>
      </c>
      <c r="V122" s="97"/>
      <c r="W122" s="97"/>
      <c r="X122" s="97"/>
      <c r="Y122" s="98"/>
      <c r="Z122" s="96">
        <v>0</v>
      </c>
      <c r="AA122" s="97"/>
      <c r="AB122" s="97"/>
      <c r="AC122" s="97"/>
      <c r="AD122" s="98"/>
      <c r="AE122" s="96">
        <v>0</v>
      </c>
      <c r="AF122" s="97"/>
      <c r="AG122" s="97"/>
      <c r="AH122" s="98"/>
      <c r="AI122" s="96">
        <f>IF(ISNUMBER(U122),U122,0)+IF(ISNUMBER(Z122),Z122,0)</f>
        <v>1500</v>
      </c>
      <c r="AJ122" s="97"/>
      <c r="AK122" s="97"/>
      <c r="AL122" s="97"/>
      <c r="AM122" s="98"/>
      <c r="AN122" s="96">
        <v>0</v>
      </c>
      <c r="AO122" s="97"/>
      <c r="AP122" s="97"/>
      <c r="AQ122" s="97"/>
      <c r="AR122" s="98"/>
      <c r="AS122" s="96">
        <v>0</v>
      </c>
      <c r="AT122" s="97"/>
      <c r="AU122" s="97"/>
      <c r="AV122" s="97"/>
      <c r="AW122" s="98"/>
      <c r="AX122" s="96">
        <v>0</v>
      </c>
      <c r="AY122" s="97"/>
      <c r="AZ122" s="97"/>
      <c r="BA122" s="98"/>
      <c r="BB122" s="96">
        <f>IF(ISNUMBER(AN122),AN122,0)+IF(ISNUMBER(AS122),AS122,0)</f>
        <v>0</v>
      </c>
      <c r="BC122" s="97"/>
      <c r="BD122" s="97"/>
      <c r="BE122" s="97"/>
      <c r="BF122" s="98"/>
      <c r="BG122" s="96">
        <v>0</v>
      </c>
      <c r="BH122" s="97"/>
      <c r="BI122" s="97"/>
      <c r="BJ122" s="97"/>
      <c r="BK122" s="98"/>
      <c r="BL122" s="96">
        <v>0</v>
      </c>
      <c r="BM122" s="97"/>
      <c r="BN122" s="97"/>
      <c r="BO122" s="97"/>
      <c r="BP122" s="98"/>
      <c r="BQ122" s="96">
        <v>0</v>
      </c>
      <c r="BR122" s="97"/>
      <c r="BS122" s="97"/>
      <c r="BT122" s="98"/>
      <c r="BU122" s="96">
        <f>IF(ISNUMBER(BG122),BG122,0)+IF(ISNUMBER(BL122),BL122,0)</f>
        <v>0</v>
      </c>
      <c r="BV122" s="97"/>
      <c r="BW122" s="97"/>
      <c r="BX122" s="97"/>
      <c r="BY122" s="98"/>
      <c r="CA122" s="99" t="s">
        <v>34</v>
      </c>
    </row>
    <row r="123" spans="1:79" s="99" customFormat="1" ht="12.75" customHeight="1" x14ac:dyDescent="0.2">
      <c r="A123" s="89">
        <v>2</v>
      </c>
      <c r="B123" s="90"/>
      <c r="C123" s="90"/>
      <c r="D123" s="92" t="s">
        <v>179</v>
      </c>
      <c r="E123" s="93"/>
      <c r="F123" s="93"/>
      <c r="G123" s="93"/>
      <c r="H123" s="93"/>
      <c r="I123" s="93"/>
      <c r="J123" s="93"/>
      <c r="K123" s="93"/>
      <c r="L123" s="93"/>
      <c r="M123" s="93"/>
      <c r="N123" s="93"/>
      <c r="O123" s="93"/>
      <c r="P123" s="93"/>
      <c r="Q123" s="93"/>
      <c r="R123" s="93"/>
      <c r="S123" s="93"/>
      <c r="T123" s="94"/>
      <c r="U123" s="96">
        <v>6495165</v>
      </c>
      <c r="V123" s="97"/>
      <c r="W123" s="97"/>
      <c r="X123" s="97"/>
      <c r="Y123" s="98"/>
      <c r="Z123" s="96">
        <v>0</v>
      </c>
      <c r="AA123" s="97"/>
      <c r="AB123" s="97"/>
      <c r="AC123" s="97"/>
      <c r="AD123" s="98"/>
      <c r="AE123" s="96">
        <v>0</v>
      </c>
      <c r="AF123" s="97"/>
      <c r="AG123" s="97"/>
      <c r="AH123" s="98"/>
      <c r="AI123" s="96">
        <f>IF(ISNUMBER(U123),U123,0)+IF(ISNUMBER(Z123),Z123,0)</f>
        <v>6495165</v>
      </c>
      <c r="AJ123" s="97"/>
      <c r="AK123" s="97"/>
      <c r="AL123" s="97"/>
      <c r="AM123" s="98"/>
      <c r="AN123" s="96">
        <v>8006113</v>
      </c>
      <c r="AO123" s="97"/>
      <c r="AP123" s="97"/>
      <c r="AQ123" s="97"/>
      <c r="AR123" s="98"/>
      <c r="AS123" s="96">
        <v>0</v>
      </c>
      <c r="AT123" s="97"/>
      <c r="AU123" s="97"/>
      <c r="AV123" s="97"/>
      <c r="AW123" s="98"/>
      <c r="AX123" s="96">
        <v>0</v>
      </c>
      <c r="AY123" s="97"/>
      <c r="AZ123" s="97"/>
      <c r="BA123" s="98"/>
      <c r="BB123" s="96">
        <f>IF(ISNUMBER(AN123),AN123,0)+IF(ISNUMBER(AS123),AS123,0)</f>
        <v>8006113</v>
      </c>
      <c r="BC123" s="97"/>
      <c r="BD123" s="97"/>
      <c r="BE123" s="97"/>
      <c r="BF123" s="98"/>
      <c r="BG123" s="96">
        <v>6043371</v>
      </c>
      <c r="BH123" s="97"/>
      <c r="BI123" s="97"/>
      <c r="BJ123" s="97"/>
      <c r="BK123" s="98"/>
      <c r="BL123" s="96">
        <v>0</v>
      </c>
      <c r="BM123" s="97"/>
      <c r="BN123" s="97"/>
      <c r="BO123" s="97"/>
      <c r="BP123" s="98"/>
      <c r="BQ123" s="96">
        <v>0</v>
      </c>
      <c r="BR123" s="97"/>
      <c r="BS123" s="97"/>
      <c r="BT123" s="98"/>
      <c r="BU123" s="96">
        <f>IF(ISNUMBER(BG123),BG123,0)+IF(ISNUMBER(BL123),BL123,0)</f>
        <v>6043371</v>
      </c>
      <c r="BV123" s="97"/>
      <c r="BW123" s="97"/>
      <c r="BX123" s="97"/>
      <c r="BY123" s="98"/>
    </row>
    <row r="124" spans="1:79" s="99" customFormat="1" ht="25.5" customHeight="1" x14ac:dyDescent="0.2">
      <c r="A124" s="89">
        <v>3</v>
      </c>
      <c r="B124" s="90"/>
      <c r="C124" s="90"/>
      <c r="D124" s="92" t="s">
        <v>193</v>
      </c>
      <c r="E124" s="93"/>
      <c r="F124" s="93"/>
      <c r="G124" s="93"/>
      <c r="H124" s="93"/>
      <c r="I124" s="93"/>
      <c r="J124" s="93"/>
      <c r="K124" s="93"/>
      <c r="L124" s="93"/>
      <c r="M124" s="93"/>
      <c r="N124" s="93"/>
      <c r="O124" s="93"/>
      <c r="P124" s="93"/>
      <c r="Q124" s="93"/>
      <c r="R124" s="93"/>
      <c r="S124" s="93"/>
      <c r="T124" s="94"/>
      <c r="U124" s="96">
        <v>0</v>
      </c>
      <c r="V124" s="97"/>
      <c r="W124" s="97"/>
      <c r="X124" s="97"/>
      <c r="Y124" s="98"/>
      <c r="Z124" s="96">
        <v>0</v>
      </c>
      <c r="AA124" s="97"/>
      <c r="AB124" s="97"/>
      <c r="AC124" s="97"/>
      <c r="AD124" s="98"/>
      <c r="AE124" s="96">
        <v>0</v>
      </c>
      <c r="AF124" s="97"/>
      <c r="AG124" s="97"/>
      <c r="AH124" s="98"/>
      <c r="AI124" s="96">
        <f>IF(ISNUMBER(U124),U124,0)+IF(ISNUMBER(Z124),Z124,0)</f>
        <v>0</v>
      </c>
      <c r="AJ124" s="97"/>
      <c r="AK124" s="97"/>
      <c r="AL124" s="97"/>
      <c r="AM124" s="98"/>
      <c r="AN124" s="96">
        <v>0</v>
      </c>
      <c r="AO124" s="97"/>
      <c r="AP124" s="97"/>
      <c r="AQ124" s="97"/>
      <c r="AR124" s="98"/>
      <c r="AS124" s="96">
        <v>0</v>
      </c>
      <c r="AT124" s="97"/>
      <c r="AU124" s="97"/>
      <c r="AV124" s="97"/>
      <c r="AW124" s="98"/>
      <c r="AX124" s="96">
        <v>0</v>
      </c>
      <c r="AY124" s="97"/>
      <c r="AZ124" s="97"/>
      <c r="BA124" s="98"/>
      <c r="BB124" s="96">
        <f>IF(ISNUMBER(AN124),AN124,0)+IF(ISNUMBER(AS124),AS124,0)</f>
        <v>0</v>
      </c>
      <c r="BC124" s="97"/>
      <c r="BD124" s="97"/>
      <c r="BE124" s="97"/>
      <c r="BF124" s="98"/>
      <c r="BG124" s="96">
        <v>0</v>
      </c>
      <c r="BH124" s="97"/>
      <c r="BI124" s="97"/>
      <c r="BJ124" s="97"/>
      <c r="BK124" s="98"/>
      <c r="BL124" s="96">
        <v>0</v>
      </c>
      <c r="BM124" s="97"/>
      <c r="BN124" s="97"/>
      <c r="BO124" s="97"/>
      <c r="BP124" s="98"/>
      <c r="BQ124" s="96">
        <v>0</v>
      </c>
      <c r="BR124" s="97"/>
      <c r="BS124" s="97"/>
      <c r="BT124" s="98"/>
      <c r="BU124" s="96">
        <f>IF(ISNUMBER(BG124),BG124,0)+IF(ISNUMBER(BL124),BL124,0)</f>
        <v>0</v>
      </c>
      <c r="BV124" s="97"/>
      <c r="BW124" s="97"/>
      <c r="BX124" s="97"/>
      <c r="BY124" s="98"/>
    </row>
    <row r="125" spans="1:79" s="99" customFormat="1" ht="12.75" customHeight="1" x14ac:dyDescent="0.2">
      <c r="A125" s="89">
        <v>4</v>
      </c>
      <c r="B125" s="90"/>
      <c r="C125" s="90"/>
      <c r="D125" s="92" t="s">
        <v>180</v>
      </c>
      <c r="E125" s="93"/>
      <c r="F125" s="93"/>
      <c r="G125" s="93"/>
      <c r="H125" s="93"/>
      <c r="I125" s="93"/>
      <c r="J125" s="93"/>
      <c r="K125" s="93"/>
      <c r="L125" s="93"/>
      <c r="M125" s="93"/>
      <c r="N125" s="93"/>
      <c r="O125" s="93"/>
      <c r="P125" s="93"/>
      <c r="Q125" s="93"/>
      <c r="R125" s="93"/>
      <c r="S125" s="93"/>
      <c r="T125" s="94"/>
      <c r="U125" s="96">
        <v>1687082</v>
      </c>
      <c r="V125" s="97"/>
      <c r="W125" s="97"/>
      <c r="X125" s="97"/>
      <c r="Y125" s="98"/>
      <c r="Z125" s="96">
        <v>0</v>
      </c>
      <c r="AA125" s="97"/>
      <c r="AB125" s="97"/>
      <c r="AC125" s="97"/>
      <c r="AD125" s="98"/>
      <c r="AE125" s="96">
        <v>0</v>
      </c>
      <c r="AF125" s="97"/>
      <c r="AG125" s="97"/>
      <c r="AH125" s="98"/>
      <c r="AI125" s="96">
        <f>IF(ISNUMBER(U125),U125,0)+IF(ISNUMBER(Z125),Z125,0)</f>
        <v>1687082</v>
      </c>
      <c r="AJ125" s="97"/>
      <c r="AK125" s="97"/>
      <c r="AL125" s="97"/>
      <c r="AM125" s="98"/>
      <c r="AN125" s="96">
        <v>1761345</v>
      </c>
      <c r="AO125" s="97"/>
      <c r="AP125" s="97"/>
      <c r="AQ125" s="97"/>
      <c r="AR125" s="98"/>
      <c r="AS125" s="96">
        <v>0</v>
      </c>
      <c r="AT125" s="97"/>
      <c r="AU125" s="97"/>
      <c r="AV125" s="97"/>
      <c r="AW125" s="98"/>
      <c r="AX125" s="96">
        <v>0</v>
      </c>
      <c r="AY125" s="97"/>
      <c r="AZ125" s="97"/>
      <c r="BA125" s="98"/>
      <c r="BB125" s="96">
        <f>IF(ISNUMBER(AN125),AN125,0)+IF(ISNUMBER(AS125),AS125,0)</f>
        <v>1761345</v>
      </c>
      <c r="BC125" s="97"/>
      <c r="BD125" s="97"/>
      <c r="BE125" s="97"/>
      <c r="BF125" s="98"/>
      <c r="BG125" s="96">
        <v>1329541</v>
      </c>
      <c r="BH125" s="97"/>
      <c r="BI125" s="97"/>
      <c r="BJ125" s="97"/>
      <c r="BK125" s="98"/>
      <c r="BL125" s="96">
        <v>0</v>
      </c>
      <c r="BM125" s="97"/>
      <c r="BN125" s="97"/>
      <c r="BO125" s="97"/>
      <c r="BP125" s="98"/>
      <c r="BQ125" s="96">
        <v>0</v>
      </c>
      <c r="BR125" s="97"/>
      <c r="BS125" s="97"/>
      <c r="BT125" s="98"/>
      <c r="BU125" s="96">
        <f>IF(ISNUMBER(BG125),BG125,0)+IF(ISNUMBER(BL125),BL125,0)</f>
        <v>1329541</v>
      </c>
      <c r="BV125" s="97"/>
      <c r="BW125" s="97"/>
      <c r="BX125" s="97"/>
      <c r="BY125" s="98"/>
    </row>
    <row r="126" spans="1:79" s="99" customFormat="1" ht="12.75" customHeight="1" x14ac:dyDescent="0.2">
      <c r="A126" s="89">
        <v>5</v>
      </c>
      <c r="B126" s="90"/>
      <c r="C126" s="90"/>
      <c r="D126" s="92" t="s">
        <v>194</v>
      </c>
      <c r="E126" s="93"/>
      <c r="F126" s="93"/>
      <c r="G126" s="93"/>
      <c r="H126" s="93"/>
      <c r="I126" s="93"/>
      <c r="J126" s="93"/>
      <c r="K126" s="93"/>
      <c r="L126" s="93"/>
      <c r="M126" s="93"/>
      <c r="N126" s="93"/>
      <c r="O126" s="93"/>
      <c r="P126" s="93"/>
      <c r="Q126" s="93"/>
      <c r="R126" s="93"/>
      <c r="S126" s="93"/>
      <c r="T126" s="94"/>
      <c r="U126" s="96">
        <v>129600</v>
      </c>
      <c r="V126" s="97"/>
      <c r="W126" s="97"/>
      <c r="X126" s="97"/>
      <c r="Y126" s="98"/>
      <c r="Z126" s="96">
        <v>0</v>
      </c>
      <c r="AA126" s="97"/>
      <c r="AB126" s="97"/>
      <c r="AC126" s="97"/>
      <c r="AD126" s="98"/>
      <c r="AE126" s="96">
        <v>0</v>
      </c>
      <c r="AF126" s="97"/>
      <c r="AG126" s="97"/>
      <c r="AH126" s="98"/>
      <c r="AI126" s="96">
        <f>IF(ISNUMBER(U126),U126,0)+IF(ISNUMBER(Z126),Z126,0)</f>
        <v>129600</v>
      </c>
      <c r="AJ126" s="97"/>
      <c r="AK126" s="97"/>
      <c r="AL126" s="97"/>
      <c r="AM126" s="98"/>
      <c r="AN126" s="96">
        <v>0</v>
      </c>
      <c r="AO126" s="97"/>
      <c r="AP126" s="97"/>
      <c r="AQ126" s="97"/>
      <c r="AR126" s="98"/>
      <c r="AS126" s="96">
        <v>0</v>
      </c>
      <c r="AT126" s="97"/>
      <c r="AU126" s="97"/>
      <c r="AV126" s="97"/>
      <c r="AW126" s="98"/>
      <c r="AX126" s="96">
        <v>0</v>
      </c>
      <c r="AY126" s="97"/>
      <c r="AZ126" s="97"/>
      <c r="BA126" s="98"/>
      <c r="BB126" s="96">
        <f>IF(ISNUMBER(AN126),AN126,0)+IF(ISNUMBER(AS126),AS126,0)</f>
        <v>0</v>
      </c>
      <c r="BC126" s="97"/>
      <c r="BD126" s="97"/>
      <c r="BE126" s="97"/>
      <c r="BF126" s="98"/>
      <c r="BG126" s="96">
        <v>0</v>
      </c>
      <c r="BH126" s="97"/>
      <c r="BI126" s="97"/>
      <c r="BJ126" s="97"/>
      <c r="BK126" s="98"/>
      <c r="BL126" s="96">
        <v>0</v>
      </c>
      <c r="BM126" s="97"/>
      <c r="BN126" s="97"/>
      <c r="BO126" s="97"/>
      <c r="BP126" s="98"/>
      <c r="BQ126" s="96">
        <v>0</v>
      </c>
      <c r="BR126" s="97"/>
      <c r="BS126" s="97"/>
      <c r="BT126" s="98"/>
      <c r="BU126" s="96">
        <f>IF(ISNUMBER(BG126),BG126,0)+IF(ISNUMBER(BL126),BL126,0)</f>
        <v>0</v>
      </c>
      <c r="BV126" s="97"/>
      <c r="BW126" s="97"/>
      <c r="BX126" s="97"/>
      <c r="BY126" s="98"/>
    </row>
    <row r="127" spans="1:79" s="99" customFormat="1" ht="12.75" customHeight="1" x14ac:dyDescent="0.2">
      <c r="A127" s="89">
        <v>6</v>
      </c>
      <c r="B127" s="90"/>
      <c r="C127" s="90"/>
      <c r="D127" s="92" t="s">
        <v>195</v>
      </c>
      <c r="E127" s="93"/>
      <c r="F127" s="93"/>
      <c r="G127" s="93"/>
      <c r="H127" s="93"/>
      <c r="I127" s="93"/>
      <c r="J127" s="93"/>
      <c r="K127" s="93"/>
      <c r="L127" s="93"/>
      <c r="M127" s="93"/>
      <c r="N127" s="93"/>
      <c r="O127" s="93"/>
      <c r="P127" s="93"/>
      <c r="Q127" s="93"/>
      <c r="R127" s="93"/>
      <c r="S127" s="93"/>
      <c r="T127" s="94"/>
      <c r="U127" s="96">
        <v>37099</v>
      </c>
      <c r="V127" s="97"/>
      <c r="W127" s="97"/>
      <c r="X127" s="97"/>
      <c r="Y127" s="98"/>
      <c r="Z127" s="96">
        <v>0</v>
      </c>
      <c r="AA127" s="97"/>
      <c r="AB127" s="97"/>
      <c r="AC127" s="97"/>
      <c r="AD127" s="98"/>
      <c r="AE127" s="96">
        <v>0</v>
      </c>
      <c r="AF127" s="97"/>
      <c r="AG127" s="97"/>
      <c r="AH127" s="98"/>
      <c r="AI127" s="96">
        <f>IF(ISNUMBER(U127),U127,0)+IF(ISNUMBER(Z127),Z127,0)</f>
        <v>37099</v>
      </c>
      <c r="AJ127" s="97"/>
      <c r="AK127" s="97"/>
      <c r="AL127" s="97"/>
      <c r="AM127" s="98"/>
      <c r="AN127" s="96">
        <v>106344</v>
      </c>
      <c r="AO127" s="97"/>
      <c r="AP127" s="97"/>
      <c r="AQ127" s="97"/>
      <c r="AR127" s="98"/>
      <c r="AS127" s="96">
        <v>0</v>
      </c>
      <c r="AT127" s="97"/>
      <c r="AU127" s="97"/>
      <c r="AV127" s="97"/>
      <c r="AW127" s="98"/>
      <c r="AX127" s="96">
        <v>0</v>
      </c>
      <c r="AY127" s="97"/>
      <c r="AZ127" s="97"/>
      <c r="BA127" s="98"/>
      <c r="BB127" s="96">
        <f>IF(ISNUMBER(AN127),AN127,0)+IF(ISNUMBER(AS127),AS127,0)</f>
        <v>106344</v>
      </c>
      <c r="BC127" s="97"/>
      <c r="BD127" s="97"/>
      <c r="BE127" s="97"/>
      <c r="BF127" s="98"/>
      <c r="BG127" s="96">
        <v>92737</v>
      </c>
      <c r="BH127" s="97"/>
      <c r="BI127" s="97"/>
      <c r="BJ127" s="97"/>
      <c r="BK127" s="98"/>
      <c r="BL127" s="96">
        <v>0</v>
      </c>
      <c r="BM127" s="97"/>
      <c r="BN127" s="97"/>
      <c r="BO127" s="97"/>
      <c r="BP127" s="98"/>
      <c r="BQ127" s="96">
        <v>0</v>
      </c>
      <c r="BR127" s="97"/>
      <c r="BS127" s="97"/>
      <c r="BT127" s="98"/>
      <c r="BU127" s="96">
        <f>IF(ISNUMBER(BG127),BG127,0)+IF(ISNUMBER(BL127),BL127,0)</f>
        <v>92737</v>
      </c>
      <c r="BV127" s="97"/>
      <c r="BW127" s="97"/>
      <c r="BX127" s="97"/>
      <c r="BY127" s="98"/>
    </row>
    <row r="128" spans="1:79" s="99" customFormat="1" ht="12.75" customHeight="1" x14ac:dyDescent="0.2">
      <c r="A128" s="89">
        <v>7</v>
      </c>
      <c r="B128" s="90"/>
      <c r="C128" s="90"/>
      <c r="D128" s="92" t="s">
        <v>196</v>
      </c>
      <c r="E128" s="93"/>
      <c r="F128" s="93"/>
      <c r="G128" s="93"/>
      <c r="H128" s="93"/>
      <c r="I128" s="93"/>
      <c r="J128" s="93"/>
      <c r="K128" s="93"/>
      <c r="L128" s="93"/>
      <c r="M128" s="93"/>
      <c r="N128" s="93"/>
      <c r="O128" s="93"/>
      <c r="P128" s="93"/>
      <c r="Q128" s="93"/>
      <c r="R128" s="93"/>
      <c r="S128" s="93"/>
      <c r="T128" s="94"/>
      <c r="U128" s="96">
        <v>2063532</v>
      </c>
      <c r="V128" s="97"/>
      <c r="W128" s="97"/>
      <c r="X128" s="97"/>
      <c r="Y128" s="98"/>
      <c r="Z128" s="96">
        <v>0</v>
      </c>
      <c r="AA128" s="97"/>
      <c r="AB128" s="97"/>
      <c r="AC128" s="97"/>
      <c r="AD128" s="98"/>
      <c r="AE128" s="96">
        <v>0</v>
      </c>
      <c r="AF128" s="97"/>
      <c r="AG128" s="97"/>
      <c r="AH128" s="98"/>
      <c r="AI128" s="96">
        <f>IF(ISNUMBER(U128),U128,0)+IF(ISNUMBER(Z128),Z128,0)</f>
        <v>2063532</v>
      </c>
      <c r="AJ128" s="97"/>
      <c r="AK128" s="97"/>
      <c r="AL128" s="97"/>
      <c r="AM128" s="98"/>
      <c r="AN128" s="96">
        <v>3153919</v>
      </c>
      <c r="AO128" s="97"/>
      <c r="AP128" s="97"/>
      <c r="AQ128" s="97"/>
      <c r="AR128" s="98"/>
      <c r="AS128" s="96">
        <v>0</v>
      </c>
      <c r="AT128" s="97"/>
      <c r="AU128" s="97"/>
      <c r="AV128" s="97"/>
      <c r="AW128" s="98"/>
      <c r="AX128" s="96">
        <v>0</v>
      </c>
      <c r="AY128" s="97"/>
      <c r="AZ128" s="97"/>
      <c r="BA128" s="98"/>
      <c r="BB128" s="96">
        <f>IF(ISNUMBER(AN128),AN128,0)+IF(ISNUMBER(AS128),AS128,0)</f>
        <v>3153919</v>
      </c>
      <c r="BC128" s="97"/>
      <c r="BD128" s="97"/>
      <c r="BE128" s="97"/>
      <c r="BF128" s="98"/>
      <c r="BG128" s="96">
        <v>4859079</v>
      </c>
      <c r="BH128" s="97"/>
      <c r="BI128" s="97"/>
      <c r="BJ128" s="97"/>
      <c r="BK128" s="98"/>
      <c r="BL128" s="96">
        <v>0</v>
      </c>
      <c r="BM128" s="97"/>
      <c r="BN128" s="97"/>
      <c r="BO128" s="97"/>
      <c r="BP128" s="98"/>
      <c r="BQ128" s="96">
        <v>0</v>
      </c>
      <c r="BR128" s="97"/>
      <c r="BS128" s="97"/>
      <c r="BT128" s="98"/>
      <c r="BU128" s="96">
        <f>IF(ISNUMBER(BG128),BG128,0)+IF(ISNUMBER(BL128),BL128,0)</f>
        <v>4859079</v>
      </c>
      <c r="BV128" s="97"/>
      <c r="BW128" s="97"/>
      <c r="BX128" s="97"/>
      <c r="BY128" s="98"/>
    </row>
    <row r="129" spans="1:77" s="99" customFormat="1" ht="25.5" customHeight="1" x14ac:dyDescent="0.2">
      <c r="A129" s="89">
        <v>8</v>
      </c>
      <c r="B129" s="90"/>
      <c r="C129" s="90"/>
      <c r="D129" s="92" t="s">
        <v>197</v>
      </c>
      <c r="E129" s="93"/>
      <c r="F129" s="93"/>
      <c r="G129" s="93"/>
      <c r="H129" s="93"/>
      <c r="I129" s="93"/>
      <c r="J129" s="93"/>
      <c r="K129" s="93"/>
      <c r="L129" s="93"/>
      <c r="M129" s="93"/>
      <c r="N129" s="93"/>
      <c r="O129" s="93"/>
      <c r="P129" s="93"/>
      <c r="Q129" s="93"/>
      <c r="R129" s="93"/>
      <c r="S129" s="93"/>
      <c r="T129" s="94"/>
      <c r="U129" s="96">
        <v>772000</v>
      </c>
      <c r="V129" s="97"/>
      <c r="W129" s="97"/>
      <c r="X129" s="97"/>
      <c r="Y129" s="98"/>
      <c r="Z129" s="96">
        <v>0</v>
      </c>
      <c r="AA129" s="97"/>
      <c r="AB129" s="97"/>
      <c r="AC129" s="97"/>
      <c r="AD129" s="98"/>
      <c r="AE129" s="96">
        <v>0</v>
      </c>
      <c r="AF129" s="97"/>
      <c r="AG129" s="97"/>
      <c r="AH129" s="98"/>
      <c r="AI129" s="96">
        <f>IF(ISNUMBER(U129),U129,0)+IF(ISNUMBER(Z129),Z129,0)</f>
        <v>772000</v>
      </c>
      <c r="AJ129" s="97"/>
      <c r="AK129" s="97"/>
      <c r="AL129" s="97"/>
      <c r="AM129" s="98"/>
      <c r="AN129" s="96">
        <v>704050</v>
      </c>
      <c r="AO129" s="97"/>
      <c r="AP129" s="97"/>
      <c r="AQ129" s="97"/>
      <c r="AR129" s="98"/>
      <c r="AS129" s="96">
        <v>0</v>
      </c>
      <c r="AT129" s="97"/>
      <c r="AU129" s="97"/>
      <c r="AV129" s="97"/>
      <c r="AW129" s="98"/>
      <c r="AX129" s="96">
        <v>0</v>
      </c>
      <c r="AY129" s="97"/>
      <c r="AZ129" s="97"/>
      <c r="BA129" s="98"/>
      <c r="BB129" s="96">
        <f>IF(ISNUMBER(AN129),AN129,0)+IF(ISNUMBER(AS129),AS129,0)</f>
        <v>704050</v>
      </c>
      <c r="BC129" s="97"/>
      <c r="BD129" s="97"/>
      <c r="BE129" s="97"/>
      <c r="BF129" s="98"/>
      <c r="BG129" s="96">
        <v>704050</v>
      </c>
      <c r="BH129" s="97"/>
      <c r="BI129" s="97"/>
      <c r="BJ129" s="97"/>
      <c r="BK129" s="98"/>
      <c r="BL129" s="96">
        <v>0</v>
      </c>
      <c r="BM129" s="97"/>
      <c r="BN129" s="97"/>
      <c r="BO129" s="97"/>
      <c r="BP129" s="98"/>
      <c r="BQ129" s="96">
        <v>0</v>
      </c>
      <c r="BR129" s="97"/>
      <c r="BS129" s="97"/>
      <c r="BT129" s="98"/>
      <c r="BU129" s="96">
        <f>IF(ISNUMBER(BG129),BG129,0)+IF(ISNUMBER(BL129),BL129,0)</f>
        <v>704050</v>
      </c>
      <c r="BV129" s="97"/>
      <c r="BW129" s="97"/>
      <c r="BX129" s="97"/>
      <c r="BY129" s="98"/>
    </row>
    <row r="130" spans="1:77" s="99" customFormat="1" ht="25.5" customHeight="1" x14ac:dyDescent="0.2">
      <c r="A130" s="89">
        <v>9</v>
      </c>
      <c r="B130" s="90"/>
      <c r="C130" s="90"/>
      <c r="D130" s="92" t="s">
        <v>198</v>
      </c>
      <c r="E130" s="93"/>
      <c r="F130" s="93"/>
      <c r="G130" s="93"/>
      <c r="H130" s="93"/>
      <c r="I130" s="93"/>
      <c r="J130" s="93"/>
      <c r="K130" s="93"/>
      <c r="L130" s="93"/>
      <c r="M130" s="93"/>
      <c r="N130" s="93"/>
      <c r="O130" s="93"/>
      <c r="P130" s="93"/>
      <c r="Q130" s="93"/>
      <c r="R130" s="93"/>
      <c r="S130" s="93"/>
      <c r="T130" s="94"/>
      <c r="U130" s="96">
        <v>1012320</v>
      </c>
      <c r="V130" s="97"/>
      <c r="W130" s="97"/>
      <c r="X130" s="97"/>
      <c r="Y130" s="98"/>
      <c r="Z130" s="96">
        <v>0</v>
      </c>
      <c r="AA130" s="97"/>
      <c r="AB130" s="97"/>
      <c r="AC130" s="97"/>
      <c r="AD130" s="98"/>
      <c r="AE130" s="96">
        <v>0</v>
      </c>
      <c r="AF130" s="97"/>
      <c r="AG130" s="97"/>
      <c r="AH130" s="98"/>
      <c r="AI130" s="96">
        <f>IF(ISNUMBER(U130),U130,0)+IF(ISNUMBER(Z130),Z130,0)</f>
        <v>1012320</v>
      </c>
      <c r="AJ130" s="97"/>
      <c r="AK130" s="97"/>
      <c r="AL130" s="97"/>
      <c r="AM130" s="98"/>
      <c r="AN130" s="96">
        <v>949320</v>
      </c>
      <c r="AO130" s="97"/>
      <c r="AP130" s="97"/>
      <c r="AQ130" s="97"/>
      <c r="AR130" s="98"/>
      <c r="AS130" s="96">
        <v>0</v>
      </c>
      <c r="AT130" s="97"/>
      <c r="AU130" s="97"/>
      <c r="AV130" s="97"/>
      <c r="AW130" s="98"/>
      <c r="AX130" s="96">
        <v>0</v>
      </c>
      <c r="AY130" s="97"/>
      <c r="AZ130" s="97"/>
      <c r="BA130" s="98"/>
      <c r="BB130" s="96">
        <f>IF(ISNUMBER(AN130),AN130,0)+IF(ISNUMBER(AS130),AS130,0)</f>
        <v>949320</v>
      </c>
      <c r="BC130" s="97"/>
      <c r="BD130" s="97"/>
      <c r="BE130" s="97"/>
      <c r="BF130" s="98"/>
      <c r="BG130" s="96">
        <v>949320</v>
      </c>
      <c r="BH130" s="97"/>
      <c r="BI130" s="97"/>
      <c r="BJ130" s="97"/>
      <c r="BK130" s="98"/>
      <c r="BL130" s="96">
        <v>0</v>
      </c>
      <c r="BM130" s="97"/>
      <c r="BN130" s="97"/>
      <c r="BO130" s="97"/>
      <c r="BP130" s="98"/>
      <c r="BQ130" s="96">
        <v>0</v>
      </c>
      <c r="BR130" s="97"/>
      <c r="BS130" s="97"/>
      <c r="BT130" s="98"/>
      <c r="BU130" s="96">
        <f>IF(ISNUMBER(BG130),BG130,0)+IF(ISNUMBER(BL130),BL130,0)</f>
        <v>949320</v>
      </c>
      <c r="BV130" s="97"/>
      <c r="BW130" s="97"/>
      <c r="BX130" s="97"/>
      <c r="BY130" s="98"/>
    </row>
    <row r="131" spans="1:77" s="99" customFormat="1" ht="12.75" customHeight="1" x14ac:dyDescent="0.2">
      <c r="A131" s="89">
        <v>10</v>
      </c>
      <c r="B131" s="90"/>
      <c r="C131" s="90"/>
      <c r="D131" s="92" t="s">
        <v>199</v>
      </c>
      <c r="E131" s="93"/>
      <c r="F131" s="93"/>
      <c r="G131" s="93"/>
      <c r="H131" s="93"/>
      <c r="I131" s="93"/>
      <c r="J131" s="93"/>
      <c r="K131" s="93"/>
      <c r="L131" s="93"/>
      <c r="M131" s="93"/>
      <c r="N131" s="93"/>
      <c r="O131" s="93"/>
      <c r="P131" s="93"/>
      <c r="Q131" s="93"/>
      <c r="R131" s="93"/>
      <c r="S131" s="93"/>
      <c r="T131" s="94"/>
      <c r="U131" s="96">
        <v>120970</v>
      </c>
      <c r="V131" s="97"/>
      <c r="W131" s="97"/>
      <c r="X131" s="97"/>
      <c r="Y131" s="98"/>
      <c r="Z131" s="96">
        <v>0</v>
      </c>
      <c r="AA131" s="97"/>
      <c r="AB131" s="97"/>
      <c r="AC131" s="97"/>
      <c r="AD131" s="98"/>
      <c r="AE131" s="96">
        <v>0</v>
      </c>
      <c r="AF131" s="97"/>
      <c r="AG131" s="97"/>
      <c r="AH131" s="98"/>
      <c r="AI131" s="96">
        <f>IF(ISNUMBER(U131),U131,0)+IF(ISNUMBER(Z131),Z131,0)</f>
        <v>120970</v>
      </c>
      <c r="AJ131" s="97"/>
      <c r="AK131" s="97"/>
      <c r="AL131" s="97"/>
      <c r="AM131" s="98"/>
      <c r="AN131" s="96">
        <v>0</v>
      </c>
      <c r="AO131" s="97"/>
      <c r="AP131" s="97"/>
      <c r="AQ131" s="97"/>
      <c r="AR131" s="98"/>
      <c r="AS131" s="96">
        <v>0</v>
      </c>
      <c r="AT131" s="97"/>
      <c r="AU131" s="97"/>
      <c r="AV131" s="97"/>
      <c r="AW131" s="98"/>
      <c r="AX131" s="96">
        <v>0</v>
      </c>
      <c r="AY131" s="97"/>
      <c r="AZ131" s="97"/>
      <c r="BA131" s="98"/>
      <c r="BB131" s="96">
        <f>IF(ISNUMBER(AN131),AN131,0)+IF(ISNUMBER(AS131),AS131,0)</f>
        <v>0</v>
      </c>
      <c r="BC131" s="97"/>
      <c r="BD131" s="97"/>
      <c r="BE131" s="97"/>
      <c r="BF131" s="98"/>
      <c r="BG131" s="96">
        <v>0</v>
      </c>
      <c r="BH131" s="97"/>
      <c r="BI131" s="97"/>
      <c r="BJ131" s="97"/>
      <c r="BK131" s="98"/>
      <c r="BL131" s="96">
        <v>0</v>
      </c>
      <c r="BM131" s="97"/>
      <c r="BN131" s="97"/>
      <c r="BO131" s="97"/>
      <c r="BP131" s="98"/>
      <c r="BQ131" s="96">
        <v>0</v>
      </c>
      <c r="BR131" s="97"/>
      <c r="BS131" s="97"/>
      <c r="BT131" s="98"/>
      <c r="BU131" s="96">
        <f>IF(ISNUMBER(BG131),BG131,0)+IF(ISNUMBER(BL131),BL131,0)</f>
        <v>0</v>
      </c>
      <c r="BV131" s="97"/>
      <c r="BW131" s="97"/>
      <c r="BX131" s="97"/>
      <c r="BY131" s="98"/>
    </row>
    <row r="132" spans="1:77" s="99" customFormat="1" ht="12.75" customHeight="1" x14ac:dyDescent="0.2">
      <c r="A132" s="89">
        <v>11</v>
      </c>
      <c r="B132" s="90"/>
      <c r="C132" s="90"/>
      <c r="D132" s="92" t="s">
        <v>200</v>
      </c>
      <c r="E132" s="93"/>
      <c r="F132" s="93"/>
      <c r="G132" s="93"/>
      <c r="H132" s="93"/>
      <c r="I132" s="93"/>
      <c r="J132" s="93"/>
      <c r="K132" s="93"/>
      <c r="L132" s="93"/>
      <c r="M132" s="93"/>
      <c r="N132" s="93"/>
      <c r="O132" s="93"/>
      <c r="P132" s="93"/>
      <c r="Q132" s="93"/>
      <c r="R132" s="93"/>
      <c r="S132" s="93"/>
      <c r="T132" s="94"/>
      <c r="U132" s="96">
        <v>2859059</v>
      </c>
      <c r="V132" s="97"/>
      <c r="W132" s="97"/>
      <c r="X132" s="97"/>
      <c r="Y132" s="98"/>
      <c r="Z132" s="96">
        <v>0</v>
      </c>
      <c r="AA132" s="97"/>
      <c r="AB132" s="97"/>
      <c r="AC132" s="97"/>
      <c r="AD132" s="98"/>
      <c r="AE132" s="96">
        <v>0</v>
      </c>
      <c r="AF132" s="97"/>
      <c r="AG132" s="97"/>
      <c r="AH132" s="98"/>
      <c r="AI132" s="96">
        <f>IF(ISNUMBER(U132),U132,0)+IF(ISNUMBER(Z132),Z132,0)</f>
        <v>2859059</v>
      </c>
      <c r="AJ132" s="97"/>
      <c r="AK132" s="97"/>
      <c r="AL132" s="97"/>
      <c r="AM132" s="98"/>
      <c r="AN132" s="96">
        <v>2330847</v>
      </c>
      <c r="AO132" s="97"/>
      <c r="AP132" s="97"/>
      <c r="AQ132" s="97"/>
      <c r="AR132" s="98"/>
      <c r="AS132" s="96">
        <v>0</v>
      </c>
      <c r="AT132" s="97"/>
      <c r="AU132" s="97"/>
      <c r="AV132" s="97"/>
      <c r="AW132" s="98"/>
      <c r="AX132" s="96">
        <v>0</v>
      </c>
      <c r="AY132" s="97"/>
      <c r="AZ132" s="97"/>
      <c r="BA132" s="98"/>
      <c r="BB132" s="96">
        <f>IF(ISNUMBER(AN132),AN132,0)+IF(ISNUMBER(AS132),AS132,0)</f>
        <v>2330847</v>
      </c>
      <c r="BC132" s="97"/>
      <c r="BD132" s="97"/>
      <c r="BE132" s="97"/>
      <c r="BF132" s="98"/>
      <c r="BG132" s="96">
        <v>2426142</v>
      </c>
      <c r="BH132" s="97"/>
      <c r="BI132" s="97"/>
      <c r="BJ132" s="97"/>
      <c r="BK132" s="98"/>
      <c r="BL132" s="96">
        <v>0</v>
      </c>
      <c r="BM132" s="97"/>
      <c r="BN132" s="97"/>
      <c r="BO132" s="97"/>
      <c r="BP132" s="98"/>
      <c r="BQ132" s="96">
        <v>0</v>
      </c>
      <c r="BR132" s="97"/>
      <c r="BS132" s="97"/>
      <c r="BT132" s="98"/>
      <c r="BU132" s="96">
        <f>IF(ISNUMBER(BG132),BG132,0)+IF(ISNUMBER(BL132),BL132,0)</f>
        <v>2426142</v>
      </c>
      <c r="BV132" s="97"/>
      <c r="BW132" s="97"/>
      <c r="BX132" s="97"/>
      <c r="BY132" s="98"/>
    </row>
    <row r="133" spans="1:77" s="99" customFormat="1" ht="12.75" customHeight="1" x14ac:dyDescent="0.2">
      <c r="A133" s="89">
        <v>12</v>
      </c>
      <c r="B133" s="90"/>
      <c r="C133" s="90"/>
      <c r="D133" s="92" t="s">
        <v>201</v>
      </c>
      <c r="E133" s="93"/>
      <c r="F133" s="93"/>
      <c r="G133" s="93"/>
      <c r="H133" s="93"/>
      <c r="I133" s="93"/>
      <c r="J133" s="93"/>
      <c r="K133" s="93"/>
      <c r="L133" s="93"/>
      <c r="M133" s="93"/>
      <c r="N133" s="93"/>
      <c r="O133" s="93"/>
      <c r="P133" s="93"/>
      <c r="Q133" s="93"/>
      <c r="R133" s="93"/>
      <c r="S133" s="93"/>
      <c r="T133" s="94"/>
      <c r="U133" s="96">
        <v>2665106</v>
      </c>
      <c r="V133" s="97"/>
      <c r="W133" s="97"/>
      <c r="X133" s="97"/>
      <c r="Y133" s="98"/>
      <c r="Z133" s="96">
        <v>0</v>
      </c>
      <c r="AA133" s="97"/>
      <c r="AB133" s="97"/>
      <c r="AC133" s="97"/>
      <c r="AD133" s="98"/>
      <c r="AE133" s="96">
        <v>0</v>
      </c>
      <c r="AF133" s="97"/>
      <c r="AG133" s="97"/>
      <c r="AH133" s="98"/>
      <c r="AI133" s="96">
        <f>IF(ISNUMBER(U133),U133,0)+IF(ISNUMBER(Z133),Z133,0)</f>
        <v>2665106</v>
      </c>
      <c r="AJ133" s="97"/>
      <c r="AK133" s="97"/>
      <c r="AL133" s="97"/>
      <c r="AM133" s="98"/>
      <c r="AN133" s="96">
        <v>2259285</v>
      </c>
      <c r="AO133" s="97"/>
      <c r="AP133" s="97"/>
      <c r="AQ133" s="97"/>
      <c r="AR133" s="98"/>
      <c r="AS133" s="96">
        <v>0</v>
      </c>
      <c r="AT133" s="97"/>
      <c r="AU133" s="97"/>
      <c r="AV133" s="97"/>
      <c r="AW133" s="98"/>
      <c r="AX133" s="96">
        <v>0</v>
      </c>
      <c r="AY133" s="97"/>
      <c r="AZ133" s="97"/>
      <c r="BA133" s="98"/>
      <c r="BB133" s="96">
        <f>IF(ISNUMBER(AN133),AN133,0)+IF(ISNUMBER(AS133),AS133,0)</f>
        <v>2259285</v>
      </c>
      <c r="BC133" s="97"/>
      <c r="BD133" s="97"/>
      <c r="BE133" s="97"/>
      <c r="BF133" s="98"/>
      <c r="BG133" s="96">
        <v>2177934</v>
      </c>
      <c r="BH133" s="97"/>
      <c r="BI133" s="97"/>
      <c r="BJ133" s="97"/>
      <c r="BK133" s="98"/>
      <c r="BL133" s="96">
        <v>0</v>
      </c>
      <c r="BM133" s="97"/>
      <c r="BN133" s="97"/>
      <c r="BO133" s="97"/>
      <c r="BP133" s="98"/>
      <c r="BQ133" s="96">
        <v>0</v>
      </c>
      <c r="BR133" s="97"/>
      <c r="BS133" s="97"/>
      <c r="BT133" s="98"/>
      <c r="BU133" s="96">
        <f>IF(ISNUMBER(BG133),BG133,0)+IF(ISNUMBER(BL133),BL133,0)</f>
        <v>2177934</v>
      </c>
      <c r="BV133" s="97"/>
      <c r="BW133" s="97"/>
      <c r="BX133" s="97"/>
      <c r="BY133" s="98"/>
    </row>
    <row r="134" spans="1:77" s="99" customFormat="1" ht="25.5" customHeight="1" x14ac:dyDescent="0.2">
      <c r="A134" s="89">
        <v>13</v>
      </c>
      <c r="B134" s="90"/>
      <c r="C134" s="90"/>
      <c r="D134" s="92" t="s">
        <v>202</v>
      </c>
      <c r="E134" s="93"/>
      <c r="F134" s="93"/>
      <c r="G134" s="93"/>
      <c r="H134" s="93"/>
      <c r="I134" s="93"/>
      <c r="J134" s="93"/>
      <c r="K134" s="93"/>
      <c r="L134" s="93"/>
      <c r="M134" s="93"/>
      <c r="N134" s="93"/>
      <c r="O134" s="93"/>
      <c r="P134" s="93"/>
      <c r="Q134" s="93"/>
      <c r="R134" s="93"/>
      <c r="S134" s="93"/>
      <c r="T134" s="94"/>
      <c r="U134" s="96">
        <v>22550</v>
      </c>
      <c r="V134" s="97"/>
      <c r="W134" s="97"/>
      <c r="X134" s="97"/>
      <c r="Y134" s="98"/>
      <c r="Z134" s="96">
        <v>0</v>
      </c>
      <c r="AA134" s="97"/>
      <c r="AB134" s="97"/>
      <c r="AC134" s="97"/>
      <c r="AD134" s="98"/>
      <c r="AE134" s="96">
        <v>0</v>
      </c>
      <c r="AF134" s="97"/>
      <c r="AG134" s="97"/>
      <c r="AH134" s="98"/>
      <c r="AI134" s="96">
        <f>IF(ISNUMBER(U134),U134,0)+IF(ISNUMBER(Z134),Z134,0)</f>
        <v>22550</v>
      </c>
      <c r="AJ134" s="97"/>
      <c r="AK134" s="97"/>
      <c r="AL134" s="97"/>
      <c r="AM134" s="98"/>
      <c r="AN134" s="96">
        <v>20934</v>
      </c>
      <c r="AO134" s="97"/>
      <c r="AP134" s="97"/>
      <c r="AQ134" s="97"/>
      <c r="AR134" s="98"/>
      <c r="AS134" s="96">
        <v>0</v>
      </c>
      <c r="AT134" s="97"/>
      <c r="AU134" s="97"/>
      <c r="AV134" s="97"/>
      <c r="AW134" s="98"/>
      <c r="AX134" s="96">
        <v>0</v>
      </c>
      <c r="AY134" s="97"/>
      <c r="AZ134" s="97"/>
      <c r="BA134" s="98"/>
      <c r="BB134" s="96">
        <f>IF(ISNUMBER(AN134),AN134,0)+IF(ISNUMBER(AS134),AS134,0)</f>
        <v>20934</v>
      </c>
      <c r="BC134" s="97"/>
      <c r="BD134" s="97"/>
      <c r="BE134" s="97"/>
      <c r="BF134" s="98"/>
      <c r="BG134" s="96">
        <v>0</v>
      </c>
      <c r="BH134" s="97"/>
      <c r="BI134" s="97"/>
      <c r="BJ134" s="97"/>
      <c r="BK134" s="98"/>
      <c r="BL134" s="96">
        <v>0</v>
      </c>
      <c r="BM134" s="97"/>
      <c r="BN134" s="97"/>
      <c r="BO134" s="97"/>
      <c r="BP134" s="98"/>
      <c r="BQ134" s="96">
        <v>0</v>
      </c>
      <c r="BR134" s="97"/>
      <c r="BS134" s="97"/>
      <c r="BT134" s="98"/>
      <c r="BU134" s="96">
        <f>IF(ISNUMBER(BG134),BG134,0)+IF(ISNUMBER(BL134),BL134,0)</f>
        <v>0</v>
      </c>
      <c r="BV134" s="97"/>
      <c r="BW134" s="97"/>
      <c r="BX134" s="97"/>
      <c r="BY134" s="98"/>
    </row>
    <row r="135" spans="1:77" s="99" customFormat="1" ht="12.75" customHeight="1" x14ac:dyDescent="0.2">
      <c r="A135" s="89">
        <v>14</v>
      </c>
      <c r="B135" s="90"/>
      <c r="C135" s="90"/>
      <c r="D135" s="92" t="s">
        <v>203</v>
      </c>
      <c r="E135" s="93"/>
      <c r="F135" s="93"/>
      <c r="G135" s="93"/>
      <c r="H135" s="93"/>
      <c r="I135" s="93"/>
      <c r="J135" s="93"/>
      <c r="K135" s="93"/>
      <c r="L135" s="93"/>
      <c r="M135" s="93"/>
      <c r="N135" s="93"/>
      <c r="O135" s="93"/>
      <c r="P135" s="93"/>
      <c r="Q135" s="93"/>
      <c r="R135" s="93"/>
      <c r="S135" s="93"/>
      <c r="T135" s="94"/>
      <c r="U135" s="96">
        <v>0</v>
      </c>
      <c r="V135" s="97"/>
      <c r="W135" s="97"/>
      <c r="X135" s="97"/>
      <c r="Y135" s="98"/>
      <c r="Z135" s="96">
        <v>0</v>
      </c>
      <c r="AA135" s="97"/>
      <c r="AB135" s="97"/>
      <c r="AC135" s="97"/>
      <c r="AD135" s="98"/>
      <c r="AE135" s="96">
        <v>0</v>
      </c>
      <c r="AF135" s="97"/>
      <c r="AG135" s="97"/>
      <c r="AH135" s="98"/>
      <c r="AI135" s="96">
        <f>IF(ISNUMBER(U135),U135,0)+IF(ISNUMBER(Z135),Z135,0)</f>
        <v>0</v>
      </c>
      <c r="AJ135" s="97"/>
      <c r="AK135" s="97"/>
      <c r="AL135" s="97"/>
      <c r="AM135" s="98"/>
      <c r="AN135" s="96">
        <v>0</v>
      </c>
      <c r="AO135" s="97"/>
      <c r="AP135" s="97"/>
      <c r="AQ135" s="97"/>
      <c r="AR135" s="98"/>
      <c r="AS135" s="96">
        <v>0</v>
      </c>
      <c r="AT135" s="97"/>
      <c r="AU135" s="97"/>
      <c r="AV135" s="97"/>
      <c r="AW135" s="98"/>
      <c r="AX135" s="96">
        <v>0</v>
      </c>
      <c r="AY135" s="97"/>
      <c r="AZ135" s="97"/>
      <c r="BA135" s="98"/>
      <c r="BB135" s="96">
        <f>IF(ISNUMBER(AN135),AN135,0)+IF(ISNUMBER(AS135),AS135,0)</f>
        <v>0</v>
      </c>
      <c r="BC135" s="97"/>
      <c r="BD135" s="97"/>
      <c r="BE135" s="97"/>
      <c r="BF135" s="98"/>
      <c r="BG135" s="96">
        <v>0</v>
      </c>
      <c r="BH135" s="97"/>
      <c r="BI135" s="97"/>
      <c r="BJ135" s="97"/>
      <c r="BK135" s="98"/>
      <c r="BL135" s="96">
        <v>0</v>
      </c>
      <c r="BM135" s="97"/>
      <c r="BN135" s="97"/>
      <c r="BO135" s="97"/>
      <c r="BP135" s="98"/>
      <c r="BQ135" s="96">
        <v>0</v>
      </c>
      <c r="BR135" s="97"/>
      <c r="BS135" s="97"/>
      <c r="BT135" s="98"/>
      <c r="BU135" s="96">
        <f>IF(ISNUMBER(BG135),BG135,0)+IF(ISNUMBER(BL135),BL135,0)</f>
        <v>0</v>
      </c>
      <c r="BV135" s="97"/>
      <c r="BW135" s="97"/>
      <c r="BX135" s="97"/>
      <c r="BY135" s="98"/>
    </row>
    <row r="136" spans="1:77" s="99" customFormat="1" ht="12.75" customHeight="1" x14ac:dyDescent="0.2">
      <c r="A136" s="89">
        <v>15</v>
      </c>
      <c r="B136" s="90"/>
      <c r="C136" s="90"/>
      <c r="D136" s="92" t="s">
        <v>204</v>
      </c>
      <c r="E136" s="93"/>
      <c r="F136" s="93"/>
      <c r="G136" s="93"/>
      <c r="H136" s="93"/>
      <c r="I136" s="93"/>
      <c r="J136" s="93"/>
      <c r="K136" s="93"/>
      <c r="L136" s="93"/>
      <c r="M136" s="93"/>
      <c r="N136" s="93"/>
      <c r="O136" s="93"/>
      <c r="P136" s="93"/>
      <c r="Q136" s="93"/>
      <c r="R136" s="93"/>
      <c r="S136" s="93"/>
      <c r="T136" s="94"/>
      <c r="U136" s="96">
        <v>14855</v>
      </c>
      <c r="V136" s="97"/>
      <c r="W136" s="97"/>
      <c r="X136" s="97"/>
      <c r="Y136" s="98"/>
      <c r="Z136" s="96">
        <v>0</v>
      </c>
      <c r="AA136" s="97"/>
      <c r="AB136" s="97"/>
      <c r="AC136" s="97"/>
      <c r="AD136" s="98"/>
      <c r="AE136" s="96">
        <v>0</v>
      </c>
      <c r="AF136" s="97"/>
      <c r="AG136" s="97"/>
      <c r="AH136" s="98"/>
      <c r="AI136" s="96">
        <f>IF(ISNUMBER(U136),U136,0)+IF(ISNUMBER(Z136),Z136,0)</f>
        <v>14855</v>
      </c>
      <c r="AJ136" s="97"/>
      <c r="AK136" s="97"/>
      <c r="AL136" s="97"/>
      <c r="AM136" s="98"/>
      <c r="AN136" s="96">
        <v>0</v>
      </c>
      <c r="AO136" s="97"/>
      <c r="AP136" s="97"/>
      <c r="AQ136" s="97"/>
      <c r="AR136" s="98"/>
      <c r="AS136" s="96">
        <v>0</v>
      </c>
      <c r="AT136" s="97"/>
      <c r="AU136" s="97"/>
      <c r="AV136" s="97"/>
      <c r="AW136" s="98"/>
      <c r="AX136" s="96">
        <v>0</v>
      </c>
      <c r="AY136" s="97"/>
      <c r="AZ136" s="97"/>
      <c r="BA136" s="98"/>
      <c r="BB136" s="96">
        <f>IF(ISNUMBER(AN136),AN136,0)+IF(ISNUMBER(AS136),AS136,0)</f>
        <v>0</v>
      </c>
      <c r="BC136" s="97"/>
      <c r="BD136" s="97"/>
      <c r="BE136" s="97"/>
      <c r="BF136" s="98"/>
      <c r="BG136" s="96">
        <v>0</v>
      </c>
      <c r="BH136" s="97"/>
      <c r="BI136" s="97"/>
      <c r="BJ136" s="97"/>
      <c r="BK136" s="98"/>
      <c r="BL136" s="96">
        <v>0</v>
      </c>
      <c r="BM136" s="97"/>
      <c r="BN136" s="97"/>
      <c r="BO136" s="97"/>
      <c r="BP136" s="98"/>
      <c r="BQ136" s="96">
        <v>0</v>
      </c>
      <c r="BR136" s="97"/>
      <c r="BS136" s="97"/>
      <c r="BT136" s="98"/>
      <c r="BU136" s="96">
        <f>IF(ISNUMBER(BG136),BG136,0)+IF(ISNUMBER(BL136),BL136,0)</f>
        <v>0</v>
      </c>
      <c r="BV136" s="97"/>
      <c r="BW136" s="97"/>
      <c r="BX136" s="97"/>
      <c r="BY136" s="98"/>
    </row>
    <row r="137" spans="1:77" s="99" customFormat="1" ht="12.75" customHeight="1" x14ac:dyDescent="0.2">
      <c r="A137" s="89">
        <v>16</v>
      </c>
      <c r="B137" s="90"/>
      <c r="C137" s="90"/>
      <c r="D137" s="92" t="s">
        <v>205</v>
      </c>
      <c r="E137" s="93"/>
      <c r="F137" s="93"/>
      <c r="G137" s="93"/>
      <c r="H137" s="93"/>
      <c r="I137" s="93"/>
      <c r="J137" s="93"/>
      <c r="K137" s="93"/>
      <c r="L137" s="93"/>
      <c r="M137" s="93"/>
      <c r="N137" s="93"/>
      <c r="O137" s="93"/>
      <c r="P137" s="93"/>
      <c r="Q137" s="93"/>
      <c r="R137" s="93"/>
      <c r="S137" s="93"/>
      <c r="T137" s="94"/>
      <c r="U137" s="96">
        <v>336000</v>
      </c>
      <c r="V137" s="97"/>
      <c r="W137" s="97"/>
      <c r="X137" s="97"/>
      <c r="Y137" s="98"/>
      <c r="Z137" s="96">
        <v>0</v>
      </c>
      <c r="AA137" s="97"/>
      <c r="AB137" s="97"/>
      <c r="AC137" s="97"/>
      <c r="AD137" s="98"/>
      <c r="AE137" s="96">
        <v>0</v>
      </c>
      <c r="AF137" s="97"/>
      <c r="AG137" s="97"/>
      <c r="AH137" s="98"/>
      <c r="AI137" s="96">
        <f>IF(ISNUMBER(U137),U137,0)+IF(ISNUMBER(Z137),Z137,0)</f>
        <v>336000</v>
      </c>
      <c r="AJ137" s="97"/>
      <c r="AK137" s="97"/>
      <c r="AL137" s="97"/>
      <c r="AM137" s="98"/>
      <c r="AN137" s="96">
        <v>336000</v>
      </c>
      <c r="AO137" s="97"/>
      <c r="AP137" s="97"/>
      <c r="AQ137" s="97"/>
      <c r="AR137" s="98"/>
      <c r="AS137" s="96">
        <v>0</v>
      </c>
      <c r="AT137" s="97"/>
      <c r="AU137" s="97"/>
      <c r="AV137" s="97"/>
      <c r="AW137" s="98"/>
      <c r="AX137" s="96">
        <v>0</v>
      </c>
      <c r="AY137" s="97"/>
      <c r="AZ137" s="97"/>
      <c r="BA137" s="98"/>
      <c r="BB137" s="96">
        <f>IF(ISNUMBER(AN137),AN137,0)+IF(ISNUMBER(AS137),AS137,0)</f>
        <v>336000</v>
      </c>
      <c r="BC137" s="97"/>
      <c r="BD137" s="97"/>
      <c r="BE137" s="97"/>
      <c r="BF137" s="98"/>
      <c r="BG137" s="96">
        <v>336000</v>
      </c>
      <c r="BH137" s="97"/>
      <c r="BI137" s="97"/>
      <c r="BJ137" s="97"/>
      <c r="BK137" s="98"/>
      <c r="BL137" s="96">
        <v>0</v>
      </c>
      <c r="BM137" s="97"/>
      <c r="BN137" s="97"/>
      <c r="BO137" s="97"/>
      <c r="BP137" s="98"/>
      <c r="BQ137" s="96">
        <v>0</v>
      </c>
      <c r="BR137" s="97"/>
      <c r="BS137" s="97"/>
      <c r="BT137" s="98"/>
      <c r="BU137" s="96">
        <f>IF(ISNUMBER(BG137),BG137,0)+IF(ISNUMBER(BL137),BL137,0)</f>
        <v>336000</v>
      </c>
      <c r="BV137" s="97"/>
      <c r="BW137" s="97"/>
      <c r="BX137" s="97"/>
      <c r="BY137" s="98"/>
    </row>
    <row r="138" spans="1:77" s="99" customFormat="1" ht="12.75" customHeight="1" x14ac:dyDescent="0.2">
      <c r="A138" s="89">
        <v>17</v>
      </c>
      <c r="B138" s="90"/>
      <c r="C138" s="90"/>
      <c r="D138" s="92" t="s">
        <v>206</v>
      </c>
      <c r="E138" s="93"/>
      <c r="F138" s="93"/>
      <c r="G138" s="93"/>
      <c r="H138" s="93"/>
      <c r="I138" s="93"/>
      <c r="J138" s="93"/>
      <c r="K138" s="93"/>
      <c r="L138" s="93"/>
      <c r="M138" s="93"/>
      <c r="N138" s="93"/>
      <c r="O138" s="93"/>
      <c r="P138" s="93"/>
      <c r="Q138" s="93"/>
      <c r="R138" s="93"/>
      <c r="S138" s="93"/>
      <c r="T138" s="94"/>
      <c r="U138" s="96">
        <v>18000</v>
      </c>
      <c r="V138" s="97"/>
      <c r="W138" s="97"/>
      <c r="X138" s="97"/>
      <c r="Y138" s="98"/>
      <c r="Z138" s="96">
        <v>0</v>
      </c>
      <c r="AA138" s="97"/>
      <c r="AB138" s="97"/>
      <c r="AC138" s="97"/>
      <c r="AD138" s="98"/>
      <c r="AE138" s="96">
        <v>0</v>
      </c>
      <c r="AF138" s="97"/>
      <c r="AG138" s="97"/>
      <c r="AH138" s="98"/>
      <c r="AI138" s="96">
        <f>IF(ISNUMBER(U138),U138,0)+IF(ISNUMBER(Z138),Z138,0)</f>
        <v>18000</v>
      </c>
      <c r="AJ138" s="97"/>
      <c r="AK138" s="97"/>
      <c r="AL138" s="97"/>
      <c r="AM138" s="98"/>
      <c r="AN138" s="96">
        <v>164688</v>
      </c>
      <c r="AO138" s="97"/>
      <c r="AP138" s="97"/>
      <c r="AQ138" s="97"/>
      <c r="AR138" s="98"/>
      <c r="AS138" s="96">
        <v>0</v>
      </c>
      <c r="AT138" s="97"/>
      <c r="AU138" s="97"/>
      <c r="AV138" s="97"/>
      <c r="AW138" s="98"/>
      <c r="AX138" s="96">
        <v>0</v>
      </c>
      <c r="AY138" s="97"/>
      <c r="AZ138" s="97"/>
      <c r="BA138" s="98"/>
      <c r="BB138" s="96">
        <f>IF(ISNUMBER(AN138),AN138,0)+IF(ISNUMBER(AS138),AS138,0)</f>
        <v>164688</v>
      </c>
      <c r="BC138" s="97"/>
      <c r="BD138" s="97"/>
      <c r="BE138" s="97"/>
      <c r="BF138" s="98"/>
      <c r="BG138" s="96">
        <v>20000</v>
      </c>
      <c r="BH138" s="97"/>
      <c r="BI138" s="97"/>
      <c r="BJ138" s="97"/>
      <c r="BK138" s="98"/>
      <c r="BL138" s="96">
        <v>0</v>
      </c>
      <c r="BM138" s="97"/>
      <c r="BN138" s="97"/>
      <c r="BO138" s="97"/>
      <c r="BP138" s="98"/>
      <c r="BQ138" s="96">
        <v>0</v>
      </c>
      <c r="BR138" s="97"/>
      <c r="BS138" s="97"/>
      <c r="BT138" s="98"/>
      <c r="BU138" s="96">
        <f>IF(ISNUMBER(BG138),BG138,0)+IF(ISNUMBER(BL138),BL138,0)</f>
        <v>20000</v>
      </c>
      <c r="BV138" s="97"/>
      <c r="BW138" s="97"/>
      <c r="BX138" s="97"/>
      <c r="BY138" s="98"/>
    </row>
    <row r="139" spans="1:77" s="99" customFormat="1" ht="51" customHeight="1" x14ac:dyDescent="0.2">
      <c r="A139" s="89">
        <v>18</v>
      </c>
      <c r="B139" s="90"/>
      <c r="C139" s="90"/>
      <c r="D139" s="92" t="s">
        <v>207</v>
      </c>
      <c r="E139" s="93"/>
      <c r="F139" s="93"/>
      <c r="G139" s="93"/>
      <c r="H139" s="93"/>
      <c r="I139" s="93"/>
      <c r="J139" s="93"/>
      <c r="K139" s="93"/>
      <c r="L139" s="93"/>
      <c r="M139" s="93"/>
      <c r="N139" s="93"/>
      <c r="O139" s="93"/>
      <c r="P139" s="93"/>
      <c r="Q139" s="93"/>
      <c r="R139" s="93"/>
      <c r="S139" s="93"/>
      <c r="T139" s="94"/>
      <c r="U139" s="96">
        <v>0</v>
      </c>
      <c r="V139" s="97"/>
      <c r="W139" s="97"/>
      <c r="X139" s="97"/>
      <c r="Y139" s="98"/>
      <c r="Z139" s="96">
        <v>0</v>
      </c>
      <c r="AA139" s="97"/>
      <c r="AB139" s="97"/>
      <c r="AC139" s="97"/>
      <c r="AD139" s="98"/>
      <c r="AE139" s="96">
        <v>0</v>
      </c>
      <c r="AF139" s="97"/>
      <c r="AG139" s="97"/>
      <c r="AH139" s="98"/>
      <c r="AI139" s="96">
        <f>IF(ISNUMBER(U139),U139,0)+IF(ISNUMBER(Z139),Z139,0)</f>
        <v>0</v>
      </c>
      <c r="AJ139" s="97"/>
      <c r="AK139" s="97"/>
      <c r="AL139" s="97"/>
      <c r="AM139" s="98"/>
      <c r="AN139" s="96">
        <v>0</v>
      </c>
      <c r="AO139" s="97"/>
      <c r="AP139" s="97"/>
      <c r="AQ139" s="97"/>
      <c r="AR139" s="98"/>
      <c r="AS139" s="96">
        <v>0</v>
      </c>
      <c r="AT139" s="97"/>
      <c r="AU139" s="97"/>
      <c r="AV139" s="97"/>
      <c r="AW139" s="98"/>
      <c r="AX139" s="96">
        <v>0</v>
      </c>
      <c r="AY139" s="97"/>
      <c r="AZ139" s="97"/>
      <c r="BA139" s="98"/>
      <c r="BB139" s="96">
        <f>IF(ISNUMBER(AN139),AN139,0)+IF(ISNUMBER(AS139),AS139,0)</f>
        <v>0</v>
      </c>
      <c r="BC139" s="97"/>
      <c r="BD139" s="97"/>
      <c r="BE139" s="97"/>
      <c r="BF139" s="98"/>
      <c r="BG139" s="96">
        <v>0</v>
      </c>
      <c r="BH139" s="97"/>
      <c r="BI139" s="97"/>
      <c r="BJ139" s="97"/>
      <c r="BK139" s="98"/>
      <c r="BL139" s="96">
        <v>0</v>
      </c>
      <c r="BM139" s="97"/>
      <c r="BN139" s="97"/>
      <c r="BO139" s="97"/>
      <c r="BP139" s="98"/>
      <c r="BQ139" s="96">
        <v>0</v>
      </c>
      <c r="BR139" s="97"/>
      <c r="BS139" s="97"/>
      <c r="BT139" s="98"/>
      <c r="BU139" s="96">
        <f>IF(ISNUMBER(BG139),BG139,0)+IF(ISNUMBER(BL139),BL139,0)</f>
        <v>0</v>
      </c>
      <c r="BV139" s="97"/>
      <c r="BW139" s="97"/>
      <c r="BX139" s="97"/>
      <c r="BY139" s="98"/>
    </row>
    <row r="140" spans="1:77" s="99" customFormat="1" ht="12.75" customHeight="1" x14ac:dyDescent="0.2">
      <c r="A140" s="89">
        <v>19</v>
      </c>
      <c r="B140" s="90"/>
      <c r="C140" s="90"/>
      <c r="D140" s="92" t="s">
        <v>208</v>
      </c>
      <c r="E140" s="93"/>
      <c r="F140" s="93"/>
      <c r="G140" s="93"/>
      <c r="H140" s="93"/>
      <c r="I140" s="93"/>
      <c r="J140" s="93"/>
      <c r="K140" s="93"/>
      <c r="L140" s="93"/>
      <c r="M140" s="93"/>
      <c r="N140" s="93"/>
      <c r="O140" s="93"/>
      <c r="P140" s="93"/>
      <c r="Q140" s="93"/>
      <c r="R140" s="93"/>
      <c r="S140" s="93"/>
      <c r="T140" s="94"/>
      <c r="U140" s="96">
        <v>0</v>
      </c>
      <c r="V140" s="97"/>
      <c r="W140" s="97"/>
      <c r="X140" s="97"/>
      <c r="Y140" s="98"/>
      <c r="Z140" s="96">
        <v>0</v>
      </c>
      <c r="AA140" s="97"/>
      <c r="AB140" s="97"/>
      <c r="AC140" s="97"/>
      <c r="AD140" s="98"/>
      <c r="AE140" s="96">
        <v>0</v>
      </c>
      <c r="AF140" s="97"/>
      <c r="AG140" s="97"/>
      <c r="AH140" s="98"/>
      <c r="AI140" s="96">
        <f>IF(ISNUMBER(U140),U140,0)+IF(ISNUMBER(Z140),Z140,0)</f>
        <v>0</v>
      </c>
      <c r="AJ140" s="97"/>
      <c r="AK140" s="97"/>
      <c r="AL140" s="97"/>
      <c r="AM140" s="98"/>
      <c r="AN140" s="96">
        <v>108900</v>
      </c>
      <c r="AO140" s="97"/>
      <c r="AP140" s="97"/>
      <c r="AQ140" s="97"/>
      <c r="AR140" s="98"/>
      <c r="AS140" s="96">
        <v>0</v>
      </c>
      <c r="AT140" s="97"/>
      <c r="AU140" s="97"/>
      <c r="AV140" s="97"/>
      <c r="AW140" s="98"/>
      <c r="AX140" s="96">
        <v>0</v>
      </c>
      <c r="AY140" s="97"/>
      <c r="AZ140" s="97"/>
      <c r="BA140" s="98"/>
      <c r="BB140" s="96">
        <f>IF(ISNUMBER(AN140),AN140,0)+IF(ISNUMBER(AS140),AS140,0)</f>
        <v>108900</v>
      </c>
      <c r="BC140" s="97"/>
      <c r="BD140" s="97"/>
      <c r="BE140" s="97"/>
      <c r="BF140" s="98"/>
      <c r="BG140" s="96">
        <v>178142</v>
      </c>
      <c r="BH140" s="97"/>
      <c r="BI140" s="97"/>
      <c r="BJ140" s="97"/>
      <c r="BK140" s="98"/>
      <c r="BL140" s="96">
        <v>0</v>
      </c>
      <c r="BM140" s="97"/>
      <c r="BN140" s="97"/>
      <c r="BO140" s="97"/>
      <c r="BP140" s="98"/>
      <c r="BQ140" s="96">
        <v>0</v>
      </c>
      <c r="BR140" s="97"/>
      <c r="BS140" s="97"/>
      <c r="BT140" s="98"/>
      <c r="BU140" s="96">
        <f>IF(ISNUMBER(BG140),BG140,0)+IF(ISNUMBER(BL140),BL140,0)</f>
        <v>178142</v>
      </c>
      <c r="BV140" s="97"/>
      <c r="BW140" s="97"/>
      <c r="BX140" s="97"/>
      <c r="BY140" s="98"/>
    </row>
    <row r="141" spans="1:77" s="99" customFormat="1" ht="12.75" customHeight="1" x14ac:dyDescent="0.2">
      <c r="A141" s="89">
        <v>20</v>
      </c>
      <c r="B141" s="90"/>
      <c r="C141" s="90"/>
      <c r="D141" s="92" t="s">
        <v>209</v>
      </c>
      <c r="E141" s="93"/>
      <c r="F141" s="93"/>
      <c r="G141" s="93"/>
      <c r="H141" s="93"/>
      <c r="I141" s="93"/>
      <c r="J141" s="93"/>
      <c r="K141" s="93"/>
      <c r="L141" s="93"/>
      <c r="M141" s="93"/>
      <c r="N141" s="93"/>
      <c r="O141" s="93"/>
      <c r="P141" s="93"/>
      <c r="Q141" s="93"/>
      <c r="R141" s="93"/>
      <c r="S141" s="93"/>
      <c r="T141" s="94"/>
      <c r="U141" s="96">
        <v>344772</v>
      </c>
      <c r="V141" s="97"/>
      <c r="W141" s="97"/>
      <c r="X141" s="97"/>
      <c r="Y141" s="98"/>
      <c r="Z141" s="96">
        <v>0</v>
      </c>
      <c r="AA141" s="97"/>
      <c r="AB141" s="97"/>
      <c r="AC141" s="97"/>
      <c r="AD141" s="98"/>
      <c r="AE141" s="96">
        <v>0</v>
      </c>
      <c r="AF141" s="97"/>
      <c r="AG141" s="97"/>
      <c r="AH141" s="98"/>
      <c r="AI141" s="96">
        <f>IF(ISNUMBER(U141),U141,0)+IF(ISNUMBER(Z141),Z141,0)</f>
        <v>344772</v>
      </c>
      <c r="AJ141" s="97"/>
      <c r="AK141" s="97"/>
      <c r="AL141" s="97"/>
      <c r="AM141" s="98"/>
      <c r="AN141" s="96">
        <v>285720</v>
      </c>
      <c r="AO141" s="97"/>
      <c r="AP141" s="97"/>
      <c r="AQ141" s="97"/>
      <c r="AR141" s="98"/>
      <c r="AS141" s="96">
        <v>0</v>
      </c>
      <c r="AT141" s="97"/>
      <c r="AU141" s="97"/>
      <c r="AV141" s="97"/>
      <c r="AW141" s="98"/>
      <c r="AX141" s="96">
        <v>0</v>
      </c>
      <c r="AY141" s="97"/>
      <c r="AZ141" s="97"/>
      <c r="BA141" s="98"/>
      <c r="BB141" s="96">
        <f>IF(ISNUMBER(AN141),AN141,0)+IF(ISNUMBER(AS141),AS141,0)</f>
        <v>285720</v>
      </c>
      <c r="BC141" s="97"/>
      <c r="BD141" s="97"/>
      <c r="BE141" s="97"/>
      <c r="BF141" s="98"/>
      <c r="BG141" s="96">
        <v>227760</v>
      </c>
      <c r="BH141" s="97"/>
      <c r="BI141" s="97"/>
      <c r="BJ141" s="97"/>
      <c r="BK141" s="98"/>
      <c r="BL141" s="96">
        <v>0</v>
      </c>
      <c r="BM141" s="97"/>
      <c r="BN141" s="97"/>
      <c r="BO141" s="97"/>
      <c r="BP141" s="98"/>
      <c r="BQ141" s="96">
        <v>0</v>
      </c>
      <c r="BR141" s="97"/>
      <c r="BS141" s="97"/>
      <c r="BT141" s="98"/>
      <c r="BU141" s="96">
        <f>IF(ISNUMBER(BG141),BG141,0)+IF(ISNUMBER(BL141),BL141,0)</f>
        <v>227760</v>
      </c>
      <c r="BV141" s="97"/>
      <c r="BW141" s="97"/>
      <c r="BX141" s="97"/>
      <c r="BY141" s="98"/>
    </row>
    <row r="142" spans="1:77" s="99" customFormat="1" ht="12.75" customHeight="1" x14ac:dyDescent="0.2">
      <c r="A142" s="89">
        <v>21</v>
      </c>
      <c r="B142" s="90"/>
      <c r="C142" s="90"/>
      <c r="D142" s="92" t="s">
        <v>210</v>
      </c>
      <c r="E142" s="93"/>
      <c r="F142" s="93"/>
      <c r="G142" s="93"/>
      <c r="H142" s="93"/>
      <c r="I142" s="93"/>
      <c r="J142" s="93"/>
      <c r="K142" s="93"/>
      <c r="L142" s="93"/>
      <c r="M142" s="93"/>
      <c r="N142" s="93"/>
      <c r="O142" s="93"/>
      <c r="P142" s="93"/>
      <c r="Q142" s="93"/>
      <c r="R142" s="93"/>
      <c r="S142" s="93"/>
      <c r="T142" s="94"/>
      <c r="U142" s="96">
        <v>36000</v>
      </c>
      <c r="V142" s="97"/>
      <c r="W142" s="97"/>
      <c r="X142" s="97"/>
      <c r="Y142" s="98"/>
      <c r="Z142" s="96">
        <v>0</v>
      </c>
      <c r="AA142" s="97"/>
      <c r="AB142" s="97"/>
      <c r="AC142" s="97"/>
      <c r="AD142" s="98"/>
      <c r="AE142" s="96">
        <v>0</v>
      </c>
      <c r="AF142" s="97"/>
      <c r="AG142" s="97"/>
      <c r="AH142" s="98"/>
      <c r="AI142" s="96">
        <f>IF(ISNUMBER(U142),U142,0)+IF(ISNUMBER(Z142),Z142,0)</f>
        <v>36000</v>
      </c>
      <c r="AJ142" s="97"/>
      <c r="AK142" s="97"/>
      <c r="AL142" s="97"/>
      <c r="AM142" s="98"/>
      <c r="AN142" s="96">
        <v>36000</v>
      </c>
      <c r="AO142" s="97"/>
      <c r="AP142" s="97"/>
      <c r="AQ142" s="97"/>
      <c r="AR142" s="98"/>
      <c r="AS142" s="96">
        <v>0</v>
      </c>
      <c r="AT142" s="97"/>
      <c r="AU142" s="97"/>
      <c r="AV142" s="97"/>
      <c r="AW142" s="98"/>
      <c r="AX142" s="96">
        <v>0</v>
      </c>
      <c r="AY142" s="97"/>
      <c r="AZ142" s="97"/>
      <c r="BA142" s="98"/>
      <c r="BB142" s="96">
        <f>IF(ISNUMBER(AN142),AN142,0)+IF(ISNUMBER(AS142),AS142,0)</f>
        <v>36000</v>
      </c>
      <c r="BC142" s="97"/>
      <c r="BD142" s="97"/>
      <c r="BE142" s="97"/>
      <c r="BF142" s="98"/>
      <c r="BG142" s="96">
        <v>36000</v>
      </c>
      <c r="BH142" s="97"/>
      <c r="BI142" s="97"/>
      <c r="BJ142" s="97"/>
      <c r="BK142" s="98"/>
      <c r="BL142" s="96">
        <v>0</v>
      </c>
      <c r="BM142" s="97"/>
      <c r="BN142" s="97"/>
      <c r="BO142" s="97"/>
      <c r="BP142" s="98"/>
      <c r="BQ142" s="96">
        <v>0</v>
      </c>
      <c r="BR142" s="97"/>
      <c r="BS142" s="97"/>
      <c r="BT142" s="98"/>
      <c r="BU142" s="96">
        <f>IF(ISNUMBER(BG142),BG142,0)+IF(ISNUMBER(BL142),BL142,0)</f>
        <v>36000</v>
      </c>
      <c r="BV142" s="97"/>
      <c r="BW142" s="97"/>
      <c r="BX142" s="97"/>
      <c r="BY142" s="98"/>
    </row>
    <row r="143" spans="1:77" s="99" customFormat="1" ht="12.75" customHeight="1" x14ac:dyDescent="0.2">
      <c r="A143" s="89">
        <v>22</v>
      </c>
      <c r="B143" s="90"/>
      <c r="C143" s="90"/>
      <c r="D143" s="92" t="s">
        <v>211</v>
      </c>
      <c r="E143" s="93"/>
      <c r="F143" s="93"/>
      <c r="G143" s="93"/>
      <c r="H143" s="93"/>
      <c r="I143" s="93"/>
      <c r="J143" s="93"/>
      <c r="K143" s="93"/>
      <c r="L143" s="93"/>
      <c r="M143" s="93"/>
      <c r="N143" s="93"/>
      <c r="O143" s="93"/>
      <c r="P143" s="93"/>
      <c r="Q143" s="93"/>
      <c r="R143" s="93"/>
      <c r="S143" s="93"/>
      <c r="T143" s="94"/>
      <c r="U143" s="96">
        <v>40368</v>
      </c>
      <c r="V143" s="97"/>
      <c r="W143" s="97"/>
      <c r="X143" s="97"/>
      <c r="Y143" s="98"/>
      <c r="Z143" s="96">
        <v>0</v>
      </c>
      <c r="AA143" s="97"/>
      <c r="AB143" s="97"/>
      <c r="AC143" s="97"/>
      <c r="AD143" s="98"/>
      <c r="AE143" s="96">
        <v>0</v>
      </c>
      <c r="AF143" s="97"/>
      <c r="AG143" s="97"/>
      <c r="AH143" s="98"/>
      <c r="AI143" s="96">
        <f>IF(ISNUMBER(U143),U143,0)+IF(ISNUMBER(Z143),Z143,0)</f>
        <v>40368</v>
      </c>
      <c r="AJ143" s="97"/>
      <c r="AK143" s="97"/>
      <c r="AL143" s="97"/>
      <c r="AM143" s="98"/>
      <c r="AN143" s="96">
        <v>103168</v>
      </c>
      <c r="AO143" s="97"/>
      <c r="AP143" s="97"/>
      <c r="AQ143" s="97"/>
      <c r="AR143" s="98"/>
      <c r="AS143" s="96">
        <v>0</v>
      </c>
      <c r="AT143" s="97"/>
      <c r="AU143" s="97"/>
      <c r="AV143" s="97"/>
      <c r="AW143" s="98"/>
      <c r="AX143" s="96">
        <v>0</v>
      </c>
      <c r="AY143" s="97"/>
      <c r="AZ143" s="97"/>
      <c r="BA143" s="98"/>
      <c r="BB143" s="96">
        <f>IF(ISNUMBER(AN143),AN143,0)+IF(ISNUMBER(AS143),AS143,0)</f>
        <v>103168</v>
      </c>
      <c r="BC143" s="97"/>
      <c r="BD143" s="97"/>
      <c r="BE143" s="97"/>
      <c r="BF143" s="98"/>
      <c r="BG143" s="96">
        <v>16800</v>
      </c>
      <c r="BH143" s="97"/>
      <c r="BI143" s="97"/>
      <c r="BJ143" s="97"/>
      <c r="BK143" s="98"/>
      <c r="BL143" s="96">
        <v>0</v>
      </c>
      <c r="BM143" s="97"/>
      <c r="BN143" s="97"/>
      <c r="BO143" s="97"/>
      <c r="BP143" s="98"/>
      <c r="BQ143" s="96">
        <v>0</v>
      </c>
      <c r="BR143" s="97"/>
      <c r="BS143" s="97"/>
      <c r="BT143" s="98"/>
      <c r="BU143" s="96">
        <f>IF(ISNUMBER(BG143),BG143,0)+IF(ISNUMBER(BL143),BL143,0)</f>
        <v>16800</v>
      </c>
      <c r="BV143" s="97"/>
      <c r="BW143" s="97"/>
      <c r="BX143" s="97"/>
      <c r="BY143" s="98"/>
    </row>
    <row r="144" spans="1:77" s="99" customFormat="1" ht="25.5" customHeight="1" x14ac:dyDescent="0.2">
      <c r="A144" s="89">
        <v>23</v>
      </c>
      <c r="B144" s="90"/>
      <c r="C144" s="90"/>
      <c r="D144" s="92" t="s">
        <v>212</v>
      </c>
      <c r="E144" s="93"/>
      <c r="F144" s="93"/>
      <c r="G144" s="93"/>
      <c r="H144" s="93"/>
      <c r="I144" s="93"/>
      <c r="J144" s="93"/>
      <c r="K144" s="93"/>
      <c r="L144" s="93"/>
      <c r="M144" s="93"/>
      <c r="N144" s="93"/>
      <c r="O144" s="93"/>
      <c r="P144" s="93"/>
      <c r="Q144" s="93"/>
      <c r="R144" s="93"/>
      <c r="S144" s="93"/>
      <c r="T144" s="94"/>
      <c r="U144" s="96">
        <v>0</v>
      </c>
      <c r="V144" s="97"/>
      <c r="W144" s="97"/>
      <c r="X144" s="97"/>
      <c r="Y144" s="98"/>
      <c r="Z144" s="96">
        <v>0</v>
      </c>
      <c r="AA144" s="97"/>
      <c r="AB144" s="97"/>
      <c r="AC144" s="97"/>
      <c r="AD144" s="98"/>
      <c r="AE144" s="96">
        <v>0</v>
      </c>
      <c r="AF144" s="97"/>
      <c r="AG144" s="97"/>
      <c r="AH144" s="98"/>
      <c r="AI144" s="96">
        <f>IF(ISNUMBER(U144),U144,0)+IF(ISNUMBER(Z144),Z144,0)</f>
        <v>0</v>
      </c>
      <c r="AJ144" s="97"/>
      <c r="AK144" s="97"/>
      <c r="AL144" s="97"/>
      <c r="AM144" s="98"/>
      <c r="AN144" s="96">
        <v>0</v>
      </c>
      <c r="AO144" s="97"/>
      <c r="AP144" s="97"/>
      <c r="AQ144" s="97"/>
      <c r="AR144" s="98"/>
      <c r="AS144" s="96">
        <v>0</v>
      </c>
      <c r="AT144" s="97"/>
      <c r="AU144" s="97"/>
      <c r="AV144" s="97"/>
      <c r="AW144" s="98"/>
      <c r="AX144" s="96">
        <v>0</v>
      </c>
      <c r="AY144" s="97"/>
      <c r="AZ144" s="97"/>
      <c r="BA144" s="98"/>
      <c r="BB144" s="96">
        <f>IF(ISNUMBER(AN144),AN144,0)+IF(ISNUMBER(AS144),AS144,0)</f>
        <v>0</v>
      </c>
      <c r="BC144" s="97"/>
      <c r="BD144" s="97"/>
      <c r="BE144" s="97"/>
      <c r="BF144" s="98"/>
      <c r="BG144" s="96">
        <v>0</v>
      </c>
      <c r="BH144" s="97"/>
      <c r="BI144" s="97"/>
      <c r="BJ144" s="97"/>
      <c r="BK144" s="98"/>
      <c r="BL144" s="96">
        <v>0</v>
      </c>
      <c r="BM144" s="97"/>
      <c r="BN144" s="97"/>
      <c r="BO144" s="97"/>
      <c r="BP144" s="98"/>
      <c r="BQ144" s="96">
        <v>0</v>
      </c>
      <c r="BR144" s="97"/>
      <c r="BS144" s="97"/>
      <c r="BT144" s="98"/>
      <c r="BU144" s="96">
        <f>IF(ISNUMBER(BG144),BG144,0)+IF(ISNUMBER(BL144),BL144,0)</f>
        <v>0</v>
      </c>
      <c r="BV144" s="97"/>
      <c r="BW144" s="97"/>
      <c r="BX144" s="97"/>
      <c r="BY144" s="98"/>
    </row>
    <row r="145" spans="1:77" s="99" customFormat="1" ht="38.25" customHeight="1" x14ac:dyDescent="0.2">
      <c r="A145" s="89">
        <v>24</v>
      </c>
      <c r="B145" s="90"/>
      <c r="C145" s="90"/>
      <c r="D145" s="92" t="s">
        <v>213</v>
      </c>
      <c r="E145" s="93"/>
      <c r="F145" s="93"/>
      <c r="G145" s="93"/>
      <c r="H145" s="93"/>
      <c r="I145" s="93"/>
      <c r="J145" s="93"/>
      <c r="K145" s="93"/>
      <c r="L145" s="93"/>
      <c r="M145" s="93"/>
      <c r="N145" s="93"/>
      <c r="O145" s="93"/>
      <c r="P145" s="93"/>
      <c r="Q145" s="93"/>
      <c r="R145" s="93"/>
      <c r="S145" s="93"/>
      <c r="T145" s="94"/>
      <c r="U145" s="96">
        <v>0</v>
      </c>
      <c r="V145" s="97"/>
      <c r="W145" s="97"/>
      <c r="X145" s="97"/>
      <c r="Y145" s="98"/>
      <c r="Z145" s="96">
        <v>0</v>
      </c>
      <c r="AA145" s="97"/>
      <c r="AB145" s="97"/>
      <c r="AC145" s="97"/>
      <c r="AD145" s="98"/>
      <c r="AE145" s="96">
        <v>0</v>
      </c>
      <c r="AF145" s="97"/>
      <c r="AG145" s="97"/>
      <c r="AH145" s="98"/>
      <c r="AI145" s="96">
        <f>IF(ISNUMBER(U145),U145,0)+IF(ISNUMBER(Z145),Z145,0)</f>
        <v>0</v>
      </c>
      <c r="AJ145" s="97"/>
      <c r="AK145" s="97"/>
      <c r="AL145" s="97"/>
      <c r="AM145" s="98"/>
      <c r="AN145" s="96">
        <v>0</v>
      </c>
      <c r="AO145" s="97"/>
      <c r="AP145" s="97"/>
      <c r="AQ145" s="97"/>
      <c r="AR145" s="98"/>
      <c r="AS145" s="96">
        <v>0</v>
      </c>
      <c r="AT145" s="97"/>
      <c r="AU145" s="97"/>
      <c r="AV145" s="97"/>
      <c r="AW145" s="98"/>
      <c r="AX145" s="96">
        <v>0</v>
      </c>
      <c r="AY145" s="97"/>
      <c r="AZ145" s="97"/>
      <c r="BA145" s="98"/>
      <c r="BB145" s="96">
        <f>IF(ISNUMBER(AN145),AN145,0)+IF(ISNUMBER(AS145),AS145,0)</f>
        <v>0</v>
      </c>
      <c r="BC145" s="97"/>
      <c r="BD145" s="97"/>
      <c r="BE145" s="97"/>
      <c r="BF145" s="98"/>
      <c r="BG145" s="96">
        <v>0</v>
      </c>
      <c r="BH145" s="97"/>
      <c r="BI145" s="97"/>
      <c r="BJ145" s="97"/>
      <c r="BK145" s="98"/>
      <c r="BL145" s="96">
        <v>0</v>
      </c>
      <c r="BM145" s="97"/>
      <c r="BN145" s="97"/>
      <c r="BO145" s="97"/>
      <c r="BP145" s="98"/>
      <c r="BQ145" s="96">
        <v>0</v>
      </c>
      <c r="BR145" s="97"/>
      <c r="BS145" s="97"/>
      <c r="BT145" s="98"/>
      <c r="BU145" s="96">
        <f>IF(ISNUMBER(BG145),BG145,0)+IF(ISNUMBER(BL145),BL145,0)</f>
        <v>0</v>
      </c>
      <c r="BV145" s="97"/>
      <c r="BW145" s="97"/>
      <c r="BX145" s="97"/>
      <c r="BY145" s="98"/>
    </row>
    <row r="146" spans="1:77" s="99" customFormat="1" ht="12.75" customHeight="1" x14ac:dyDescent="0.2">
      <c r="A146" s="89">
        <v>25</v>
      </c>
      <c r="B146" s="90"/>
      <c r="C146" s="90"/>
      <c r="D146" s="92" t="s">
        <v>214</v>
      </c>
      <c r="E146" s="93"/>
      <c r="F146" s="93"/>
      <c r="G146" s="93"/>
      <c r="H146" s="93"/>
      <c r="I146" s="93"/>
      <c r="J146" s="93"/>
      <c r="K146" s="93"/>
      <c r="L146" s="93"/>
      <c r="M146" s="93"/>
      <c r="N146" s="93"/>
      <c r="O146" s="93"/>
      <c r="P146" s="93"/>
      <c r="Q146" s="93"/>
      <c r="R146" s="93"/>
      <c r="S146" s="93"/>
      <c r="T146" s="94"/>
      <c r="U146" s="96">
        <v>38455</v>
      </c>
      <c r="V146" s="97"/>
      <c r="W146" s="97"/>
      <c r="X146" s="97"/>
      <c r="Y146" s="98"/>
      <c r="Z146" s="96">
        <v>0</v>
      </c>
      <c r="AA146" s="97"/>
      <c r="AB146" s="97"/>
      <c r="AC146" s="97"/>
      <c r="AD146" s="98"/>
      <c r="AE146" s="96">
        <v>0</v>
      </c>
      <c r="AF146" s="97"/>
      <c r="AG146" s="97"/>
      <c r="AH146" s="98"/>
      <c r="AI146" s="96">
        <f>IF(ISNUMBER(U146),U146,0)+IF(ISNUMBER(Z146),Z146,0)</f>
        <v>38455</v>
      </c>
      <c r="AJ146" s="97"/>
      <c r="AK146" s="97"/>
      <c r="AL146" s="97"/>
      <c r="AM146" s="98"/>
      <c r="AN146" s="96">
        <v>34141</v>
      </c>
      <c r="AO146" s="97"/>
      <c r="AP146" s="97"/>
      <c r="AQ146" s="97"/>
      <c r="AR146" s="98"/>
      <c r="AS146" s="96">
        <v>0</v>
      </c>
      <c r="AT146" s="97"/>
      <c r="AU146" s="97"/>
      <c r="AV146" s="97"/>
      <c r="AW146" s="98"/>
      <c r="AX146" s="96">
        <v>0</v>
      </c>
      <c r="AY146" s="97"/>
      <c r="AZ146" s="97"/>
      <c r="BA146" s="98"/>
      <c r="BB146" s="96">
        <f>IF(ISNUMBER(AN146),AN146,0)+IF(ISNUMBER(AS146),AS146,0)</f>
        <v>34141</v>
      </c>
      <c r="BC146" s="97"/>
      <c r="BD146" s="97"/>
      <c r="BE146" s="97"/>
      <c r="BF146" s="98"/>
      <c r="BG146" s="96">
        <v>37557</v>
      </c>
      <c r="BH146" s="97"/>
      <c r="BI146" s="97"/>
      <c r="BJ146" s="97"/>
      <c r="BK146" s="98"/>
      <c r="BL146" s="96">
        <v>0</v>
      </c>
      <c r="BM146" s="97"/>
      <c r="BN146" s="97"/>
      <c r="BO146" s="97"/>
      <c r="BP146" s="98"/>
      <c r="BQ146" s="96">
        <v>0</v>
      </c>
      <c r="BR146" s="97"/>
      <c r="BS146" s="97"/>
      <c r="BT146" s="98"/>
      <c r="BU146" s="96">
        <f>IF(ISNUMBER(BG146),BG146,0)+IF(ISNUMBER(BL146),BL146,0)</f>
        <v>37557</v>
      </c>
      <c r="BV146" s="97"/>
      <c r="BW146" s="97"/>
      <c r="BX146" s="97"/>
      <c r="BY146" s="98"/>
    </row>
    <row r="147" spans="1:77" s="99" customFormat="1" ht="12.75" customHeight="1" x14ac:dyDescent="0.2">
      <c r="A147" s="89">
        <v>26</v>
      </c>
      <c r="B147" s="90"/>
      <c r="C147" s="90"/>
      <c r="D147" s="92" t="s">
        <v>215</v>
      </c>
      <c r="E147" s="93"/>
      <c r="F147" s="93"/>
      <c r="G147" s="93"/>
      <c r="H147" s="93"/>
      <c r="I147" s="93"/>
      <c r="J147" s="93"/>
      <c r="K147" s="93"/>
      <c r="L147" s="93"/>
      <c r="M147" s="93"/>
      <c r="N147" s="93"/>
      <c r="O147" s="93"/>
      <c r="P147" s="93"/>
      <c r="Q147" s="93"/>
      <c r="R147" s="93"/>
      <c r="S147" s="93"/>
      <c r="T147" s="94"/>
      <c r="U147" s="96">
        <v>0</v>
      </c>
      <c r="V147" s="97"/>
      <c r="W147" s="97"/>
      <c r="X147" s="97"/>
      <c r="Y147" s="98"/>
      <c r="Z147" s="96">
        <v>0</v>
      </c>
      <c r="AA147" s="97"/>
      <c r="AB147" s="97"/>
      <c r="AC147" s="97"/>
      <c r="AD147" s="98"/>
      <c r="AE147" s="96">
        <v>0</v>
      </c>
      <c r="AF147" s="97"/>
      <c r="AG147" s="97"/>
      <c r="AH147" s="98"/>
      <c r="AI147" s="96">
        <f>IF(ISNUMBER(U147),U147,0)+IF(ISNUMBER(Z147),Z147,0)</f>
        <v>0</v>
      </c>
      <c r="AJ147" s="97"/>
      <c r="AK147" s="97"/>
      <c r="AL147" s="97"/>
      <c r="AM147" s="98"/>
      <c r="AN147" s="96">
        <v>116470</v>
      </c>
      <c r="AO147" s="97"/>
      <c r="AP147" s="97"/>
      <c r="AQ147" s="97"/>
      <c r="AR147" s="98"/>
      <c r="AS147" s="96">
        <v>0</v>
      </c>
      <c r="AT147" s="97"/>
      <c r="AU147" s="97"/>
      <c r="AV147" s="97"/>
      <c r="AW147" s="98"/>
      <c r="AX147" s="96">
        <v>0</v>
      </c>
      <c r="AY147" s="97"/>
      <c r="AZ147" s="97"/>
      <c r="BA147" s="98"/>
      <c r="BB147" s="96">
        <f>IF(ISNUMBER(AN147),AN147,0)+IF(ISNUMBER(AS147),AS147,0)</f>
        <v>116470</v>
      </c>
      <c r="BC147" s="97"/>
      <c r="BD147" s="97"/>
      <c r="BE147" s="97"/>
      <c r="BF147" s="98"/>
      <c r="BG147" s="96">
        <v>133944</v>
      </c>
      <c r="BH147" s="97"/>
      <c r="BI147" s="97"/>
      <c r="BJ147" s="97"/>
      <c r="BK147" s="98"/>
      <c r="BL147" s="96">
        <v>0</v>
      </c>
      <c r="BM147" s="97"/>
      <c r="BN147" s="97"/>
      <c r="BO147" s="97"/>
      <c r="BP147" s="98"/>
      <c r="BQ147" s="96">
        <v>0</v>
      </c>
      <c r="BR147" s="97"/>
      <c r="BS147" s="97"/>
      <c r="BT147" s="98"/>
      <c r="BU147" s="96">
        <f>IF(ISNUMBER(BG147),BG147,0)+IF(ISNUMBER(BL147),BL147,0)</f>
        <v>133944</v>
      </c>
      <c r="BV147" s="97"/>
      <c r="BW147" s="97"/>
      <c r="BX147" s="97"/>
      <c r="BY147" s="98"/>
    </row>
    <row r="148" spans="1:77" s="99" customFormat="1" ht="25.5" customHeight="1" x14ac:dyDescent="0.2">
      <c r="A148" s="89">
        <v>27</v>
      </c>
      <c r="B148" s="90"/>
      <c r="C148" s="90"/>
      <c r="D148" s="92" t="s">
        <v>216</v>
      </c>
      <c r="E148" s="93"/>
      <c r="F148" s="93"/>
      <c r="G148" s="93"/>
      <c r="H148" s="93"/>
      <c r="I148" s="93"/>
      <c r="J148" s="93"/>
      <c r="K148" s="93"/>
      <c r="L148" s="93"/>
      <c r="M148" s="93"/>
      <c r="N148" s="93"/>
      <c r="O148" s="93"/>
      <c r="P148" s="93"/>
      <c r="Q148" s="93"/>
      <c r="R148" s="93"/>
      <c r="S148" s="93"/>
      <c r="T148" s="94"/>
      <c r="U148" s="96">
        <v>27000</v>
      </c>
      <c r="V148" s="97"/>
      <c r="W148" s="97"/>
      <c r="X148" s="97"/>
      <c r="Y148" s="98"/>
      <c r="Z148" s="96">
        <v>0</v>
      </c>
      <c r="AA148" s="97"/>
      <c r="AB148" s="97"/>
      <c r="AC148" s="97"/>
      <c r="AD148" s="98"/>
      <c r="AE148" s="96">
        <v>0</v>
      </c>
      <c r="AF148" s="97"/>
      <c r="AG148" s="97"/>
      <c r="AH148" s="98"/>
      <c r="AI148" s="96">
        <f>IF(ISNUMBER(U148),U148,0)+IF(ISNUMBER(Z148),Z148,0)</f>
        <v>27000</v>
      </c>
      <c r="AJ148" s="97"/>
      <c r="AK148" s="97"/>
      <c r="AL148" s="97"/>
      <c r="AM148" s="98"/>
      <c r="AN148" s="96">
        <v>27000</v>
      </c>
      <c r="AO148" s="97"/>
      <c r="AP148" s="97"/>
      <c r="AQ148" s="97"/>
      <c r="AR148" s="98"/>
      <c r="AS148" s="96">
        <v>0</v>
      </c>
      <c r="AT148" s="97"/>
      <c r="AU148" s="97"/>
      <c r="AV148" s="97"/>
      <c r="AW148" s="98"/>
      <c r="AX148" s="96">
        <v>0</v>
      </c>
      <c r="AY148" s="97"/>
      <c r="AZ148" s="97"/>
      <c r="BA148" s="98"/>
      <c r="BB148" s="96">
        <f>IF(ISNUMBER(AN148),AN148,0)+IF(ISNUMBER(AS148),AS148,0)</f>
        <v>27000</v>
      </c>
      <c r="BC148" s="97"/>
      <c r="BD148" s="97"/>
      <c r="BE148" s="97"/>
      <c r="BF148" s="98"/>
      <c r="BG148" s="96">
        <v>7200</v>
      </c>
      <c r="BH148" s="97"/>
      <c r="BI148" s="97"/>
      <c r="BJ148" s="97"/>
      <c r="BK148" s="98"/>
      <c r="BL148" s="96">
        <v>0</v>
      </c>
      <c r="BM148" s="97"/>
      <c r="BN148" s="97"/>
      <c r="BO148" s="97"/>
      <c r="BP148" s="98"/>
      <c r="BQ148" s="96">
        <v>0</v>
      </c>
      <c r="BR148" s="97"/>
      <c r="BS148" s="97"/>
      <c r="BT148" s="98"/>
      <c r="BU148" s="96">
        <f>IF(ISNUMBER(BG148),BG148,0)+IF(ISNUMBER(BL148),BL148,0)</f>
        <v>7200</v>
      </c>
      <c r="BV148" s="97"/>
      <c r="BW148" s="97"/>
      <c r="BX148" s="97"/>
      <c r="BY148" s="98"/>
    </row>
    <row r="149" spans="1:77" s="99" customFormat="1" ht="25.5" customHeight="1" x14ac:dyDescent="0.2">
      <c r="A149" s="89">
        <v>28</v>
      </c>
      <c r="B149" s="90"/>
      <c r="C149" s="90"/>
      <c r="D149" s="92" t="s">
        <v>217</v>
      </c>
      <c r="E149" s="93"/>
      <c r="F149" s="93"/>
      <c r="G149" s="93"/>
      <c r="H149" s="93"/>
      <c r="I149" s="93"/>
      <c r="J149" s="93"/>
      <c r="K149" s="93"/>
      <c r="L149" s="93"/>
      <c r="M149" s="93"/>
      <c r="N149" s="93"/>
      <c r="O149" s="93"/>
      <c r="P149" s="93"/>
      <c r="Q149" s="93"/>
      <c r="R149" s="93"/>
      <c r="S149" s="93"/>
      <c r="T149" s="94"/>
      <c r="U149" s="96">
        <v>0</v>
      </c>
      <c r="V149" s="97"/>
      <c r="W149" s="97"/>
      <c r="X149" s="97"/>
      <c r="Y149" s="98"/>
      <c r="Z149" s="96">
        <v>0</v>
      </c>
      <c r="AA149" s="97"/>
      <c r="AB149" s="97"/>
      <c r="AC149" s="97"/>
      <c r="AD149" s="98"/>
      <c r="AE149" s="96">
        <v>0</v>
      </c>
      <c r="AF149" s="97"/>
      <c r="AG149" s="97"/>
      <c r="AH149" s="98"/>
      <c r="AI149" s="96">
        <f>IF(ISNUMBER(U149),U149,0)+IF(ISNUMBER(Z149),Z149,0)</f>
        <v>0</v>
      </c>
      <c r="AJ149" s="97"/>
      <c r="AK149" s="97"/>
      <c r="AL149" s="97"/>
      <c r="AM149" s="98"/>
      <c r="AN149" s="96">
        <v>7821</v>
      </c>
      <c r="AO149" s="97"/>
      <c r="AP149" s="97"/>
      <c r="AQ149" s="97"/>
      <c r="AR149" s="98"/>
      <c r="AS149" s="96">
        <v>0</v>
      </c>
      <c r="AT149" s="97"/>
      <c r="AU149" s="97"/>
      <c r="AV149" s="97"/>
      <c r="AW149" s="98"/>
      <c r="AX149" s="96">
        <v>0</v>
      </c>
      <c r="AY149" s="97"/>
      <c r="AZ149" s="97"/>
      <c r="BA149" s="98"/>
      <c r="BB149" s="96">
        <f>IF(ISNUMBER(AN149),AN149,0)+IF(ISNUMBER(AS149),AS149,0)</f>
        <v>7821</v>
      </c>
      <c r="BC149" s="97"/>
      <c r="BD149" s="97"/>
      <c r="BE149" s="97"/>
      <c r="BF149" s="98"/>
      <c r="BG149" s="96">
        <v>7686</v>
      </c>
      <c r="BH149" s="97"/>
      <c r="BI149" s="97"/>
      <c r="BJ149" s="97"/>
      <c r="BK149" s="98"/>
      <c r="BL149" s="96">
        <v>0</v>
      </c>
      <c r="BM149" s="97"/>
      <c r="BN149" s="97"/>
      <c r="BO149" s="97"/>
      <c r="BP149" s="98"/>
      <c r="BQ149" s="96">
        <v>0</v>
      </c>
      <c r="BR149" s="97"/>
      <c r="BS149" s="97"/>
      <c r="BT149" s="98"/>
      <c r="BU149" s="96">
        <f>IF(ISNUMBER(BG149),BG149,0)+IF(ISNUMBER(BL149),BL149,0)</f>
        <v>7686</v>
      </c>
      <c r="BV149" s="97"/>
      <c r="BW149" s="97"/>
      <c r="BX149" s="97"/>
      <c r="BY149" s="98"/>
    </row>
    <row r="150" spans="1:77" s="99" customFormat="1" ht="12.75" customHeight="1" x14ac:dyDescent="0.2">
      <c r="A150" s="89">
        <v>29</v>
      </c>
      <c r="B150" s="90"/>
      <c r="C150" s="90"/>
      <c r="D150" s="92" t="s">
        <v>218</v>
      </c>
      <c r="E150" s="93"/>
      <c r="F150" s="93"/>
      <c r="G150" s="93"/>
      <c r="H150" s="93"/>
      <c r="I150" s="93"/>
      <c r="J150" s="93"/>
      <c r="K150" s="93"/>
      <c r="L150" s="93"/>
      <c r="M150" s="93"/>
      <c r="N150" s="93"/>
      <c r="O150" s="93"/>
      <c r="P150" s="93"/>
      <c r="Q150" s="93"/>
      <c r="R150" s="93"/>
      <c r="S150" s="93"/>
      <c r="T150" s="94"/>
      <c r="U150" s="96">
        <v>0</v>
      </c>
      <c r="V150" s="97"/>
      <c r="W150" s="97"/>
      <c r="X150" s="97"/>
      <c r="Y150" s="98"/>
      <c r="Z150" s="96">
        <v>0</v>
      </c>
      <c r="AA150" s="97"/>
      <c r="AB150" s="97"/>
      <c r="AC150" s="97"/>
      <c r="AD150" s="98"/>
      <c r="AE150" s="96">
        <v>0</v>
      </c>
      <c r="AF150" s="97"/>
      <c r="AG150" s="97"/>
      <c r="AH150" s="98"/>
      <c r="AI150" s="96">
        <f>IF(ISNUMBER(U150),U150,0)+IF(ISNUMBER(Z150),Z150,0)</f>
        <v>0</v>
      </c>
      <c r="AJ150" s="97"/>
      <c r="AK150" s="97"/>
      <c r="AL150" s="97"/>
      <c r="AM150" s="98"/>
      <c r="AN150" s="96">
        <v>184960</v>
      </c>
      <c r="AO150" s="97"/>
      <c r="AP150" s="97"/>
      <c r="AQ150" s="97"/>
      <c r="AR150" s="98"/>
      <c r="AS150" s="96">
        <v>0</v>
      </c>
      <c r="AT150" s="97"/>
      <c r="AU150" s="97"/>
      <c r="AV150" s="97"/>
      <c r="AW150" s="98"/>
      <c r="AX150" s="96">
        <v>0</v>
      </c>
      <c r="AY150" s="97"/>
      <c r="AZ150" s="97"/>
      <c r="BA150" s="98"/>
      <c r="BB150" s="96">
        <f>IF(ISNUMBER(AN150),AN150,0)+IF(ISNUMBER(AS150),AS150,0)</f>
        <v>184960</v>
      </c>
      <c r="BC150" s="97"/>
      <c r="BD150" s="97"/>
      <c r="BE150" s="97"/>
      <c r="BF150" s="98"/>
      <c r="BG150" s="96">
        <v>91014</v>
      </c>
      <c r="BH150" s="97"/>
      <c r="BI150" s="97"/>
      <c r="BJ150" s="97"/>
      <c r="BK150" s="98"/>
      <c r="BL150" s="96">
        <v>0</v>
      </c>
      <c r="BM150" s="97"/>
      <c r="BN150" s="97"/>
      <c r="BO150" s="97"/>
      <c r="BP150" s="98"/>
      <c r="BQ150" s="96">
        <v>0</v>
      </c>
      <c r="BR150" s="97"/>
      <c r="BS150" s="97"/>
      <c r="BT150" s="98"/>
      <c r="BU150" s="96">
        <f>IF(ISNUMBER(BG150),BG150,0)+IF(ISNUMBER(BL150),BL150,0)</f>
        <v>91014</v>
      </c>
      <c r="BV150" s="97"/>
      <c r="BW150" s="97"/>
      <c r="BX150" s="97"/>
      <c r="BY150" s="98"/>
    </row>
    <row r="151" spans="1:77" s="99" customFormat="1" ht="25.5" customHeight="1" x14ac:dyDescent="0.2">
      <c r="A151" s="89">
        <v>30</v>
      </c>
      <c r="B151" s="90"/>
      <c r="C151" s="90"/>
      <c r="D151" s="92" t="s">
        <v>219</v>
      </c>
      <c r="E151" s="93"/>
      <c r="F151" s="93"/>
      <c r="G151" s="93"/>
      <c r="H151" s="93"/>
      <c r="I151" s="93"/>
      <c r="J151" s="93"/>
      <c r="K151" s="93"/>
      <c r="L151" s="93"/>
      <c r="M151" s="93"/>
      <c r="N151" s="93"/>
      <c r="O151" s="93"/>
      <c r="P151" s="93"/>
      <c r="Q151" s="93"/>
      <c r="R151" s="93"/>
      <c r="S151" s="93"/>
      <c r="T151" s="94"/>
      <c r="U151" s="96">
        <v>0</v>
      </c>
      <c r="V151" s="97"/>
      <c r="W151" s="97"/>
      <c r="X151" s="97"/>
      <c r="Y151" s="98"/>
      <c r="Z151" s="96">
        <v>0</v>
      </c>
      <c r="AA151" s="97"/>
      <c r="AB151" s="97"/>
      <c r="AC151" s="97"/>
      <c r="AD151" s="98"/>
      <c r="AE151" s="96">
        <v>0</v>
      </c>
      <c r="AF151" s="97"/>
      <c r="AG151" s="97"/>
      <c r="AH151" s="98"/>
      <c r="AI151" s="96">
        <f>IF(ISNUMBER(U151),U151,0)+IF(ISNUMBER(Z151),Z151,0)</f>
        <v>0</v>
      </c>
      <c r="AJ151" s="97"/>
      <c r="AK151" s="97"/>
      <c r="AL151" s="97"/>
      <c r="AM151" s="98"/>
      <c r="AN151" s="96">
        <v>0</v>
      </c>
      <c r="AO151" s="97"/>
      <c r="AP151" s="97"/>
      <c r="AQ151" s="97"/>
      <c r="AR151" s="98"/>
      <c r="AS151" s="96">
        <v>0</v>
      </c>
      <c r="AT151" s="97"/>
      <c r="AU151" s="97"/>
      <c r="AV151" s="97"/>
      <c r="AW151" s="98"/>
      <c r="AX151" s="96">
        <v>0</v>
      </c>
      <c r="AY151" s="97"/>
      <c r="AZ151" s="97"/>
      <c r="BA151" s="98"/>
      <c r="BB151" s="96">
        <f>IF(ISNUMBER(AN151),AN151,0)+IF(ISNUMBER(AS151),AS151,0)</f>
        <v>0</v>
      </c>
      <c r="BC151" s="97"/>
      <c r="BD151" s="97"/>
      <c r="BE151" s="97"/>
      <c r="BF151" s="98"/>
      <c r="BG151" s="96">
        <v>0</v>
      </c>
      <c r="BH151" s="97"/>
      <c r="BI151" s="97"/>
      <c r="BJ151" s="97"/>
      <c r="BK151" s="98"/>
      <c r="BL151" s="96">
        <v>0</v>
      </c>
      <c r="BM151" s="97"/>
      <c r="BN151" s="97"/>
      <c r="BO151" s="97"/>
      <c r="BP151" s="98"/>
      <c r="BQ151" s="96">
        <v>0</v>
      </c>
      <c r="BR151" s="97"/>
      <c r="BS151" s="97"/>
      <c r="BT151" s="98"/>
      <c r="BU151" s="96">
        <f>IF(ISNUMBER(BG151),BG151,0)+IF(ISNUMBER(BL151),BL151,0)</f>
        <v>0</v>
      </c>
      <c r="BV151" s="97"/>
      <c r="BW151" s="97"/>
      <c r="BX151" s="97"/>
      <c r="BY151" s="98"/>
    </row>
    <row r="152" spans="1:77" s="99" customFormat="1" ht="12.75" customHeight="1" x14ac:dyDescent="0.2">
      <c r="A152" s="89">
        <v>31</v>
      </c>
      <c r="B152" s="90"/>
      <c r="C152" s="90"/>
      <c r="D152" s="92" t="s">
        <v>220</v>
      </c>
      <c r="E152" s="93"/>
      <c r="F152" s="93"/>
      <c r="G152" s="93"/>
      <c r="H152" s="93"/>
      <c r="I152" s="93"/>
      <c r="J152" s="93"/>
      <c r="K152" s="93"/>
      <c r="L152" s="93"/>
      <c r="M152" s="93"/>
      <c r="N152" s="93"/>
      <c r="O152" s="93"/>
      <c r="P152" s="93"/>
      <c r="Q152" s="93"/>
      <c r="R152" s="93"/>
      <c r="S152" s="93"/>
      <c r="T152" s="94"/>
      <c r="U152" s="96">
        <v>0</v>
      </c>
      <c r="V152" s="97"/>
      <c r="W152" s="97"/>
      <c r="X152" s="97"/>
      <c r="Y152" s="98"/>
      <c r="Z152" s="96">
        <v>0</v>
      </c>
      <c r="AA152" s="97"/>
      <c r="AB152" s="97"/>
      <c r="AC152" s="97"/>
      <c r="AD152" s="98"/>
      <c r="AE152" s="96">
        <v>0</v>
      </c>
      <c r="AF152" s="97"/>
      <c r="AG152" s="97"/>
      <c r="AH152" s="98"/>
      <c r="AI152" s="96">
        <f>IF(ISNUMBER(U152),U152,0)+IF(ISNUMBER(Z152),Z152,0)</f>
        <v>0</v>
      </c>
      <c r="AJ152" s="97"/>
      <c r="AK152" s="97"/>
      <c r="AL152" s="97"/>
      <c r="AM152" s="98"/>
      <c r="AN152" s="96">
        <v>0</v>
      </c>
      <c r="AO152" s="97"/>
      <c r="AP152" s="97"/>
      <c r="AQ152" s="97"/>
      <c r="AR152" s="98"/>
      <c r="AS152" s="96">
        <v>0</v>
      </c>
      <c r="AT152" s="97"/>
      <c r="AU152" s="97"/>
      <c r="AV152" s="97"/>
      <c r="AW152" s="98"/>
      <c r="AX152" s="96">
        <v>0</v>
      </c>
      <c r="AY152" s="97"/>
      <c r="AZ152" s="97"/>
      <c r="BA152" s="98"/>
      <c r="BB152" s="96">
        <f>IF(ISNUMBER(AN152),AN152,0)+IF(ISNUMBER(AS152),AS152,0)</f>
        <v>0</v>
      </c>
      <c r="BC152" s="97"/>
      <c r="BD152" s="97"/>
      <c r="BE152" s="97"/>
      <c r="BF152" s="98"/>
      <c r="BG152" s="96">
        <v>0</v>
      </c>
      <c r="BH152" s="97"/>
      <c r="BI152" s="97"/>
      <c r="BJ152" s="97"/>
      <c r="BK152" s="98"/>
      <c r="BL152" s="96">
        <v>0</v>
      </c>
      <c r="BM152" s="97"/>
      <c r="BN152" s="97"/>
      <c r="BO152" s="97"/>
      <c r="BP152" s="98"/>
      <c r="BQ152" s="96">
        <v>0</v>
      </c>
      <c r="BR152" s="97"/>
      <c r="BS152" s="97"/>
      <c r="BT152" s="98"/>
      <c r="BU152" s="96">
        <f>IF(ISNUMBER(BG152),BG152,0)+IF(ISNUMBER(BL152),BL152,0)</f>
        <v>0</v>
      </c>
      <c r="BV152" s="97"/>
      <c r="BW152" s="97"/>
      <c r="BX152" s="97"/>
      <c r="BY152" s="98"/>
    </row>
    <row r="153" spans="1:77" s="99" customFormat="1" ht="12.75" customHeight="1" x14ac:dyDescent="0.2">
      <c r="A153" s="89">
        <v>32</v>
      </c>
      <c r="B153" s="90"/>
      <c r="C153" s="90"/>
      <c r="D153" s="92" t="s">
        <v>221</v>
      </c>
      <c r="E153" s="93"/>
      <c r="F153" s="93"/>
      <c r="G153" s="93"/>
      <c r="H153" s="93"/>
      <c r="I153" s="93"/>
      <c r="J153" s="93"/>
      <c r="K153" s="93"/>
      <c r="L153" s="93"/>
      <c r="M153" s="93"/>
      <c r="N153" s="93"/>
      <c r="O153" s="93"/>
      <c r="P153" s="93"/>
      <c r="Q153" s="93"/>
      <c r="R153" s="93"/>
      <c r="S153" s="93"/>
      <c r="T153" s="94"/>
      <c r="U153" s="96">
        <v>104291</v>
      </c>
      <c r="V153" s="97"/>
      <c r="W153" s="97"/>
      <c r="X153" s="97"/>
      <c r="Y153" s="98"/>
      <c r="Z153" s="96">
        <v>0</v>
      </c>
      <c r="AA153" s="97"/>
      <c r="AB153" s="97"/>
      <c r="AC153" s="97"/>
      <c r="AD153" s="98"/>
      <c r="AE153" s="96">
        <v>0</v>
      </c>
      <c r="AF153" s="97"/>
      <c r="AG153" s="97"/>
      <c r="AH153" s="98"/>
      <c r="AI153" s="96">
        <f>IF(ISNUMBER(U153),U153,0)+IF(ISNUMBER(Z153),Z153,0)</f>
        <v>104291</v>
      </c>
      <c r="AJ153" s="97"/>
      <c r="AK153" s="97"/>
      <c r="AL153" s="97"/>
      <c r="AM153" s="98"/>
      <c r="AN153" s="96">
        <v>128593</v>
      </c>
      <c r="AO153" s="97"/>
      <c r="AP153" s="97"/>
      <c r="AQ153" s="97"/>
      <c r="AR153" s="98"/>
      <c r="AS153" s="96">
        <v>0</v>
      </c>
      <c r="AT153" s="97"/>
      <c r="AU153" s="97"/>
      <c r="AV153" s="97"/>
      <c r="AW153" s="98"/>
      <c r="AX153" s="96">
        <v>0</v>
      </c>
      <c r="AY153" s="97"/>
      <c r="AZ153" s="97"/>
      <c r="BA153" s="98"/>
      <c r="BB153" s="96">
        <f>IF(ISNUMBER(AN153),AN153,0)+IF(ISNUMBER(AS153),AS153,0)</f>
        <v>128593</v>
      </c>
      <c r="BC153" s="97"/>
      <c r="BD153" s="97"/>
      <c r="BE153" s="97"/>
      <c r="BF153" s="98"/>
      <c r="BG153" s="96">
        <v>111877</v>
      </c>
      <c r="BH153" s="97"/>
      <c r="BI153" s="97"/>
      <c r="BJ153" s="97"/>
      <c r="BK153" s="98"/>
      <c r="BL153" s="96">
        <v>0</v>
      </c>
      <c r="BM153" s="97"/>
      <c r="BN153" s="97"/>
      <c r="BO153" s="97"/>
      <c r="BP153" s="98"/>
      <c r="BQ153" s="96">
        <v>0</v>
      </c>
      <c r="BR153" s="97"/>
      <c r="BS153" s="97"/>
      <c r="BT153" s="98"/>
      <c r="BU153" s="96">
        <f>IF(ISNUMBER(BG153),BG153,0)+IF(ISNUMBER(BL153),BL153,0)</f>
        <v>111877</v>
      </c>
      <c r="BV153" s="97"/>
      <c r="BW153" s="97"/>
      <c r="BX153" s="97"/>
      <c r="BY153" s="98"/>
    </row>
    <row r="154" spans="1:77" s="99" customFormat="1" ht="12.75" customHeight="1" x14ac:dyDescent="0.2">
      <c r="A154" s="89">
        <v>33</v>
      </c>
      <c r="B154" s="90"/>
      <c r="C154" s="90"/>
      <c r="D154" s="92" t="s">
        <v>222</v>
      </c>
      <c r="E154" s="93"/>
      <c r="F154" s="93"/>
      <c r="G154" s="93"/>
      <c r="H154" s="93"/>
      <c r="I154" s="93"/>
      <c r="J154" s="93"/>
      <c r="K154" s="93"/>
      <c r="L154" s="93"/>
      <c r="M154" s="93"/>
      <c r="N154" s="93"/>
      <c r="O154" s="93"/>
      <c r="P154" s="93"/>
      <c r="Q154" s="93"/>
      <c r="R154" s="93"/>
      <c r="S154" s="93"/>
      <c r="T154" s="94"/>
      <c r="U154" s="96">
        <v>0</v>
      </c>
      <c r="V154" s="97"/>
      <c r="W154" s="97"/>
      <c r="X154" s="97"/>
      <c r="Y154" s="98"/>
      <c r="Z154" s="96">
        <v>0</v>
      </c>
      <c r="AA154" s="97"/>
      <c r="AB154" s="97"/>
      <c r="AC154" s="97"/>
      <c r="AD154" s="98"/>
      <c r="AE154" s="96">
        <v>0</v>
      </c>
      <c r="AF154" s="97"/>
      <c r="AG154" s="97"/>
      <c r="AH154" s="98"/>
      <c r="AI154" s="96">
        <f>IF(ISNUMBER(U154),U154,0)+IF(ISNUMBER(Z154),Z154,0)</f>
        <v>0</v>
      </c>
      <c r="AJ154" s="97"/>
      <c r="AK154" s="97"/>
      <c r="AL154" s="97"/>
      <c r="AM154" s="98"/>
      <c r="AN154" s="96">
        <v>0</v>
      </c>
      <c r="AO154" s="97"/>
      <c r="AP154" s="97"/>
      <c r="AQ154" s="97"/>
      <c r="AR154" s="98"/>
      <c r="AS154" s="96">
        <v>0</v>
      </c>
      <c r="AT154" s="97"/>
      <c r="AU154" s="97"/>
      <c r="AV154" s="97"/>
      <c r="AW154" s="98"/>
      <c r="AX154" s="96">
        <v>0</v>
      </c>
      <c r="AY154" s="97"/>
      <c r="AZ154" s="97"/>
      <c r="BA154" s="98"/>
      <c r="BB154" s="96">
        <f>IF(ISNUMBER(AN154),AN154,0)+IF(ISNUMBER(AS154),AS154,0)</f>
        <v>0</v>
      </c>
      <c r="BC154" s="97"/>
      <c r="BD154" s="97"/>
      <c r="BE154" s="97"/>
      <c r="BF154" s="98"/>
      <c r="BG154" s="96">
        <v>0</v>
      </c>
      <c r="BH154" s="97"/>
      <c r="BI154" s="97"/>
      <c r="BJ154" s="97"/>
      <c r="BK154" s="98"/>
      <c r="BL154" s="96">
        <v>0</v>
      </c>
      <c r="BM154" s="97"/>
      <c r="BN154" s="97"/>
      <c r="BO154" s="97"/>
      <c r="BP154" s="98"/>
      <c r="BQ154" s="96">
        <v>0</v>
      </c>
      <c r="BR154" s="97"/>
      <c r="BS154" s="97"/>
      <c r="BT154" s="98"/>
      <c r="BU154" s="96">
        <f>IF(ISNUMBER(BG154),BG154,0)+IF(ISNUMBER(BL154),BL154,0)</f>
        <v>0</v>
      </c>
      <c r="BV154" s="97"/>
      <c r="BW154" s="97"/>
      <c r="BX154" s="97"/>
      <c r="BY154" s="98"/>
    </row>
    <row r="155" spans="1:77" s="99" customFormat="1" ht="25.5" customHeight="1" x14ac:dyDescent="0.2">
      <c r="A155" s="89">
        <v>34</v>
      </c>
      <c r="B155" s="90"/>
      <c r="C155" s="90"/>
      <c r="D155" s="92" t="s">
        <v>223</v>
      </c>
      <c r="E155" s="93"/>
      <c r="F155" s="93"/>
      <c r="G155" s="93"/>
      <c r="H155" s="93"/>
      <c r="I155" s="93"/>
      <c r="J155" s="93"/>
      <c r="K155" s="93"/>
      <c r="L155" s="93"/>
      <c r="M155" s="93"/>
      <c r="N155" s="93"/>
      <c r="O155" s="93"/>
      <c r="P155" s="93"/>
      <c r="Q155" s="93"/>
      <c r="R155" s="93"/>
      <c r="S155" s="93"/>
      <c r="T155" s="94"/>
      <c r="U155" s="96">
        <v>8801</v>
      </c>
      <c r="V155" s="97"/>
      <c r="W155" s="97"/>
      <c r="X155" s="97"/>
      <c r="Y155" s="98"/>
      <c r="Z155" s="96">
        <v>0</v>
      </c>
      <c r="AA155" s="97"/>
      <c r="AB155" s="97"/>
      <c r="AC155" s="97"/>
      <c r="AD155" s="98"/>
      <c r="AE155" s="96">
        <v>0</v>
      </c>
      <c r="AF155" s="97"/>
      <c r="AG155" s="97"/>
      <c r="AH155" s="98"/>
      <c r="AI155" s="96">
        <f>IF(ISNUMBER(U155),U155,0)+IF(ISNUMBER(Z155),Z155,0)</f>
        <v>8801</v>
      </c>
      <c r="AJ155" s="97"/>
      <c r="AK155" s="97"/>
      <c r="AL155" s="97"/>
      <c r="AM155" s="98"/>
      <c r="AN155" s="96">
        <v>0</v>
      </c>
      <c r="AO155" s="97"/>
      <c r="AP155" s="97"/>
      <c r="AQ155" s="97"/>
      <c r="AR155" s="98"/>
      <c r="AS155" s="96">
        <v>0</v>
      </c>
      <c r="AT155" s="97"/>
      <c r="AU155" s="97"/>
      <c r="AV155" s="97"/>
      <c r="AW155" s="98"/>
      <c r="AX155" s="96">
        <v>0</v>
      </c>
      <c r="AY155" s="97"/>
      <c r="AZ155" s="97"/>
      <c r="BA155" s="98"/>
      <c r="BB155" s="96">
        <f>IF(ISNUMBER(AN155),AN155,0)+IF(ISNUMBER(AS155),AS155,0)</f>
        <v>0</v>
      </c>
      <c r="BC155" s="97"/>
      <c r="BD155" s="97"/>
      <c r="BE155" s="97"/>
      <c r="BF155" s="98"/>
      <c r="BG155" s="96">
        <v>0</v>
      </c>
      <c r="BH155" s="97"/>
      <c r="BI155" s="97"/>
      <c r="BJ155" s="97"/>
      <c r="BK155" s="98"/>
      <c r="BL155" s="96">
        <v>0</v>
      </c>
      <c r="BM155" s="97"/>
      <c r="BN155" s="97"/>
      <c r="BO155" s="97"/>
      <c r="BP155" s="98"/>
      <c r="BQ155" s="96">
        <v>0</v>
      </c>
      <c r="BR155" s="97"/>
      <c r="BS155" s="97"/>
      <c r="BT155" s="98"/>
      <c r="BU155" s="96">
        <f>IF(ISNUMBER(BG155),BG155,0)+IF(ISNUMBER(BL155),BL155,0)</f>
        <v>0</v>
      </c>
      <c r="BV155" s="97"/>
      <c r="BW155" s="97"/>
      <c r="BX155" s="97"/>
      <c r="BY155" s="98"/>
    </row>
    <row r="156" spans="1:77" s="99" customFormat="1" ht="12.75" customHeight="1" x14ac:dyDescent="0.2">
      <c r="A156" s="89">
        <v>35</v>
      </c>
      <c r="B156" s="90"/>
      <c r="C156" s="90"/>
      <c r="D156" s="92" t="s">
        <v>224</v>
      </c>
      <c r="E156" s="93"/>
      <c r="F156" s="93"/>
      <c r="G156" s="93"/>
      <c r="H156" s="93"/>
      <c r="I156" s="93"/>
      <c r="J156" s="93"/>
      <c r="K156" s="93"/>
      <c r="L156" s="93"/>
      <c r="M156" s="93"/>
      <c r="N156" s="93"/>
      <c r="O156" s="93"/>
      <c r="P156" s="93"/>
      <c r="Q156" s="93"/>
      <c r="R156" s="93"/>
      <c r="S156" s="93"/>
      <c r="T156" s="94"/>
      <c r="U156" s="96">
        <v>22474</v>
      </c>
      <c r="V156" s="97"/>
      <c r="W156" s="97"/>
      <c r="X156" s="97"/>
      <c r="Y156" s="98"/>
      <c r="Z156" s="96">
        <v>0</v>
      </c>
      <c r="AA156" s="97"/>
      <c r="AB156" s="97"/>
      <c r="AC156" s="97"/>
      <c r="AD156" s="98"/>
      <c r="AE156" s="96">
        <v>0</v>
      </c>
      <c r="AF156" s="97"/>
      <c r="AG156" s="97"/>
      <c r="AH156" s="98"/>
      <c r="AI156" s="96">
        <f>IF(ISNUMBER(U156),U156,0)+IF(ISNUMBER(Z156),Z156,0)</f>
        <v>22474</v>
      </c>
      <c r="AJ156" s="97"/>
      <c r="AK156" s="97"/>
      <c r="AL156" s="97"/>
      <c r="AM156" s="98"/>
      <c r="AN156" s="96">
        <v>0</v>
      </c>
      <c r="AO156" s="97"/>
      <c r="AP156" s="97"/>
      <c r="AQ156" s="97"/>
      <c r="AR156" s="98"/>
      <c r="AS156" s="96">
        <v>0</v>
      </c>
      <c r="AT156" s="97"/>
      <c r="AU156" s="97"/>
      <c r="AV156" s="97"/>
      <c r="AW156" s="98"/>
      <c r="AX156" s="96">
        <v>0</v>
      </c>
      <c r="AY156" s="97"/>
      <c r="AZ156" s="97"/>
      <c r="BA156" s="98"/>
      <c r="BB156" s="96">
        <f>IF(ISNUMBER(AN156),AN156,0)+IF(ISNUMBER(AS156),AS156,0)</f>
        <v>0</v>
      </c>
      <c r="BC156" s="97"/>
      <c r="BD156" s="97"/>
      <c r="BE156" s="97"/>
      <c r="BF156" s="98"/>
      <c r="BG156" s="96">
        <v>0</v>
      </c>
      <c r="BH156" s="97"/>
      <c r="BI156" s="97"/>
      <c r="BJ156" s="97"/>
      <c r="BK156" s="98"/>
      <c r="BL156" s="96">
        <v>0</v>
      </c>
      <c r="BM156" s="97"/>
      <c r="BN156" s="97"/>
      <c r="BO156" s="97"/>
      <c r="BP156" s="98"/>
      <c r="BQ156" s="96">
        <v>0</v>
      </c>
      <c r="BR156" s="97"/>
      <c r="BS156" s="97"/>
      <c r="BT156" s="98"/>
      <c r="BU156" s="96">
        <f>IF(ISNUMBER(BG156),BG156,0)+IF(ISNUMBER(BL156),BL156,0)</f>
        <v>0</v>
      </c>
      <c r="BV156" s="97"/>
      <c r="BW156" s="97"/>
      <c r="BX156" s="97"/>
      <c r="BY156" s="98"/>
    </row>
    <row r="157" spans="1:77" s="99" customFormat="1" ht="12.75" customHeight="1" x14ac:dyDescent="0.2">
      <c r="A157" s="89">
        <v>36</v>
      </c>
      <c r="B157" s="90"/>
      <c r="C157" s="90"/>
      <c r="D157" s="92" t="s">
        <v>225</v>
      </c>
      <c r="E157" s="93"/>
      <c r="F157" s="93"/>
      <c r="G157" s="93"/>
      <c r="H157" s="93"/>
      <c r="I157" s="93"/>
      <c r="J157" s="93"/>
      <c r="K157" s="93"/>
      <c r="L157" s="93"/>
      <c r="M157" s="93"/>
      <c r="N157" s="93"/>
      <c r="O157" s="93"/>
      <c r="P157" s="93"/>
      <c r="Q157" s="93"/>
      <c r="R157" s="93"/>
      <c r="S157" s="93"/>
      <c r="T157" s="94"/>
      <c r="U157" s="96">
        <v>0</v>
      </c>
      <c r="V157" s="97"/>
      <c r="W157" s="97"/>
      <c r="X157" s="97"/>
      <c r="Y157" s="98"/>
      <c r="Z157" s="96">
        <v>0</v>
      </c>
      <c r="AA157" s="97"/>
      <c r="AB157" s="97"/>
      <c r="AC157" s="97"/>
      <c r="AD157" s="98"/>
      <c r="AE157" s="96">
        <v>0</v>
      </c>
      <c r="AF157" s="97"/>
      <c r="AG157" s="97"/>
      <c r="AH157" s="98"/>
      <c r="AI157" s="96">
        <f>IF(ISNUMBER(U157),U157,0)+IF(ISNUMBER(Z157),Z157,0)</f>
        <v>0</v>
      </c>
      <c r="AJ157" s="97"/>
      <c r="AK157" s="97"/>
      <c r="AL157" s="97"/>
      <c r="AM157" s="98"/>
      <c r="AN157" s="96">
        <v>0</v>
      </c>
      <c r="AO157" s="97"/>
      <c r="AP157" s="97"/>
      <c r="AQ157" s="97"/>
      <c r="AR157" s="98"/>
      <c r="AS157" s="96">
        <v>0</v>
      </c>
      <c r="AT157" s="97"/>
      <c r="AU157" s="97"/>
      <c r="AV157" s="97"/>
      <c r="AW157" s="98"/>
      <c r="AX157" s="96">
        <v>0</v>
      </c>
      <c r="AY157" s="97"/>
      <c r="AZ157" s="97"/>
      <c r="BA157" s="98"/>
      <c r="BB157" s="96">
        <f>IF(ISNUMBER(AN157),AN157,0)+IF(ISNUMBER(AS157),AS157,0)</f>
        <v>0</v>
      </c>
      <c r="BC157" s="97"/>
      <c r="BD157" s="97"/>
      <c r="BE157" s="97"/>
      <c r="BF157" s="98"/>
      <c r="BG157" s="96">
        <v>0</v>
      </c>
      <c r="BH157" s="97"/>
      <c r="BI157" s="97"/>
      <c r="BJ157" s="97"/>
      <c r="BK157" s="98"/>
      <c r="BL157" s="96">
        <v>0</v>
      </c>
      <c r="BM157" s="97"/>
      <c r="BN157" s="97"/>
      <c r="BO157" s="97"/>
      <c r="BP157" s="98"/>
      <c r="BQ157" s="96">
        <v>0</v>
      </c>
      <c r="BR157" s="97"/>
      <c r="BS157" s="97"/>
      <c r="BT157" s="98"/>
      <c r="BU157" s="96">
        <f>IF(ISNUMBER(BG157),BG157,0)+IF(ISNUMBER(BL157),BL157,0)</f>
        <v>0</v>
      </c>
      <c r="BV157" s="97"/>
      <c r="BW157" s="97"/>
      <c r="BX157" s="97"/>
      <c r="BY157" s="98"/>
    </row>
    <row r="158" spans="1:77" s="99" customFormat="1" ht="12.75" customHeight="1" x14ac:dyDescent="0.2">
      <c r="A158" s="89">
        <v>37</v>
      </c>
      <c r="B158" s="90"/>
      <c r="C158" s="90"/>
      <c r="D158" s="92" t="s">
        <v>226</v>
      </c>
      <c r="E158" s="93"/>
      <c r="F158" s="93"/>
      <c r="G158" s="93"/>
      <c r="H158" s="93"/>
      <c r="I158" s="93"/>
      <c r="J158" s="93"/>
      <c r="K158" s="93"/>
      <c r="L158" s="93"/>
      <c r="M158" s="93"/>
      <c r="N158" s="93"/>
      <c r="O158" s="93"/>
      <c r="P158" s="93"/>
      <c r="Q158" s="93"/>
      <c r="R158" s="93"/>
      <c r="S158" s="93"/>
      <c r="T158" s="94"/>
      <c r="U158" s="96">
        <v>39000</v>
      </c>
      <c r="V158" s="97"/>
      <c r="W158" s="97"/>
      <c r="X158" s="97"/>
      <c r="Y158" s="98"/>
      <c r="Z158" s="96">
        <v>0</v>
      </c>
      <c r="AA158" s="97"/>
      <c r="AB158" s="97"/>
      <c r="AC158" s="97"/>
      <c r="AD158" s="98"/>
      <c r="AE158" s="96">
        <v>0</v>
      </c>
      <c r="AF158" s="97"/>
      <c r="AG158" s="97"/>
      <c r="AH158" s="98"/>
      <c r="AI158" s="96">
        <f>IF(ISNUMBER(U158),U158,0)+IF(ISNUMBER(Z158),Z158,0)</f>
        <v>39000</v>
      </c>
      <c r="AJ158" s="97"/>
      <c r="AK158" s="97"/>
      <c r="AL158" s="97"/>
      <c r="AM158" s="98"/>
      <c r="AN158" s="96">
        <v>0</v>
      </c>
      <c r="AO158" s="97"/>
      <c r="AP158" s="97"/>
      <c r="AQ158" s="97"/>
      <c r="AR158" s="98"/>
      <c r="AS158" s="96">
        <v>0</v>
      </c>
      <c r="AT158" s="97"/>
      <c r="AU158" s="97"/>
      <c r="AV158" s="97"/>
      <c r="AW158" s="98"/>
      <c r="AX158" s="96">
        <v>0</v>
      </c>
      <c r="AY158" s="97"/>
      <c r="AZ158" s="97"/>
      <c r="BA158" s="98"/>
      <c r="BB158" s="96">
        <f>IF(ISNUMBER(AN158),AN158,0)+IF(ISNUMBER(AS158),AS158,0)</f>
        <v>0</v>
      </c>
      <c r="BC158" s="97"/>
      <c r="BD158" s="97"/>
      <c r="BE158" s="97"/>
      <c r="BF158" s="98"/>
      <c r="BG158" s="96">
        <v>0</v>
      </c>
      <c r="BH158" s="97"/>
      <c r="BI158" s="97"/>
      <c r="BJ158" s="97"/>
      <c r="BK158" s="98"/>
      <c r="BL158" s="96">
        <v>0</v>
      </c>
      <c r="BM158" s="97"/>
      <c r="BN158" s="97"/>
      <c r="BO158" s="97"/>
      <c r="BP158" s="98"/>
      <c r="BQ158" s="96">
        <v>0</v>
      </c>
      <c r="BR158" s="97"/>
      <c r="BS158" s="97"/>
      <c r="BT158" s="98"/>
      <c r="BU158" s="96">
        <f>IF(ISNUMBER(BG158),BG158,0)+IF(ISNUMBER(BL158),BL158,0)</f>
        <v>0</v>
      </c>
      <c r="BV158" s="97"/>
      <c r="BW158" s="97"/>
      <c r="BX158" s="97"/>
      <c r="BY158" s="98"/>
    </row>
    <row r="159" spans="1:77" s="99" customFormat="1" ht="12.75" customHeight="1" x14ac:dyDescent="0.2">
      <c r="A159" s="89">
        <v>38</v>
      </c>
      <c r="B159" s="90"/>
      <c r="C159" s="90"/>
      <c r="D159" s="92" t="s">
        <v>227</v>
      </c>
      <c r="E159" s="93"/>
      <c r="F159" s="93"/>
      <c r="G159" s="93"/>
      <c r="H159" s="93"/>
      <c r="I159" s="93"/>
      <c r="J159" s="93"/>
      <c r="K159" s="93"/>
      <c r="L159" s="93"/>
      <c r="M159" s="93"/>
      <c r="N159" s="93"/>
      <c r="O159" s="93"/>
      <c r="P159" s="93"/>
      <c r="Q159" s="93"/>
      <c r="R159" s="93"/>
      <c r="S159" s="93"/>
      <c r="T159" s="94"/>
      <c r="U159" s="96">
        <v>0</v>
      </c>
      <c r="V159" s="97"/>
      <c r="W159" s="97"/>
      <c r="X159" s="97"/>
      <c r="Y159" s="98"/>
      <c r="Z159" s="96">
        <v>0</v>
      </c>
      <c r="AA159" s="97"/>
      <c r="AB159" s="97"/>
      <c r="AC159" s="97"/>
      <c r="AD159" s="98"/>
      <c r="AE159" s="96">
        <v>0</v>
      </c>
      <c r="AF159" s="97"/>
      <c r="AG159" s="97"/>
      <c r="AH159" s="98"/>
      <c r="AI159" s="96">
        <f>IF(ISNUMBER(U159),U159,0)+IF(ISNUMBER(Z159),Z159,0)</f>
        <v>0</v>
      </c>
      <c r="AJ159" s="97"/>
      <c r="AK159" s="97"/>
      <c r="AL159" s="97"/>
      <c r="AM159" s="98"/>
      <c r="AN159" s="96">
        <v>0</v>
      </c>
      <c r="AO159" s="97"/>
      <c r="AP159" s="97"/>
      <c r="AQ159" s="97"/>
      <c r="AR159" s="98"/>
      <c r="AS159" s="96">
        <v>0</v>
      </c>
      <c r="AT159" s="97"/>
      <c r="AU159" s="97"/>
      <c r="AV159" s="97"/>
      <c r="AW159" s="98"/>
      <c r="AX159" s="96">
        <v>0</v>
      </c>
      <c r="AY159" s="97"/>
      <c r="AZ159" s="97"/>
      <c r="BA159" s="98"/>
      <c r="BB159" s="96">
        <f>IF(ISNUMBER(AN159),AN159,0)+IF(ISNUMBER(AS159),AS159,0)</f>
        <v>0</v>
      </c>
      <c r="BC159" s="97"/>
      <c r="BD159" s="97"/>
      <c r="BE159" s="97"/>
      <c r="BF159" s="98"/>
      <c r="BG159" s="96">
        <v>0</v>
      </c>
      <c r="BH159" s="97"/>
      <c r="BI159" s="97"/>
      <c r="BJ159" s="97"/>
      <c r="BK159" s="98"/>
      <c r="BL159" s="96">
        <v>0</v>
      </c>
      <c r="BM159" s="97"/>
      <c r="BN159" s="97"/>
      <c r="BO159" s="97"/>
      <c r="BP159" s="98"/>
      <c r="BQ159" s="96">
        <v>0</v>
      </c>
      <c r="BR159" s="97"/>
      <c r="BS159" s="97"/>
      <c r="BT159" s="98"/>
      <c r="BU159" s="96">
        <f>IF(ISNUMBER(BG159),BG159,0)+IF(ISNUMBER(BL159),BL159,0)</f>
        <v>0</v>
      </c>
      <c r="BV159" s="97"/>
      <c r="BW159" s="97"/>
      <c r="BX159" s="97"/>
      <c r="BY159" s="98"/>
    </row>
    <row r="160" spans="1:77" s="99" customFormat="1" ht="25.5" customHeight="1" x14ac:dyDescent="0.2">
      <c r="A160" s="89">
        <v>39</v>
      </c>
      <c r="B160" s="90"/>
      <c r="C160" s="90"/>
      <c r="D160" s="92" t="s">
        <v>228</v>
      </c>
      <c r="E160" s="93"/>
      <c r="F160" s="93"/>
      <c r="G160" s="93"/>
      <c r="H160" s="93"/>
      <c r="I160" s="93"/>
      <c r="J160" s="93"/>
      <c r="K160" s="93"/>
      <c r="L160" s="93"/>
      <c r="M160" s="93"/>
      <c r="N160" s="93"/>
      <c r="O160" s="93"/>
      <c r="P160" s="93"/>
      <c r="Q160" s="93"/>
      <c r="R160" s="93"/>
      <c r="S160" s="93"/>
      <c r="T160" s="94"/>
      <c r="U160" s="96">
        <v>0</v>
      </c>
      <c r="V160" s="97"/>
      <c r="W160" s="97"/>
      <c r="X160" s="97"/>
      <c r="Y160" s="98"/>
      <c r="Z160" s="96">
        <v>0</v>
      </c>
      <c r="AA160" s="97"/>
      <c r="AB160" s="97"/>
      <c r="AC160" s="97"/>
      <c r="AD160" s="98"/>
      <c r="AE160" s="96">
        <v>0</v>
      </c>
      <c r="AF160" s="97"/>
      <c r="AG160" s="97"/>
      <c r="AH160" s="98"/>
      <c r="AI160" s="96">
        <f>IF(ISNUMBER(U160),U160,0)+IF(ISNUMBER(Z160),Z160,0)</f>
        <v>0</v>
      </c>
      <c r="AJ160" s="97"/>
      <c r="AK160" s="97"/>
      <c r="AL160" s="97"/>
      <c r="AM160" s="98"/>
      <c r="AN160" s="96">
        <v>0</v>
      </c>
      <c r="AO160" s="97"/>
      <c r="AP160" s="97"/>
      <c r="AQ160" s="97"/>
      <c r="AR160" s="98"/>
      <c r="AS160" s="96">
        <v>0</v>
      </c>
      <c r="AT160" s="97"/>
      <c r="AU160" s="97"/>
      <c r="AV160" s="97"/>
      <c r="AW160" s="98"/>
      <c r="AX160" s="96">
        <v>0</v>
      </c>
      <c r="AY160" s="97"/>
      <c r="AZ160" s="97"/>
      <c r="BA160" s="98"/>
      <c r="BB160" s="96">
        <f>IF(ISNUMBER(AN160),AN160,0)+IF(ISNUMBER(AS160),AS160,0)</f>
        <v>0</v>
      </c>
      <c r="BC160" s="97"/>
      <c r="BD160" s="97"/>
      <c r="BE160" s="97"/>
      <c r="BF160" s="98"/>
      <c r="BG160" s="96">
        <v>0</v>
      </c>
      <c r="BH160" s="97"/>
      <c r="BI160" s="97"/>
      <c r="BJ160" s="97"/>
      <c r="BK160" s="98"/>
      <c r="BL160" s="96">
        <v>0</v>
      </c>
      <c r="BM160" s="97"/>
      <c r="BN160" s="97"/>
      <c r="BO160" s="97"/>
      <c r="BP160" s="98"/>
      <c r="BQ160" s="96">
        <v>0</v>
      </c>
      <c r="BR160" s="97"/>
      <c r="BS160" s="97"/>
      <c r="BT160" s="98"/>
      <c r="BU160" s="96">
        <f>IF(ISNUMBER(BG160),BG160,0)+IF(ISNUMBER(BL160),BL160,0)</f>
        <v>0</v>
      </c>
      <c r="BV160" s="97"/>
      <c r="BW160" s="97"/>
      <c r="BX160" s="97"/>
      <c r="BY160" s="98"/>
    </row>
    <row r="161" spans="1:77" s="99" customFormat="1" ht="12.75" customHeight="1" x14ac:dyDescent="0.2">
      <c r="A161" s="89">
        <v>40</v>
      </c>
      <c r="B161" s="90"/>
      <c r="C161" s="90"/>
      <c r="D161" s="92" t="s">
        <v>229</v>
      </c>
      <c r="E161" s="93"/>
      <c r="F161" s="93"/>
      <c r="G161" s="93"/>
      <c r="H161" s="93"/>
      <c r="I161" s="93"/>
      <c r="J161" s="93"/>
      <c r="K161" s="93"/>
      <c r="L161" s="93"/>
      <c r="M161" s="93"/>
      <c r="N161" s="93"/>
      <c r="O161" s="93"/>
      <c r="P161" s="93"/>
      <c r="Q161" s="93"/>
      <c r="R161" s="93"/>
      <c r="S161" s="93"/>
      <c r="T161" s="94"/>
      <c r="U161" s="96">
        <v>0</v>
      </c>
      <c r="V161" s="97"/>
      <c r="W161" s="97"/>
      <c r="X161" s="97"/>
      <c r="Y161" s="98"/>
      <c r="Z161" s="96">
        <v>0</v>
      </c>
      <c r="AA161" s="97"/>
      <c r="AB161" s="97"/>
      <c r="AC161" s="97"/>
      <c r="AD161" s="98"/>
      <c r="AE161" s="96">
        <v>0</v>
      </c>
      <c r="AF161" s="97"/>
      <c r="AG161" s="97"/>
      <c r="AH161" s="98"/>
      <c r="AI161" s="96">
        <f>IF(ISNUMBER(U161),U161,0)+IF(ISNUMBER(Z161),Z161,0)</f>
        <v>0</v>
      </c>
      <c r="AJ161" s="97"/>
      <c r="AK161" s="97"/>
      <c r="AL161" s="97"/>
      <c r="AM161" s="98"/>
      <c r="AN161" s="96">
        <v>0</v>
      </c>
      <c r="AO161" s="97"/>
      <c r="AP161" s="97"/>
      <c r="AQ161" s="97"/>
      <c r="AR161" s="98"/>
      <c r="AS161" s="96">
        <v>0</v>
      </c>
      <c r="AT161" s="97"/>
      <c r="AU161" s="97"/>
      <c r="AV161" s="97"/>
      <c r="AW161" s="98"/>
      <c r="AX161" s="96">
        <v>0</v>
      </c>
      <c r="AY161" s="97"/>
      <c r="AZ161" s="97"/>
      <c r="BA161" s="98"/>
      <c r="BB161" s="96">
        <f>IF(ISNUMBER(AN161),AN161,0)+IF(ISNUMBER(AS161),AS161,0)</f>
        <v>0</v>
      </c>
      <c r="BC161" s="97"/>
      <c r="BD161" s="97"/>
      <c r="BE161" s="97"/>
      <c r="BF161" s="98"/>
      <c r="BG161" s="96">
        <v>0</v>
      </c>
      <c r="BH161" s="97"/>
      <c r="BI161" s="97"/>
      <c r="BJ161" s="97"/>
      <c r="BK161" s="98"/>
      <c r="BL161" s="96">
        <v>0</v>
      </c>
      <c r="BM161" s="97"/>
      <c r="BN161" s="97"/>
      <c r="BO161" s="97"/>
      <c r="BP161" s="98"/>
      <c r="BQ161" s="96">
        <v>0</v>
      </c>
      <c r="BR161" s="97"/>
      <c r="BS161" s="97"/>
      <c r="BT161" s="98"/>
      <c r="BU161" s="96">
        <f>IF(ISNUMBER(BG161),BG161,0)+IF(ISNUMBER(BL161),BL161,0)</f>
        <v>0</v>
      </c>
      <c r="BV161" s="97"/>
      <c r="BW161" s="97"/>
      <c r="BX161" s="97"/>
      <c r="BY161" s="98"/>
    </row>
    <row r="162" spans="1:77" s="99" customFormat="1" ht="12.75" customHeight="1" x14ac:dyDescent="0.2">
      <c r="A162" s="89">
        <v>41</v>
      </c>
      <c r="B162" s="90"/>
      <c r="C162" s="90"/>
      <c r="D162" s="92" t="s">
        <v>230</v>
      </c>
      <c r="E162" s="93"/>
      <c r="F162" s="93"/>
      <c r="G162" s="93"/>
      <c r="H162" s="93"/>
      <c r="I162" s="93"/>
      <c r="J162" s="93"/>
      <c r="K162" s="93"/>
      <c r="L162" s="93"/>
      <c r="M162" s="93"/>
      <c r="N162" s="93"/>
      <c r="O162" s="93"/>
      <c r="P162" s="93"/>
      <c r="Q162" s="93"/>
      <c r="R162" s="93"/>
      <c r="S162" s="93"/>
      <c r="T162" s="94"/>
      <c r="U162" s="96">
        <v>49000</v>
      </c>
      <c r="V162" s="97"/>
      <c r="W162" s="97"/>
      <c r="X162" s="97"/>
      <c r="Y162" s="98"/>
      <c r="Z162" s="96">
        <v>0</v>
      </c>
      <c r="AA162" s="97"/>
      <c r="AB162" s="97"/>
      <c r="AC162" s="97"/>
      <c r="AD162" s="98"/>
      <c r="AE162" s="96">
        <v>0</v>
      </c>
      <c r="AF162" s="97"/>
      <c r="AG162" s="97"/>
      <c r="AH162" s="98"/>
      <c r="AI162" s="96">
        <f>IF(ISNUMBER(U162),U162,0)+IF(ISNUMBER(Z162),Z162,0)</f>
        <v>49000</v>
      </c>
      <c r="AJ162" s="97"/>
      <c r="AK162" s="97"/>
      <c r="AL162" s="97"/>
      <c r="AM162" s="98"/>
      <c r="AN162" s="96">
        <v>0</v>
      </c>
      <c r="AO162" s="97"/>
      <c r="AP162" s="97"/>
      <c r="AQ162" s="97"/>
      <c r="AR162" s="98"/>
      <c r="AS162" s="96">
        <v>0</v>
      </c>
      <c r="AT162" s="97"/>
      <c r="AU162" s="97"/>
      <c r="AV162" s="97"/>
      <c r="AW162" s="98"/>
      <c r="AX162" s="96">
        <v>0</v>
      </c>
      <c r="AY162" s="97"/>
      <c r="AZ162" s="97"/>
      <c r="BA162" s="98"/>
      <c r="BB162" s="96">
        <f>IF(ISNUMBER(AN162),AN162,0)+IF(ISNUMBER(AS162),AS162,0)</f>
        <v>0</v>
      </c>
      <c r="BC162" s="97"/>
      <c r="BD162" s="97"/>
      <c r="BE162" s="97"/>
      <c r="BF162" s="98"/>
      <c r="BG162" s="96">
        <v>0</v>
      </c>
      <c r="BH162" s="97"/>
      <c r="BI162" s="97"/>
      <c r="BJ162" s="97"/>
      <c r="BK162" s="98"/>
      <c r="BL162" s="96">
        <v>0</v>
      </c>
      <c r="BM162" s="97"/>
      <c r="BN162" s="97"/>
      <c r="BO162" s="97"/>
      <c r="BP162" s="98"/>
      <c r="BQ162" s="96">
        <v>0</v>
      </c>
      <c r="BR162" s="97"/>
      <c r="BS162" s="97"/>
      <c r="BT162" s="98"/>
      <c r="BU162" s="96">
        <f>IF(ISNUMBER(BG162),BG162,0)+IF(ISNUMBER(BL162),BL162,0)</f>
        <v>0</v>
      </c>
      <c r="BV162" s="97"/>
      <c r="BW162" s="97"/>
      <c r="BX162" s="97"/>
      <c r="BY162" s="98"/>
    </row>
    <row r="163" spans="1:77" s="99" customFormat="1" ht="12.75" customHeight="1" x14ac:dyDescent="0.2">
      <c r="A163" s="89">
        <v>42</v>
      </c>
      <c r="B163" s="90"/>
      <c r="C163" s="90"/>
      <c r="D163" s="92" t="s">
        <v>231</v>
      </c>
      <c r="E163" s="93"/>
      <c r="F163" s="93"/>
      <c r="G163" s="93"/>
      <c r="H163" s="93"/>
      <c r="I163" s="93"/>
      <c r="J163" s="93"/>
      <c r="K163" s="93"/>
      <c r="L163" s="93"/>
      <c r="M163" s="93"/>
      <c r="N163" s="93"/>
      <c r="O163" s="93"/>
      <c r="P163" s="93"/>
      <c r="Q163" s="93"/>
      <c r="R163" s="93"/>
      <c r="S163" s="93"/>
      <c r="T163" s="94"/>
      <c r="U163" s="96">
        <v>18439</v>
      </c>
      <c r="V163" s="97"/>
      <c r="W163" s="97"/>
      <c r="X163" s="97"/>
      <c r="Y163" s="98"/>
      <c r="Z163" s="96">
        <v>0</v>
      </c>
      <c r="AA163" s="97"/>
      <c r="AB163" s="97"/>
      <c r="AC163" s="97"/>
      <c r="AD163" s="98"/>
      <c r="AE163" s="96">
        <v>0</v>
      </c>
      <c r="AF163" s="97"/>
      <c r="AG163" s="97"/>
      <c r="AH163" s="98"/>
      <c r="AI163" s="96">
        <f>IF(ISNUMBER(U163),U163,0)+IF(ISNUMBER(Z163),Z163,0)</f>
        <v>18439</v>
      </c>
      <c r="AJ163" s="97"/>
      <c r="AK163" s="97"/>
      <c r="AL163" s="97"/>
      <c r="AM163" s="98"/>
      <c r="AN163" s="96">
        <v>0</v>
      </c>
      <c r="AO163" s="97"/>
      <c r="AP163" s="97"/>
      <c r="AQ163" s="97"/>
      <c r="AR163" s="98"/>
      <c r="AS163" s="96">
        <v>0</v>
      </c>
      <c r="AT163" s="97"/>
      <c r="AU163" s="97"/>
      <c r="AV163" s="97"/>
      <c r="AW163" s="98"/>
      <c r="AX163" s="96">
        <v>0</v>
      </c>
      <c r="AY163" s="97"/>
      <c r="AZ163" s="97"/>
      <c r="BA163" s="98"/>
      <c r="BB163" s="96">
        <f>IF(ISNUMBER(AN163),AN163,0)+IF(ISNUMBER(AS163),AS163,0)</f>
        <v>0</v>
      </c>
      <c r="BC163" s="97"/>
      <c r="BD163" s="97"/>
      <c r="BE163" s="97"/>
      <c r="BF163" s="98"/>
      <c r="BG163" s="96">
        <v>0</v>
      </c>
      <c r="BH163" s="97"/>
      <c r="BI163" s="97"/>
      <c r="BJ163" s="97"/>
      <c r="BK163" s="98"/>
      <c r="BL163" s="96">
        <v>0</v>
      </c>
      <c r="BM163" s="97"/>
      <c r="BN163" s="97"/>
      <c r="BO163" s="97"/>
      <c r="BP163" s="98"/>
      <c r="BQ163" s="96">
        <v>0</v>
      </c>
      <c r="BR163" s="97"/>
      <c r="BS163" s="97"/>
      <c r="BT163" s="98"/>
      <c r="BU163" s="96">
        <f>IF(ISNUMBER(BG163),BG163,0)+IF(ISNUMBER(BL163),BL163,0)</f>
        <v>0</v>
      </c>
      <c r="BV163" s="97"/>
      <c r="BW163" s="97"/>
      <c r="BX163" s="97"/>
      <c r="BY163" s="98"/>
    </row>
    <row r="164" spans="1:77" s="99" customFormat="1" ht="12.75" customHeight="1" x14ac:dyDescent="0.2">
      <c r="A164" s="89">
        <v>43</v>
      </c>
      <c r="B164" s="90"/>
      <c r="C164" s="90"/>
      <c r="D164" s="92" t="s">
        <v>232</v>
      </c>
      <c r="E164" s="93"/>
      <c r="F164" s="93"/>
      <c r="G164" s="93"/>
      <c r="H164" s="93"/>
      <c r="I164" s="93"/>
      <c r="J164" s="93"/>
      <c r="K164" s="93"/>
      <c r="L164" s="93"/>
      <c r="M164" s="93"/>
      <c r="N164" s="93"/>
      <c r="O164" s="93"/>
      <c r="P164" s="93"/>
      <c r="Q164" s="93"/>
      <c r="R164" s="93"/>
      <c r="S164" s="93"/>
      <c r="T164" s="94"/>
      <c r="U164" s="96">
        <v>0</v>
      </c>
      <c r="V164" s="97"/>
      <c r="W164" s="97"/>
      <c r="X164" s="97"/>
      <c r="Y164" s="98"/>
      <c r="Z164" s="96">
        <v>0</v>
      </c>
      <c r="AA164" s="97"/>
      <c r="AB164" s="97"/>
      <c r="AC164" s="97"/>
      <c r="AD164" s="98"/>
      <c r="AE164" s="96">
        <v>0</v>
      </c>
      <c r="AF164" s="97"/>
      <c r="AG164" s="97"/>
      <c r="AH164" s="98"/>
      <c r="AI164" s="96">
        <f>IF(ISNUMBER(U164),U164,0)+IF(ISNUMBER(Z164),Z164,0)</f>
        <v>0</v>
      </c>
      <c r="AJ164" s="97"/>
      <c r="AK164" s="97"/>
      <c r="AL164" s="97"/>
      <c r="AM164" s="98"/>
      <c r="AN164" s="96">
        <v>0</v>
      </c>
      <c r="AO164" s="97"/>
      <c r="AP164" s="97"/>
      <c r="AQ164" s="97"/>
      <c r="AR164" s="98"/>
      <c r="AS164" s="96">
        <v>0</v>
      </c>
      <c r="AT164" s="97"/>
      <c r="AU164" s="97"/>
      <c r="AV164" s="97"/>
      <c r="AW164" s="98"/>
      <c r="AX164" s="96">
        <v>0</v>
      </c>
      <c r="AY164" s="97"/>
      <c r="AZ164" s="97"/>
      <c r="BA164" s="98"/>
      <c r="BB164" s="96">
        <f>IF(ISNUMBER(AN164),AN164,0)+IF(ISNUMBER(AS164),AS164,0)</f>
        <v>0</v>
      </c>
      <c r="BC164" s="97"/>
      <c r="BD164" s="97"/>
      <c r="BE164" s="97"/>
      <c r="BF164" s="98"/>
      <c r="BG164" s="96">
        <v>0</v>
      </c>
      <c r="BH164" s="97"/>
      <c r="BI164" s="97"/>
      <c r="BJ164" s="97"/>
      <c r="BK164" s="98"/>
      <c r="BL164" s="96">
        <v>0</v>
      </c>
      <c r="BM164" s="97"/>
      <c r="BN164" s="97"/>
      <c r="BO164" s="97"/>
      <c r="BP164" s="98"/>
      <c r="BQ164" s="96">
        <v>0</v>
      </c>
      <c r="BR164" s="97"/>
      <c r="BS164" s="97"/>
      <c r="BT164" s="98"/>
      <c r="BU164" s="96">
        <f>IF(ISNUMBER(BG164),BG164,0)+IF(ISNUMBER(BL164),BL164,0)</f>
        <v>0</v>
      </c>
      <c r="BV164" s="97"/>
      <c r="BW164" s="97"/>
      <c r="BX164" s="97"/>
      <c r="BY164" s="98"/>
    </row>
    <row r="165" spans="1:77" s="99" customFormat="1" ht="12.75" customHeight="1" x14ac:dyDescent="0.2">
      <c r="A165" s="89">
        <v>44</v>
      </c>
      <c r="B165" s="90"/>
      <c r="C165" s="90"/>
      <c r="D165" s="92" t="s">
        <v>233</v>
      </c>
      <c r="E165" s="93"/>
      <c r="F165" s="93"/>
      <c r="G165" s="93"/>
      <c r="H165" s="93"/>
      <c r="I165" s="93"/>
      <c r="J165" s="93"/>
      <c r="K165" s="93"/>
      <c r="L165" s="93"/>
      <c r="M165" s="93"/>
      <c r="N165" s="93"/>
      <c r="O165" s="93"/>
      <c r="P165" s="93"/>
      <c r="Q165" s="93"/>
      <c r="R165" s="93"/>
      <c r="S165" s="93"/>
      <c r="T165" s="94"/>
      <c r="U165" s="96">
        <v>908916</v>
      </c>
      <c r="V165" s="97"/>
      <c r="W165" s="97"/>
      <c r="X165" s="97"/>
      <c r="Y165" s="98"/>
      <c r="Z165" s="96">
        <v>0</v>
      </c>
      <c r="AA165" s="97"/>
      <c r="AB165" s="97"/>
      <c r="AC165" s="97"/>
      <c r="AD165" s="98"/>
      <c r="AE165" s="96">
        <v>0</v>
      </c>
      <c r="AF165" s="97"/>
      <c r="AG165" s="97"/>
      <c r="AH165" s="98"/>
      <c r="AI165" s="96">
        <f>IF(ISNUMBER(U165),U165,0)+IF(ISNUMBER(Z165),Z165,0)</f>
        <v>908916</v>
      </c>
      <c r="AJ165" s="97"/>
      <c r="AK165" s="97"/>
      <c r="AL165" s="97"/>
      <c r="AM165" s="98"/>
      <c r="AN165" s="96">
        <v>860400</v>
      </c>
      <c r="AO165" s="97"/>
      <c r="AP165" s="97"/>
      <c r="AQ165" s="97"/>
      <c r="AR165" s="98"/>
      <c r="AS165" s="96">
        <v>0</v>
      </c>
      <c r="AT165" s="97"/>
      <c r="AU165" s="97"/>
      <c r="AV165" s="97"/>
      <c r="AW165" s="98"/>
      <c r="AX165" s="96">
        <v>0</v>
      </c>
      <c r="AY165" s="97"/>
      <c r="AZ165" s="97"/>
      <c r="BA165" s="98"/>
      <c r="BB165" s="96">
        <f>IF(ISNUMBER(AN165),AN165,0)+IF(ISNUMBER(AS165),AS165,0)</f>
        <v>860400</v>
      </c>
      <c r="BC165" s="97"/>
      <c r="BD165" s="97"/>
      <c r="BE165" s="97"/>
      <c r="BF165" s="98"/>
      <c r="BG165" s="96">
        <v>860400</v>
      </c>
      <c r="BH165" s="97"/>
      <c r="BI165" s="97"/>
      <c r="BJ165" s="97"/>
      <c r="BK165" s="98"/>
      <c r="BL165" s="96">
        <v>0</v>
      </c>
      <c r="BM165" s="97"/>
      <c r="BN165" s="97"/>
      <c r="BO165" s="97"/>
      <c r="BP165" s="98"/>
      <c r="BQ165" s="96">
        <v>0</v>
      </c>
      <c r="BR165" s="97"/>
      <c r="BS165" s="97"/>
      <c r="BT165" s="98"/>
      <c r="BU165" s="96">
        <f>IF(ISNUMBER(BG165),BG165,0)+IF(ISNUMBER(BL165),BL165,0)</f>
        <v>860400</v>
      </c>
      <c r="BV165" s="97"/>
      <c r="BW165" s="97"/>
      <c r="BX165" s="97"/>
      <c r="BY165" s="98"/>
    </row>
    <row r="166" spans="1:77" s="99" customFormat="1" ht="51" customHeight="1" x14ac:dyDescent="0.2">
      <c r="A166" s="89">
        <v>45</v>
      </c>
      <c r="B166" s="90"/>
      <c r="C166" s="90"/>
      <c r="D166" s="92" t="s">
        <v>234</v>
      </c>
      <c r="E166" s="93"/>
      <c r="F166" s="93"/>
      <c r="G166" s="93"/>
      <c r="H166" s="93"/>
      <c r="I166" s="93"/>
      <c r="J166" s="93"/>
      <c r="K166" s="93"/>
      <c r="L166" s="93"/>
      <c r="M166" s="93"/>
      <c r="N166" s="93"/>
      <c r="O166" s="93"/>
      <c r="P166" s="93"/>
      <c r="Q166" s="93"/>
      <c r="R166" s="93"/>
      <c r="S166" s="93"/>
      <c r="T166" s="94"/>
      <c r="U166" s="96">
        <v>102502</v>
      </c>
      <c r="V166" s="97"/>
      <c r="W166" s="97"/>
      <c r="X166" s="97"/>
      <c r="Y166" s="98"/>
      <c r="Z166" s="96">
        <v>0</v>
      </c>
      <c r="AA166" s="97"/>
      <c r="AB166" s="97"/>
      <c r="AC166" s="97"/>
      <c r="AD166" s="98"/>
      <c r="AE166" s="96">
        <v>0</v>
      </c>
      <c r="AF166" s="97"/>
      <c r="AG166" s="97"/>
      <c r="AH166" s="98"/>
      <c r="AI166" s="96">
        <f>IF(ISNUMBER(U166),U166,0)+IF(ISNUMBER(Z166),Z166,0)</f>
        <v>102502</v>
      </c>
      <c r="AJ166" s="97"/>
      <c r="AK166" s="97"/>
      <c r="AL166" s="97"/>
      <c r="AM166" s="98"/>
      <c r="AN166" s="96">
        <v>395460</v>
      </c>
      <c r="AO166" s="97"/>
      <c r="AP166" s="97"/>
      <c r="AQ166" s="97"/>
      <c r="AR166" s="98"/>
      <c r="AS166" s="96">
        <v>0</v>
      </c>
      <c r="AT166" s="97"/>
      <c r="AU166" s="97"/>
      <c r="AV166" s="97"/>
      <c r="AW166" s="98"/>
      <c r="AX166" s="96">
        <v>0</v>
      </c>
      <c r="AY166" s="97"/>
      <c r="AZ166" s="97"/>
      <c r="BA166" s="98"/>
      <c r="BB166" s="96">
        <f>IF(ISNUMBER(AN166),AN166,0)+IF(ISNUMBER(AS166),AS166,0)</f>
        <v>395460</v>
      </c>
      <c r="BC166" s="97"/>
      <c r="BD166" s="97"/>
      <c r="BE166" s="97"/>
      <c r="BF166" s="98"/>
      <c r="BG166" s="96">
        <v>0</v>
      </c>
      <c r="BH166" s="97"/>
      <c r="BI166" s="97"/>
      <c r="BJ166" s="97"/>
      <c r="BK166" s="98"/>
      <c r="BL166" s="96">
        <v>0</v>
      </c>
      <c r="BM166" s="97"/>
      <c r="BN166" s="97"/>
      <c r="BO166" s="97"/>
      <c r="BP166" s="98"/>
      <c r="BQ166" s="96">
        <v>0</v>
      </c>
      <c r="BR166" s="97"/>
      <c r="BS166" s="97"/>
      <c r="BT166" s="98"/>
      <c r="BU166" s="96">
        <f>IF(ISNUMBER(BG166),BG166,0)+IF(ISNUMBER(BL166),BL166,0)</f>
        <v>0</v>
      </c>
      <c r="BV166" s="97"/>
      <c r="BW166" s="97"/>
      <c r="BX166" s="97"/>
      <c r="BY166" s="98"/>
    </row>
    <row r="167" spans="1:77" s="99" customFormat="1" ht="12.75" customHeight="1" x14ac:dyDescent="0.2">
      <c r="A167" s="89">
        <v>46</v>
      </c>
      <c r="B167" s="90"/>
      <c r="C167" s="90"/>
      <c r="D167" s="92" t="s">
        <v>235</v>
      </c>
      <c r="E167" s="93"/>
      <c r="F167" s="93"/>
      <c r="G167" s="93"/>
      <c r="H167" s="93"/>
      <c r="I167" s="93"/>
      <c r="J167" s="93"/>
      <c r="K167" s="93"/>
      <c r="L167" s="93"/>
      <c r="M167" s="93"/>
      <c r="N167" s="93"/>
      <c r="O167" s="93"/>
      <c r="P167" s="93"/>
      <c r="Q167" s="93"/>
      <c r="R167" s="93"/>
      <c r="S167" s="93"/>
      <c r="T167" s="94"/>
      <c r="U167" s="96">
        <v>4858</v>
      </c>
      <c r="V167" s="97"/>
      <c r="W167" s="97"/>
      <c r="X167" s="97"/>
      <c r="Y167" s="98"/>
      <c r="Z167" s="96">
        <v>0</v>
      </c>
      <c r="AA167" s="97"/>
      <c r="AB167" s="97"/>
      <c r="AC167" s="97"/>
      <c r="AD167" s="98"/>
      <c r="AE167" s="96">
        <v>0</v>
      </c>
      <c r="AF167" s="97"/>
      <c r="AG167" s="97"/>
      <c r="AH167" s="98"/>
      <c r="AI167" s="96">
        <f>IF(ISNUMBER(U167),U167,0)+IF(ISNUMBER(Z167),Z167,0)</f>
        <v>4858</v>
      </c>
      <c r="AJ167" s="97"/>
      <c r="AK167" s="97"/>
      <c r="AL167" s="97"/>
      <c r="AM167" s="98"/>
      <c r="AN167" s="96">
        <v>4858</v>
      </c>
      <c r="AO167" s="97"/>
      <c r="AP167" s="97"/>
      <c r="AQ167" s="97"/>
      <c r="AR167" s="98"/>
      <c r="AS167" s="96">
        <v>0</v>
      </c>
      <c r="AT167" s="97"/>
      <c r="AU167" s="97"/>
      <c r="AV167" s="97"/>
      <c r="AW167" s="98"/>
      <c r="AX167" s="96">
        <v>0</v>
      </c>
      <c r="AY167" s="97"/>
      <c r="AZ167" s="97"/>
      <c r="BA167" s="98"/>
      <c r="BB167" s="96">
        <f>IF(ISNUMBER(AN167),AN167,0)+IF(ISNUMBER(AS167),AS167,0)</f>
        <v>4858</v>
      </c>
      <c r="BC167" s="97"/>
      <c r="BD167" s="97"/>
      <c r="BE167" s="97"/>
      <c r="BF167" s="98"/>
      <c r="BG167" s="96">
        <v>0</v>
      </c>
      <c r="BH167" s="97"/>
      <c r="BI167" s="97"/>
      <c r="BJ167" s="97"/>
      <c r="BK167" s="98"/>
      <c r="BL167" s="96">
        <v>0</v>
      </c>
      <c r="BM167" s="97"/>
      <c r="BN167" s="97"/>
      <c r="BO167" s="97"/>
      <c r="BP167" s="98"/>
      <c r="BQ167" s="96">
        <v>0</v>
      </c>
      <c r="BR167" s="97"/>
      <c r="BS167" s="97"/>
      <c r="BT167" s="98"/>
      <c r="BU167" s="96">
        <f>IF(ISNUMBER(BG167),BG167,0)+IF(ISNUMBER(BL167),BL167,0)</f>
        <v>0</v>
      </c>
      <c r="BV167" s="97"/>
      <c r="BW167" s="97"/>
      <c r="BX167" s="97"/>
      <c r="BY167" s="98"/>
    </row>
    <row r="168" spans="1:77" s="99" customFormat="1" ht="12.75" customHeight="1" x14ac:dyDescent="0.2">
      <c r="A168" s="89">
        <v>47</v>
      </c>
      <c r="B168" s="90"/>
      <c r="C168" s="90"/>
      <c r="D168" s="92" t="s">
        <v>236</v>
      </c>
      <c r="E168" s="93"/>
      <c r="F168" s="93"/>
      <c r="G168" s="93"/>
      <c r="H168" s="93"/>
      <c r="I168" s="93"/>
      <c r="J168" s="93"/>
      <c r="K168" s="93"/>
      <c r="L168" s="93"/>
      <c r="M168" s="93"/>
      <c r="N168" s="93"/>
      <c r="O168" s="93"/>
      <c r="P168" s="93"/>
      <c r="Q168" s="93"/>
      <c r="R168" s="93"/>
      <c r="S168" s="93"/>
      <c r="T168" s="94"/>
      <c r="U168" s="96">
        <v>16000</v>
      </c>
      <c r="V168" s="97"/>
      <c r="W168" s="97"/>
      <c r="X168" s="97"/>
      <c r="Y168" s="98"/>
      <c r="Z168" s="96">
        <v>0</v>
      </c>
      <c r="AA168" s="97"/>
      <c r="AB168" s="97"/>
      <c r="AC168" s="97"/>
      <c r="AD168" s="98"/>
      <c r="AE168" s="96">
        <v>0</v>
      </c>
      <c r="AF168" s="97"/>
      <c r="AG168" s="97"/>
      <c r="AH168" s="98"/>
      <c r="AI168" s="96">
        <f>IF(ISNUMBER(U168),U168,0)+IF(ISNUMBER(Z168),Z168,0)</f>
        <v>16000</v>
      </c>
      <c r="AJ168" s="97"/>
      <c r="AK168" s="97"/>
      <c r="AL168" s="97"/>
      <c r="AM168" s="98"/>
      <c r="AN168" s="96">
        <v>0</v>
      </c>
      <c r="AO168" s="97"/>
      <c r="AP168" s="97"/>
      <c r="AQ168" s="97"/>
      <c r="AR168" s="98"/>
      <c r="AS168" s="96">
        <v>0</v>
      </c>
      <c r="AT168" s="97"/>
      <c r="AU168" s="97"/>
      <c r="AV168" s="97"/>
      <c r="AW168" s="98"/>
      <c r="AX168" s="96">
        <v>0</v>
      </c>
      <c r="AY168" s="97"/>
      <c r="AZ168" s="97"/>
      <c r="BA168" s="98"/>
      <c r="BB168" s="96">
        <f>IF(ISNUMBER(AN168),AN168,0)+IF(ISNUMBER(AS168),AS168,0)</f>
        <v>0</v>
      </c>
      <c r="BC168" s="97"/>
      <c r="BD168" s="97"/>
      <c r="BE168" s="97"/>
      <c r="BF168" s="98"/>
      <c r="BG168" s="96">
        <v>0</v>
      </c>
      <c r="BH168" s="97"/>
      <c r="BI168" s="97"/>
      <c r="BJ168" s="97"/>
      <c r="BK168" s="98"/>
      <c r="BL168" s="96">
        <v>0</v>
      </c>
      <c r="BM168" s="97"/>
      <c r="BN168" s="97"/>
      <c r="BO168" s="97"/>
      <c r="BP168" s="98"/>
      <c r="BQ168" s="96">
        <v>0</v>
      </c>
      <c r="BR168" s="97"/>
      <c r="BS168" s="97"/>
      <c r="BT168" s="98"/>
      <c r="BU168" s="96">
        <f>IF(ISNUMBER(BG168),BG168,0)+IF(ISNUMBER(BL168),BL168,0)</f>
        <v>0</v>
      </c>
      <c r="BV168" s="97"/>
      <c r="BW168" s="97"/>
      <c r="BX168" s="97"/>
      <c r="BY168" s="98"/>
    </row>
    <row r="169" spans="1:77" s="99" customFormat="1" ht="12.75" customHeight="1" x14ac:dyDescent="0.2">
      <c r="A169" s="89">
        <v>48</v>
      </c>
      <c r="B169" s="90"/>
      <c r="C169" s="90"/>
      <c r="D169" s="92" t="s">
        <v>237</v>
      </c>
      <c r="E169" s="93"/>
      <c r="F169" s="93"/>
      <c r="G169" s="93"/>
      <c r="H169" s="93"/>
      <c r="I169" s="93"/>
      <c r="J169" s="93"/>
      <c r="K169" s="93"/>
      <c r="L169" s="93"/>
      <c r="M169" s="93"/>
      <c r="N169" s="93"/>
      <c r="O169" s="93"/>
      <c r="P169" s="93"/>
      <c r="Q169" s="93"/>
      <c r="R169" s="93"/>
      <c r="S169" s="93"/>
      <c r="T169" s="94"/>
      <c r="U169" s="96">
        <v>0</v>
      </c>
      <c r="V169" s="97"/>
      <c r="W169" s="97"/>
      <c r="X169" s="97"/>
      <c r="Y169" s="98"/>
      <c r="Z169" s="96">
        <v>0</v>
      </c>
      <c r="AA169" s="97"/>
      <c r="AB169" s="97"/>
      <c r="AC169" s="97"/>
      <c r="AD169" s="98"/>
      <c r="AE169" s="96">
        <v>0</v>
      </c>
      <c r="AF169" s="97"/>
      <c r="AG169" s="97"/>
      <c r="AH169" s="98"/>
      <c r="AI169" s="96">
        <f>IF(ISNUMBER(U169),U169,0)+IF(ISNUMBER(Z169),Z169,0)</f>
        <v>0</v>
      </c>
      <c r="AJ169" s="97"/>
      <c r="AK169" s="97"/>
      <c r="AL169" s="97"/>
      <c r="AM169" s="98"/>
      <c r="AN169" s="96">
        <v>0</v>
      </c>
      <c r="AO169" s="97"/>
      <c r="AP169" s="97"/>
      <c r="AQ169" s="97"/>
      <c r="AR169" s="98"/>
      <c r="AS169" s="96">
        <v>0</v>
      </c>
      <c r="AT169" s="97"/>
      <c r="AU169" s="97"/>
      <c r="AV169" s="97"/>
      <c r="AW169" s="98"/>
      <c r="AX169" s="96">
        <v>0</v>
      </c>
      <c r="AY169" s="97"/>
      <c r="AZ169" s="97"/>
      <c r="BA169" s="98"/>
      <c r="BB169" s="96">
        <f>IF(ISNUMBER(AN169),AN169,0)+IF(ISNUMBER(AS169),AS169,0)</f>
        <v>0</v>
      </c>
      <c r="BC169" s="97"/>
      <c r="BD169" s="97"/>
      <c r="BE169" s="97"/>
      <c r="BF169" s="98"/>
      <c r="BG169" s="96">
        <v>0</v>
      </c>
      <c r="BH169" s="97"/>
      <c r="BI169" s="97"/>
      <c r="BJ169" s="97"/>
      <c r="BK169" s="98"/>
      <c r="BL169" s="96">
        <v>0</v>
      </c>
      <c r="BM169" s="97"/>
      <c r="BN169" s="97"/>
      <c r="BO169" s="97"/>
      <c r="BP169" s="98"/>
      <c r="BQ169" s="96">
        <v>0</v>
      </c>
      <c r="BR169" s="97"/>
      <c r="BS169" s="97"/>
      <c r="BT169" s="98"/>
      <c r="BU169" s="96">
        <f>IF(ISNUMBER(BG169),BG169,0)+IF(ISNUMBER(BL169),BL169,0)</f>
        <v>0</v>
      </c>
      <c r="BV169" s="97"/>
      <c r="BW169" s="97"/>
      <c r="BX169" s="97"/>
      <c r="BY169" s="98"/>
    </row>
    <row r="170" spans="1:77" s="99" customFormat="1" ht="25.5" customHeight="1" x14ac:dyDescent="0.2">
      <c r="A170" s="89">
        <v>49</v>
      </c>
      <c r="B170" s="90"/>
      <c r="C170" s="90"/>
      <c r="D170" s="92" t="s">
        <v>238</v>
      </c>
      <c r="E170" s="93"/>
      <c r="F170" s="93"/>
      <c r="G170" s="93"/>
      <c r="H170" s="93"/>
      <c r="I170" s="93"/>
      <c r="J170" s="93"/>
      <c r="K170" s="93"/>
      <c r="L170" s="93"/>
      <c r="M170" s="93"/>
      <c r="N170" s="93"/>
      <c r="O170" s="93"/>
      <c r="P170" s="93"/>
      <c r="Q170" s="93"/>
      <c r="R170" s="93"/>
      <c r="S170" s="93"/>
      <c r="T170" s="94"/>
      <c r="U170" s="96">
        <v>294570</v>
      </c>
      <c r="V170" s="97"/>
      <c r="W170" s="97"/>
      <c r="X170" s="97"/>
      <c r="Y170" s="98"/>
      <c r="Z170" s="96">
        <v>0</v>
      </c>
      <c r="AA170" s="97"/>
      <c r="AB170" s="97"/>
      <c r="AC170" s="97"/>
      <c r="AD170" s="98"/>
      <c r="AE170" s="96">
        <v>0</v>
      </c>
      <c r="AF170" s="97"/>
      <c r="AG170" s="97"/>
      <c r="AH170" s="98"/>
      <c r="AI170" s="96">
        <f>IF(ISNUMBER(U170),U170,0)+IF(ISNUMBER(Z170),Z170,0)</f>
        <v>294570</v>
      </c>
      <c r="AJ170" s="97"/>
      <c r="AK170" s="97"/>
      <c r="AL170" s="97"/>
      <c r="AM170" s="98"/>
      <c r="AN170" s="96">
        <v>96000</v>
      </c>
      <c r="AO170" s="97"/>
      <c r="AP170" s="97"/>
      <c r="AQ170" s="97"/>
      <c r="AR170" s="98"/>
      <c r="AS170" s="96">
        <v>0</v>
      </c>
      <c r="AT170" s="97"/>
      <c r="AU170" s="97"/>
      <c r="AV170" s="97"/>
      <c r="AW170" s="98"/>
      <c r="AX170" s="96">
        <v>0</v>
      </c>
      <c r="AY170" s="97"/>
      <c r="AZ170" s="97"/>
      <c r="BA170" s="98"/>
      <c r="BB170" s="96">
        <f>IF(ISNUMBER(AN170),AN170,0)+IF(ISNUMBER(AS170),AS170,0)</f>
        <v>96000</v>
      </c>
      <c r="BC170" s="97"/>
      <c r="BD170" s="97"/>
      <c r="BE170" s="97"/>
      <c r="BF170" s="98"/>
      <c r="BG170" s="96">
        <v>96000</v>
      </c>
      <c r="BH170" s="97"/>
      <c r="BI170" s="97"/>
      <c r="BJ170" s="97"/>
      <c r="BK170" s="98"/>
      <c r="BL170" s="96">
        <v>0</v>
      </c>
      <c r="BM170" s="97"/>
      <c r="BN170" s="97"/>
      <c r="BO170" s="97"/>
      <c r="BP170" s="98"/>
      <c r="BQ170" s="96">
        <v>0</v>
      </c>
      <c r="BR170" s="97"/>
      <c r="BS170" s="97"/>
      <c r="BT170" s="98"/>
      <c r="BU170" s="96">
        <f>IF(ISNUMBER(BG170),BG170,0)+IF(ISNUMBER(BL170),BL170,0)</f>
        <v>96000</v>
      </c>
      <c r="BV170" s="97"/>
      <c r="BW170" s="97"/>
      <c r="BX170" s="97"/>
      <c r="BY170" s="98"/>
    </row>
    <row r="171" spans="1:77" s="99" customFormat="1" ht="12.75" customHeight="1" x14ac:dyDescent="0.2">
      <c r="A171" s="89">
        <v>50</v>
      </c>
      <c r="B171" s="90"/>
      <c r="C171" s="90"/>
      <c r="D171" s="92" t="s">
        <v>239</v>
      </c>
      <c r="E171" s="93"/>
      <c r="F171" s="93"/>
      <c r="G171" s="93"/>
      <c r="H171" s="93"/>
      <c r="I171" s="93"/>
      <c r="J171" s="93"/>
      <c r="K171" s="93"/>
      <c r="L171" s="93"/>
      <c r="M171" s="93"/>
      <c r="N171" s="93"/>
      <c r="O171" s="93"/>
      <c r="P171" s="93"/>
      <c r="Q171" s="93"/>
      <c r="R171" s="93"/>
      <c r="S171" s="93"/>
      <c r="T171" s="94"/>
      <c r="U171" s="96">
        <v>12000</v>
      </c>
      <c r="V171" s="97"/>
      <c r="W171" s="97"/>
      <c r="X171" s="97"/>
      <c r="Y171" s="98"/>
      <c r="Z171" s="96">
        <v>0</v>
      </c>
      <c r="AA171" s="97"/>
      <c r="AB171" s="97"/>
      <c r="AC171" s="97"/>
      <c r="AD171" s="98"/>
      <c r="AE171" s="96">
        <v>0</v>
      </c>
      <c r="AF171" s="97"/>
      <c r="AG171" s="97"/>
      <c r="AH171" s="98"/>
      <c r="AI171" s="96">
        <f>IF(ISNUMBER(U171),U171,0)+IF(ISNUMBER(Z171),Z171,0)</f>
        <v>12000</v>
      </c>
      <c r="AJ171" s="97"/>
      <c r="AK171" s="97"/>
      <c r="AL171" s="97"/>
      <c r="AM171" s="98"/>
      <c r="AN171" s="96">
        <v>0</v>
      </c>
      <c r="AO171" s="97"/>
      <c r="AP171" s="97"/>
      <c r="AQ171" s="97"/>
      <c r="AR171" s="98"/>
      <c r="AS171" s="96">
        <v>0</v>
      </c>
      <c r="AT171" s="97"/>
      <c r="AU171" s="97"/>
      <c r="AV171" s="97"/>
      <c r="AW171" s="98"/>
      <c r="AX171" s="96">
        <v>0</v>
      </c>
      <c r="AY171" s="97"/>
      <c r="AZ171" s="97"/>
      <c r="BA171" s="98"/>
      <c r="BB171" s="96">
        <f>IF(ISNUMBER(AN171),AN171,0)+IF(ISNUMBER(AS171),AS171,0)</f>
        <v>0</v>
      </c>
      <c r="BC171" s="97"/>
      <c r="BD171" s="97"/>
      <c r="BE171" s="97"/>
      <c r="BF171" s="98"/>
      <c r="BG171" s="96">
        <v>0</v>
      </c>
      <c r="BH171" s="97"/>
      <c r="BI171" s="97"/>
      <c r="BJ171" s="97"/>
      <c r="BK171" s="98"/>
      <c r="BL171" s="96">
        <v>0</v>
      </c>
      <c r="BM171" s="97"/>
      <c r="BN171" s="97"/>
      <c r="BO171" s="97"/>
      <c r="BP171" s="98"/>
      <c r="BQ171" s="96">
        <v>0</v>
      </c>
      <c r="BR171" s="97"/>
      <c r="BS171" s="97"/>
      <c r="BT171" s="98"/>
      <c r="BU171" s="96">
        <f>IF(ISNUMBER(BG171),BG171,0)+IF(ISNUMBER(BL171),BL171,0)</f>
        <v>0</v>
      </c>
      <c r="BV171" s="97"/>
      <c r="BW171" s="97"/>
      <c r="BX171" s="97"/>
      <c r="BY171" s="98"/>
    </row>
    <row r="172" spans="1:77" s="99" customFormat="1" ht="12.75" customHeight="1" x14ac:dyDescent="0.2">
      <c r="A172" s="89">
        <v>51</v>
      </c>
      <c r="B172" s="90"/>
      <c r="C172" s="90"/>
      <c r="D172" s="92" t="s">
        <v>240</v>
      </c>
      <c r="E172" s="93"/>
      <c r="F172" s="93"/>
      <c r="G172" s="93"/>
      <c r="H172" s="93"/>
      <c r="I172" s="93"/>
      <c r="J172" s="93"/>
      <c r="K172" s="93"/>
      <c r="L172" s="93"/>
      <c r="M172" s="93"/>
      <c r="N172" s="93"/>
      <c r="O172" s="93"/>
      <c r="P172" s="93"/>
      <c r="Q172" s="93"/>
      <c r="R172" s="93"/>
      <c r="S172" s="93"/>
      <c r="T172" s="94"/>
      <c r="U172" s="96">
        <v>0</v>
      </c>
      <c r="V172" s="97"/>
      <c r="W172" s="97"/>
      <c r="X172" s="97"/>
      <c r="Y172" s="98"/>
      <c r="Z172" s="96">
        <v>0</v>
      </c>
      <c r="AA172" s="97"/>
      <c r="AB172" s="97"/>
      <c r="AC172" s="97"/>
      <c r="AD172" s="98"/>
      <c r="AE172" s="96">
        <v>0</v>
      </c>
      <c r="AF172" s="97"/>
      <c r="AG172" s="97"/>
      <c r="AH172" s="98"/>
      <c r="AI172" s="96">
        <f>IF(ISNUMBER(U172),U172,0)+IF(ISNUMBER(Z172),Z172,0)</f>
        <v>0</v>
      </c>
      <c r="AJ172" s="97"/>
      <c r="AK172" s="97"/>
      <c r="AL172" s="97"/>
      <c r="AM172" s="98"/>
      <c r="AN172" s="96">
        <v>0</v>
      </c>
      <c r="AO172" s="97"/>
      <c r="AP172" s="97"/>
      <c r="AQ172" s="97"/>
      <c r="AR172" s="98"/>
      <c r="AS172" s="96">
        <v>0</v>
      </c>
      <c r="AT172" s="97"/>
      <c r="AU172" s="97"/>
      <c r="AV172" s="97"/>
      <c r="AW172" s="98"/>
      <c r="AX172" s="96">
        <v>0</v>
      </c>
      <c r="AY172" s="97"/>
      <c r="AZ172" s="97"/>
      <c r="BA172" s="98"/>
      <c r="BB172" s="96">
        <f>IF(ISNUMBER(AN172),AN172,0)+IF(ISNUMBER(AS172),AS172,0)</f>
        <v>0</v>
      </c>
      <c r="BC172" s="97"/>
      <c r="BD172" s="97"/>
      <c r="BE172" s="97"/>
      <c r="BF172" s="98"/>
      <c r="BG172" s="96">
        <v>0</v>
      </c>
      <c r="BH172" s="97"/>
      <c r="BI172" s="97"/>
      <c r="BJ172" s="97"/>
      <c r="BK172" s="98"/>
      <c r="BL172" s="96">
        <v>0</v>
      </c>
      <c r="BM172" s="97"/>
      <c r="BN172" s="97"/>
      <c r="BO172" s="97"/>
      <c r="BP172" s="98"/>
      <c r="BQ172" s="96">
        <v>0</v>
      </c>
      <c r="BR172" s="97"/>
      <c r="BS172" s="97"/>
      <c r="BT172" s="98"/>
      <c r="BU172" s="96">
        <f>IF(ISNUMBER(BG172),BG172,0)+IF(ISNUMBER(BL172),BL172,0)</f>
        <v>0</v>
      </c>
      <c r="BV172" s="97"/>
      <c r="BW172" s="97"/>
      <c r="BX172" s="97"/>
      <c r="BY172" s="98"/>
    </row>
    <row r="173" spans="1:77" s="99" customFormat="1" ht="12.75" customHeight="1" x14ac:dyDescent="0.2">
      <c r="A173" s="89">
        <v>52</v>
      </c>
      <c r="B173" s="90"/>
      <c r="C173" s="90"/>
      <c r="D173" s="92" t="s">
        <v>241</v>
      </c>
      <c r="E173" s="93"/>
      <c r="F173" s="93"/>
      <c r="G173" s="93"/>
      <c r="H173" s="93"/>
      <c r="I173" s="93"/>
      <c r="J173" s="93"/>
      <c r="K173" s="93"/>
      <c r="L173" s="93"/>
      <c r="M173" s="93"/>
      <c r="N173" s="93"/>
      <c r="O173" s="93"/>
      <c r="P173" s="93"/>
      <c r="Q173" s="93"/>
      <c r="R173" s="93"/>
      <c r="S173" s="93"/>
      <c r="T173" s="94"/>
      <c r="U173" s="96">
        <v>0</v>
      </c>
      <c r="V173" s="97"/>
      <c r="W173" s="97"/>
      <c r="X173" s="97"/>
      <c r="Y173" s="98"/>
      <c r="Z173" s="96">
        <v>0</v>
      </c>
      <c r="AA173" s="97"/>
      <c r="AB173" s="97"/>
      <c r="AC173" s="97"/>
      <c r="AD173" s="98"/>
      <c r="AE173" s="96">
        <v>0</v>
      </c>
      <c r="AF173" s="97"/>
      <c r="AG173" s="97"/>
      <c r="AH173" s="98"/>
      <c r="AI173" s="96">
        <f>IF(ISNUMBER(U173),U173,0)+IF(ISNUMBER(Z173),Z173,0)</f>
        <v>0</v>
      </c>
      <c r="AJ173" s="97"/>
      <c r="AK173" s="97"/>
      <c r="AL173" s="97"/>
      <c r="AM173" s="98"/>
      <c r="AN173" s="96">
        <v>0</v>
      </c>
      <c r="AO173" s="97"/>
      <c r="AP173" s="97"/>
      <c r="AQ173" s="97"/>
      <c r="AR173" s="98"/>
      <c r="AS173" s="96">
        <v>0</v>
      </c>
      <c r="AT173" s="97"/>
      <c r="AU173" s="97"/>
      <c r="AV173" s="97"/>
      <c r="AW173" s="98"/>
      <c r="AX173" s="96">
        <v>0</v>
      </c>
      <c r="AY173" s="97"/>
      <c r="AZ173" s="97"/>
      <c r="BA173" s="98"/>
      <c r="BB173" s="96">
        <f>IF(ISNUMBER(AN173),AN173,0)+IF(ISNUMBER(AS173),AS173,0)</f>
        <v>0</v>
      </c>
      <c r="BC173" s="97"/>
      <c r="BD173" s="97"/>
      <c r="BE173" s="97"/>
      <c r="BF173" s="98"/>
      <c r="BG173" s="96">
        <v>0</v>
      </c>
      <c r="BH173" s="97"/>
      <c r="BI173" s="97"/>
      <c r="BJ173" s="97"/>
      <c r="BK173" s="98"/>
      <c r="BL173" s="96">
        <v>0</v>
      </c>
      <c r="BM173" s="97"/>
      <c r="BN173" s="97"/>
      <c r="BO173" s="97"/>
      <c r="BP173" s="98"/>
      <c r="BQ173" s="96">
        <v>0</v>
      </c>
      <c r="BR173" s="97"/>
      <c r="BS173" s="97"/>
      <c r="BT173" s="98"/>
      <c r="BU173" s="96">
        <f>IF(ISNUMBER(BG173),BG173,0)+IF(ISNUMBER(BL173),BL173,0)</f>
        <v>0</v>
      </c>
      <c r="BV173" s="97"/>
      <c r="BW173" s="97"/>
      <c r="BX173" s="97"/>
      <c r="BY173" s="98"/>
    </row>
    <row r="174" spans="1:77" s="99" customFormat="1" ht="38.25" customHeight="1" x14ac:dyDescent="0.2">
      <c r="A174" s="89">
        <v>53</v>
      </c>
      <c r="B174" s="90"/>
      <c r="C174" s="90"/>
      <c r="D174" s="92" t="s">
        <v>242</v>
      </c>
      <c r="E174" s="93"/>
      <c r="F174" s="93"/>
      <c r="G174" s="93"/>
      <c r="H174" s="93"/>
      <c r="I174" s="93"/>
      <c r="J174" s="93"/>
      <c r="K174" s="93"/>
      <c r="L174" s="93"/>
      <c r="M174" s="93"/>
      <c r="N174" s="93"/>
      <c r="O174" s="93"/>
      <c r="P174" s="93"/>
      <c r="Q174" s="93"/>
      <c r="R174" s="93"/>
      <c r="S174" s="93"/>
      <c r="T174" s="94"/>
      <c r="U174" s="96">
        <v>0</v>
      </c>
      <c r="V174" s="97"/>
      <c r="W174" s="97"/>
      <c r="X174" s="97"/>
      <c r="Y174" s="98"/>
      <c r="Z174" s="96">
        <v>0</v>
      </c>
      <c r="AA174" s="97"/>
      <c r="AB174" s="97"/>
      <c r="AC174" s="97"/>
      <c r="AD174" s="98"/>
      <c r="AE174" s="96">
        <v>0</v>
      </c>
      <c r="AF174" s="97"/>
      <c r="AG174" s="97"/>
      <c r="AH174" s="98"/>
      <c r="AI174" s="96">
        <f>IF(ISNUMBER(U174),U174,0)+IF(ISNUMBER(Z174),Z174,0)</f>
        <v>0</v>
      </c>
      <c r="AJ174" s="97"/>
      <c r="AK174" s="97"/>
      <c r="AL174" s="97"/>
      <c r="AM174" s="98"/>
      <c r="AN174" s="96">
        <v>0</v>
      </c>
      <c r="AO174" s="97"/>
      <c r="AP174" s="97"/>
      <c r="AQ174" s="97"/>
      <c r="AR174" s="98"/>
      <c r="AS174" s="96">
        <v>0</v>
      </c>
      <c r="AT174" s="97"/>
      <c r="AU174" s="97"/>
      <c r="AV174" s="97"/>
      <c r="AW174" s="98"/>
      <c r="AX174" s="96">
        <v>0</v>
      </c>
      <c r="AY174" s="97"/>
      <c r="AZ174" s="97"/>
      <c r="BA174" s="98"/>
      <c r="BB174" s="96">
        <f>IF(ISNUMBER(AN174),AN174,0)+IF(ISNUMBER(AS174),AS174,0)</f>
        <v>0</v>
      </c>
      <c r="BC174" s="97"/>
      <c r="BD174" s="97"/>
      <c r="BE174" s="97"/>
      <c r="BF174" s="98"/>
      <c r="BG174" s="96">
        <v>0</v>
      </c>
      <c r="BH174" s="97"/>
      <c r="BI174" s="97"/>
      <c r="BJ174" s="97"/>
      <c r="BK174" s="98"/>
      <c r="BL174" s="96">
        <v>0</v>
      </c>
      <c r="BM174" s="97"/>
      <c r="BN174" s="97"/>
      <c r="BO174" s="97"/>
      <c r="BP174" s="98"/>
      <c r="BQ174" s="96">
        <v>0</v>
      </c>
      <c r="BR174" s="97"/>
      <c r="BS174" s="97"/>
      <c r="BT174" s="98"/>
      <c r="BU174" s="96">
        <f>IF(ISNUMBER(BG174),BG174,0)+IF(ISNUMBER(BL174),BL174,0)</f>
        <v>0</v>
      </c>
      <c r="BV174" s="97"/>
      <c r="BW174" s="97"/>
      <c r="BX174" s="97"/>
      <c r="BY174" s="98"/>
    </row>
    <row r="175" spans="1:77" s="99" customFormat="1" ht="38.25" customHeight="1" x14ac:dyDescent="0.2">
      <c r="A175" s="89">
        <v>54</v>
      </c>
      <c r="B175" s="90"/>
      <c r="C175" s="90"/>
      <c r="D175" s="92" t="s">
        <v>243</v>
      </c>
      <c r="E175" s="93"/>
      <c r="F175" s="93"/>
      <c r="G175" s="93"/>
      <c r="H175" s="93"/>
      <c r="I175" s="93"/>
      <c r="J175" s="93"/>
      <c r="K175" s="93"/>
      <c r="L175" s="93"/>
      <c r="M175" s="93"/>
      <c r="N175" s="93"/>
      <c r="O175" s="93"/>
      <c r="P175" s="93"/>
      <c r="Q175" s="93"/>
      <c r="R175" s="93"/>
      <c r="S175" s="93"/>
      <c r="T175" s="94"/>
      <c r="U175" s="96">
        <v>0</v>
      </c>
      <c r="V175" s="97"/>
      <c r="W175" s="97"/>
      <c r="X175" s="97"/>
      <c r="Y175" s="98"/>
      <c r="Z175" s="96">
        <v>0</v>
      </c>
      <c r="AA175" s="97"/>
      <c r="AB175" s="97"/>
      <c r="AC175" s="97"/>
      <c r="AD175" s="98"/>
      <c r="AE175" s="96">
        <v>0</v>
      </c>
      <c r="AF175" s="97"/>
      <c r="AG175" s="97"/>
      <c r="AH175" s="98"/>
      <c r="AI175" s="96">
        <f>IF(ISNUMBER(U175),U175,0)+IF(ISNUMBER(Z175),Z175,0)</f>
        <v>0</v>
      </c>
      <c r="AJ175" s="97"/>
      <c r="AK175" s="97"/>
      <c r="AL175" s="97"/>
      <c r="AM175" s="98"/>
      <c r="AN175" s="96">
        <v>0</v>
      </c>
      <c r="AO175" s="97"/>
      <c r="AP175" s="97"/>
      <c r="AQ175" s="97"/>
      <c r="AR175" s="98"/>
      <c r="AS175" s="96">
        <v>0</v>
      </c>
      <c r="AT175" s="97"/>
      <c r="AU175" s="97"/>
      <c r="AV175" s="97"/>
      <c r="AW175" s="98"/>
      <c r="AX175" s="96">
        <v>0</v>
      </c>
      <c r="AY175" s="97"/>
      <c r="AZ175" s="97"/>
      <c r="BA175" s="98"/>
      <c r="BB175" s="96">
        <f>IF(ISNUMBER(AN175),AN175,0)+IF(ISNUMBER(AS175),AS175,0)</f>
        <v>0</v>
      </c>
      <c r="BC175" s="97"/>
      <c r="BD175" s="97"/>
      <c r="BE175" s="97"/>
      <c r="BF175" s="98"/>
      <c r="BG175" s="96">
        <v>0</v>
      </c>
      <c r="BH175" s="97"/>
      <c r="BI175" s="97"/>
      <c r="BJ175" s="97"/>
      <c r="BK175" s="98"/>
      <c r="BL175" s="96">
        <v>0</v>
      </c>
      <c r="BM175" s="97"/>
      <c r="BN175" s="97"/>
      <c r="BO175" s="97"/>
      <c r="BP175" s="98"/>
      <c r="BQ175" s="96">
        <v>0</v>
      </c>
      <c r="BR175" s="97"/>
      <c r="BS175" s="97"/>
      <c r="BT175" s="98"/>
      <c r="BU175" s="96">
        <f>IF(ISNUMBER(BG175),BG175,0)+IF(ISNUMBER(BL175),BL175,0)</f>
        <v>0</v>
      </c>
      <c r="BV175" s="97"/>
      <c r="BW175" s="97"/>
      <c r="BX175" s="97"/>
      <c r="BY175" s="98"/>
    </row>
    <row r="176" spans="1:77" s="99" customFormat="1" ht="38.25" customHeight="1" x14ac:dyDescent="0.2">
      <c r="A176" s="89">
        <v>55</v>
      </c>
      <c r="B176" s="90"/>
      <c r="C176" s="90"/>
      <c r="D176" s="92" t="s">
        <v>244</v>
      </c>
      <c r="E176" s="93"/>
      <c r="F176" s="93"/>
      <c r="G176" s="93"/>
      <c r="H176" s="93"/>
      <c r="I176" s="93"/>
      <c r="J176" s="93"/>
      <c r="K176" s="93"/>
      <c r="L176" s="93"/>
      <c r="M176" s="93"/>
      <c r="N176" s="93"/>
      <c r="O176" s="93"/>
      <c r="P176" s="93"/>
      <c r="Q176" s="93"/>
      <c r="R176" s="93"/>
      <c r="S176" s="93"/>
      <c r="T176" s="94"/>
      <c r="U176" s="96">
        <v>0</v>
      </c>
      <c r="V176" s="97"/>
      <c r="W176" s="97"/>
      <c r="X176" s="97"/>
      <c r="Y176" s="98"/>
      <c r="Z176" s="96">
        <v>0</v>
      </c>
      <c r="AA176" s="97"/>
      <c r="AB176" s="97"/>
      <c r="AC176" s="97"/>
      <c r="AD176" s="98"/>
      <c r="AE176" s="96">
        <v>0</v>
      </c>
      <c r="AF176" s="97"/>
      <c r="AG176" s="97"/>
      <c r="AH176" s="98"/>
      <c r="AI176" s="96">
        <f>IF(ISNUMBER(U176),U176,0)+IF(ISNUMBER(Z176),Z176,0)</f>
        <v>0</v>
      </c>
      <c r="AJ176" s="97"/>
      <c r="AK176" s="97"/>
      <c r="AL176" s="97"/>
      <c r="AM176" s="98"/>
      <c r="AN176" s="96">
        <v>0</v>
      </c>
      <c r="AO176" s="97"/>
      <c r="AP176" s="97"/>
      <c r="AQ176" s="97"/>
      <c r="AR176" s="98"/>
      <c r="AS176" s="96">
        <v>0</v>
      </c>
      <c r="AT176" s="97"/>
      <c r="AU176" s="97"/>
      <c r="AV176" s="97"/>
      <c r="AW176" s="98"/>
      <c r="AX176" s="96">
        <v>0</v>
      </c>
      <c r="AY176" s="97"/>
      <c r="AZ176" s="97"/>
      <c r="BA176" s="98"/>
      <c r="BB176" s="96">
        <f>IF(ISNUMBER(AN176),AN176,0)+IF(ISNUMBER(AS176),AS176,0)</f>
        <v>0</v>
      </c>
      <c r="BC176" s="97"/>
      <c r="BD176" s="97"/>
      <c r="BE176" s="97"/>
      <c r="BF176" s="98"/>
      <c r="BG176" s="96">
        <v>0</v>
      </c>
      <c r="BH176" s="97"/>
      <c r="BI176" s="97"/>
      <c r="BJ176" s="97"/>
      <c r="BK176" s="98"/>
      <c r="BL176" s="96">
        <v>0</v>
      </c>
      <c r="BM176" s="97"/>
      <c r="BN176" s="97"/>
      <c r="BO176" s="97"/>
      <c r="BP176" s="98"/>
      <c r="BQ176" s="96">
        <v>0</v>
      </c>
      <c r="BR176" s="97"/>
      <c r="BS176" s="97"/>
      <c r="BT176" s="98"/>
      <c r="BU176" s="96">
        <f>IF(ISNUMBER(BG176),BG176,0)+IF(ISNUMBER(BL176),BL176,0)</f>
        <v>0</v>
      </c>
      <c r="BV176" s="97"/>
      <c r="BW176" s="97"/>
      <c r="BX176" s="97"/>
      <c r="BY176" s="98"/>
    </row>
    <row r="177" spans="1:77" s="99" customFormat="1" ht="38.25" customHeight="1" x14ac:dyDescent="0.2">
      <c r="A177" s="89">
        <v>56</v>
      </c>
      <c r="B177" s="90"/>
      <c r="C177" s="90"/>
      <c r="D177" s="92" t="s">
        <v>245</v>
      </c>
      <c r="E177" s="93"/>
      <c r="F177" s="93"/>
      <c r="G177" s="93"/>
      <c r="H177" s="93"/>
      <c r="I177" s="93"/>
      <c r="J177" s="93"/>
      <c r="K177" s="93"/>
      <c r="L177" s="93"/>
      <c r="M177" s="93"/>
      <c r="N177" s="93"/>
      <c r="O177" s="93"/>
      <c r="P177" s="93"/>
      <c r="Q177" s="93"/>
      <c r="R177" s="93"/>
      <c r="S177" s="93"/>
      <c r="T177" s="94"/>
      <c r="U177" s="96">
        <v>0</v>
      </c>
      <c r="V177" s="97"/>
      <c r="W177" s="97"/>
      <c r="X177" s="97"/>
      <c r="Y177" s="98"/>
      <c r="Z177" s="96">
        <v>0</v>
      </c>
      <c r="AA177" s="97"/>
      <c r="AB177" s="97"/>
      <c r="AC177" s="97"/>
      <c r="AD177" s="98"/>
      <c r="AE177" s="96">
        <v>0</v>
      </c>
      <c r="AF177" s="97"/>
      <c r="AG177" s="97"/>
      <c r="AH177" s="98"/>
      <c r="AI177" s="96">
        <f>IF(ISNUMBER(U177),U177,0)+IF(ISNUMBER(Z177),Z177,0)</f>
        <v>0</v>
      </c>
      <c r="AJ177" s="97"/>
      <c r="AK177" s="97"/>
      <c r="AL177" s="97"/>
      <c r="AM177" s="98"/>
      <c r="AN177" s="96">
        <v>0</v>
      </c>
      <c r="AO177" s="97"/>
      <c r="AP177" s="97"/>
      <c r="AQ177" s="97"/>
      <c r="AR177" s="98"/>
      <c r="AS177" s="96">
        <v>0</v>
      </c>
      <c r="AT177" s="97"/>
      <c r="AU177" s="97"/>
      <c r="AV177" s="97"/>
      <c r="AW177" s="98"/>
      <c r="AX177" s="96">
        <v>0</v>
      </c>
      <c r="AY177" s="97"/>
      <c r="AZ177" s="97"/>
      <c r="BA177" s="98"/>
      <c r="BB177" s="96">
        <f>IF(ISNUMBER(AN177),AN177,0)+IF(ISNUMBER(AS177),AS177,0)</f>
        <v>0</v>
      </c>
      <c r="BC177" s="97"/>
      <c r="BD177" s="97"/>
      <c r="BE177" s="97"/>
      <c r="BF177" s="98"/>
      <c r="BG177" s="96">
        <v>0</v>
      </c>
      <c r="BH177" s="97"/>
      <c r="BI177" s="97"/>
      <c r="BJ177" s="97"/>
      <c r="BK177" s="98"/>
      <c r="BL177" s="96">
        <v>0</v>
      </c>
      <c r="BM177" s="97"/>
      <c r="BN177" s="97"/>
      <c r="BO177" s="97"/>
      <c r="BP177" s="98"/>
      <c r="BQ177" s="96">
        <v>0</v>
      </c>
      <c r="BR177" s="97"/>
      <c r="BS177" s="97"/>
      <c r="BT177" s="98"/>
      <c r="BU177" s="96">
        <f>IF(ISNUMBER(BG177),BG177,0)+IF(ISNUMBER(BL177),BL177,0)</f>
        <v>0</v>
      </c>
      <c r="BV177" s="97"/>
      <c r="BW177" s="97"/>
      <c r="BX177" s="97"/>
      <c r="BY177" s="98"/>
    </row>
    <row r="178" spans="1:77" s="99" customFormat="1" ht="12.75" customHeight="1" x14ac:dyDescent="0.2">
      <c r="A178" s="89">
        <v>57</v>
      </c>
      <c r="B178" s="90"/>
      <c r="C178" s="90"/>
      <c r="D178" s="92" t="s">
        <v>246</v>
      </c>
      <c r="E178" s="93"/>
      <c r="F178" s="93"/>
      <c r="G178" s="93"/>
      <c r="H178" s="93"/>
      <c r="I178" s="93"/>
      <c r="J178" s="93"/>
      <c r="K178" s="93"/>
      <c r="L178" s="93"/>
      <c r="M178" s="93"/>
      <c r="N178" s="93"/>
      <c r="O178" s="93"/>
      <c r="P178" s="93"/>
      <c r="Q178" s="93"/>
      <c r="R178" s="93"/>
      <c r="S178" s="93"/>
      <c r="T178" s="94"/>
      <c r="U178" s="96">
        <v>64000</v>
      </c>
      <c r="V178" s="97"/>
      <c r="W178" s="97"/>
      <c r="X178" s="97"/>
      <c r="Y178" s="98"/>
      <c r="Z178" s="96">
        <v>111326</v>
      </c>
      <c r="AA178" s="97"/>
      <c r="AB178" s="97"/>
      <c r="AC178" s="97"/>
      <c r="AD178" s="98"/>
      <c r="AE178" s="96">
        <v>0</v>
      </c>
      <c r="AF178" s="97"/>
      <c r="AG178" s="97"/>
      <c r="AH178" s="98"/>
      <c r="AI178" s="96">
        <f>IF(ISNUMBER(U178),U178,0)+IF(ISNUMBER(Z178),Z178,0)</f>
        <v>175326</v>
      </c>
      <c r="AJ178" s="97"/>
      <c r="AK178" s="97"/>
      <c r="AL178" s="97"/>
      <c r="AM178" s="98"/>
      <c r="AN178" s="96">
        <v>128910</v>
      </c>
      <c r="AO178" s="97"/>
      <c r="AP178" s="97"/>
      <c r="AQ178" s="97"/>
      <c r="AR178" s="98"/>
      <c r="AS178" s="96">
        <v>0</v>
      </c>
      <c r="AT178" s="97"/>
      <c r="AU178" s="97"/>
      <c r="AV178" s="97"/>
      <c r="AW178" s="98"/>
      <c r="AX178" s="96">
        <v>0</v>
      </c>
      <c r="AY178" s="97"/>
      <c r="AZ178" s="97"/>
      <c r="BA178" s="98"/>
      <c r="BB178" s="96">
        <f>IF(ISNUMBER(AN178),AN178,0)+IF(ISNUMBER(AS178),AS178,0)</f>
        <v>128910</v>
      </c>
      <c r="BC178" s="97"/>
      <c r="BD178" s="97"/>
      <c r="BE178" s="97"/>
      <c r="BF178" s="98"/>
      <c r="BG178" s="96">
        <v>116160</v>
      </c>
      <c r="BH178" s="97"/>
      <c r="BI178" s="97"/>
      <c r="BJ178" s="97"/>
      <c r="BK178" s="98"/>
      <c r="BL178" s="96">
        <v>0</v>
      </c>
      <c r="BM178" s="97"/>
      <c r="BN178" s="97"/>
      <c r="BO178" s="97"/>
      <c r="BP178" s="98"/>
      <c r="BQ178" s="96">
        <v>0</v>
      </c>
      <c r="BR178" s="97"/>
      <c r="BS178" s="97"/>
      <c r="BT178" s="98"/>
      <c r="BU178" s="96">
        <f>IF(ISNUMBER(BG178),BG178,0)+IF(ISNUMBER(BL178),BL178,0)</f>
        <v>116160</v>
      </c>
      <c r="BV178" s="97"/>
      <c r="BW178" s="97"/>
      <c r="BX178" s="97"/>
      <c r="BY178" s="98"/>
    </row>
    <row r="179" spans="1:77" s="99" customFormat="1" ht="12.75" customHeight="1" x14ac:dyDescent="0.2">
      <c r="A179" s="89">
        <v>58</v>
      </c>
      <c r="B179" s="90"/>
      <c r="C179" s="90"/>
      <c r="D179" s="92" t="s">
        <v>247</v>
      </c>
      <c r="E179" s="93"/>
      <c r="F179" s="93"/>
      <c r="G179" s="93"/>
      <c r="H179" s="93"/>
      <c r="I179" s="93"/>
      <c r="J179" s="93"/>
      <c r="K179" s="93"/>
      <c r="L179" s="93"/>
      <c r="M179" s="93"/>
      <c r="N179" s="93"/>
      <c r="O179" s="93"/>
      <c r="P179" s="93"/>
      <c r="Q179" s="93"/>
      <c r="R179" s="93"/>
      <c r="S179" s="93"/>
      <c r="T179" s="94"/>
      <c r="U179" s="96">
        <v>0</v>
      </c>
      <c r="V179" s="97"/>
      <c r="W179" s="97"/>
      <c r="X179" s="97"/>
      <c r="Y179" s="98"/>
      <c r="Z179" s="96">
        <v>0</v>
      </c>
      <c r="AA179" s="97"/>
      <c r="AB179" s="97"/>
      <c r="AC179" s="97"/>
      <c r="AD179" s="98"/>
      <c r="AE179" s="96">
        <v>0</v>
      </c>
      <c r="AF179" s="97"/>
      <c r="AG179" s="97"/>
      <c r="AH179" s="98"/>
      <c r="AI179" s="96">
        <f>IF(ISNUMBER(U179),U179,0)+IF(ISNUMBER(Z179),Z179,0)</f>
        <v>0</v>
      </c>
      <c r="AJ179" s="97"/>
      <c r="AK179" s="97"/>
      <c r="AL179" s="97"/>
      <c r="AM179" s="98"/>
      <c r="AN179" s="96">
        <v>0</v>
      </c>
      <c r="AO179" s="97"/>
      <c r="AP179" s="97"/>
      <c r="AQ179" s="97"/>
      <c r="AR179" s="98"/>
      <c r="AS179" s="96">
        <v>0</v>
      </c>
      <c r="AT179" s="97"/>
      <c r="AU179" s="97"/>
      <c r="AV179" s="97"/>
      <c r="AW179" s="98"/>
      <c r="AX179" s="96">
        <v>0</v>
      </c>
      <c r="AY179" s="97"/>
      <c r="AZ179" s="97"/>
      <c r="BA179" s="98"/>
      <c r="BB179" s="96">
        <f>IF(ISNUMBER(AN179),AN179,0)+IF(ISNUMBER(AS179),AS179,0)</f>
        <v>0</v>
      </c>
      <c r="BC179" s="97"/>
      <c r="BD179" s="97"/>
      <c r="BE179" s="97"/>
      <c r="BF179" s="98"/>
      <c r="BG179" s="96">
        <v>0</v>
      </c>
      <c r="BH179" s="97"/>
      <c r="BI179" s="97"/>
      <c r="BJ179" s="97"/>
      <c r="BK179" s="98"/>
      <c r="BL179" s="96">
        <v>0</v>
      </c>
      <c r="BM179" s="97"/>
      <c r="BN179" s="97"/>
      <c r="BO179" s="97"/>
      <c r="BP179" s="98"/>
      <c r="BQ179" s="96">
        <v>0</v>
      </c>
      <c r="BR179" s="97"/>
      <c r="BS179" s="97"/>
      <c r="BT179" s="98"/>
      <c r="BU179" s="96">
        <f>IF(ISNUMBER(BG179),BG179,0)+IF(ISNUMBER(BL179),BL179,0)</f>
        <v>0</v>
      </c>
      <c r="BV179" s="97"/>
      <c r="BW179" s="97"/>
      <c r="BX179" s="97"/>
      <c r="BY179" s="98"/>
    </row>
    <row r="180" spans="1:77" s="99" customFormat="1" ht="12.75" customHeight="1" x14ac:dyDescent="0.2">
      <c r="A180" s="89">
        <v>59</v>
      </c>
      <c r="B180" s="90"/>
      <c r="C180" s="90"/>
      <c r="D180" s="92" t="s">
        <v>248</v>
      </c>
      <c r="E180" s="93"/>
      <c r="F180" s="93"/>
      <c r="G180" s="93"/>
      <c r="H180" s="93"/>
      <c r="I180" s="93"/>
      <c r="J180" s="93"/>
      <c r="K180" s="93"/>
      <c r="L180" s="93"/>
      <c r="M180" s="93"/>
      <c r="N180" s="93"/>
      <c r="O180" s="93"/>
      <c r="P180" s="93"/>
      <c r="Q180" s="93"/>
      <c r="R180" s="93"/>
      <c r="S180" s="93"/>
      <c r="T180" s="94"/>
      <c r="U180" s="96">
        <v>0</v>
      </c>
      <c r="V180" s="97"/>
      <c r="W180" s="97"/>
      <c r="X180" s="97"/>
      <c r="Y180" s="98"/>
      <c r="Z180" s="96">
        <v>0</v>
      </c>
      <c r="AA180" s="97"/>
      <c r="AB180" s="97"/>
      <c r="AC180" s="97"/>
      <c r="AD180" s="98"/>
      <c r="AE180" s="96">
        <v>0</v>
      </c>
      <c r="AF180" s="97"/>
      <c r="AG180" s="97"/>
      <c r="AH180" s="98"/>
      <c r="AI180" s="96">
        <f>IF(ISNUMBER(U180),U180,0)+IF(ISNUMBER(Z180),Z180,0)</f>
        <v>0</v>
      </c>
      <c r="AJ180" s="97"/>
      <c r="AK180" s="97"/>
      <c r="AL180" s="97"/>
      <c r="AM180" s="98"/>
      <c r="AN180" s="96">
        <v>0</v>
      </c>
      <c r="AO180" s="97"/>
      <c r="AP180" s="97"/>
      <c r="AQ180" s="97"/>
      <c r="AR180" s="98"/>
      <c r="AS180" s="96">
        <v>0</v>
      </c>
      <c r="AT180" s="97"/>
      <c r="AU180" s="97"/>
      <c r="AV180" s="97"/>
      <c r="AW180" s="98"/>
      <c r="AX180" s="96">
        <v>0</v>
      </c>
      <c r="AY180" s="97"/>
      <c r="AZ180" s="97"/>
      <c r="BA180" s="98"/>
      <c r="BB180" s="96">
        <f>IF(ISNUMBER(AN180),AN180,0)+IF(ISNUMBER(AS180),AS180,0)</f>
        <v>0</v>
      </c>
      <c r="BC180" s="97"/>
      <c r="BD180" s="97"/>
      <c r="BE180" s="97"/>
      <c r="BF180" s="98"/>
      <c r="BG180" s="96">
        <v>0</v>
      </c>
      <c r="BH180" s="97"/>
      <c r="BI180" s="97"/>
      <c r="BJ180" s="97"/>
      <c r="BK180" s="98"/>
      <c r="BL180" s="96">
        <v>0</v>
      </c>
      <c r="BM180" s="97"/>
      <c r="BN180" s="97"/>
      <c r="BO180" s="97"/>
      <c r="BP180" s="98"/>
      <c r="BQ180" s="96">
        <v>0</v>
      </c>
      <c r="BR180" s="97"/>
      <c r="BS180" s="97"/>
      <c r="BT180" s="98"/>
      <c r="BU180" s="96">
        <f>IF(ISNUMBER(BG180),BG180,0)+IF(ISNUMBER(BL180),BL180,0)</f>
        <v>0</v>
      </c>
      <c r="BV180" s="97"/>
      <c r="BW180" s="97"/>
      <c r="BX180" s="97"/>
      <c r="BY180" s="98"/>
    </row>
    <row r="181" spans="1:77" s="99" customFormat="1" ht="25.5" customHeight="1" x14ac:dyDescent="0.2">
      <c r="A181" s="89">
        <v>60</v>
      </c>
      <c r="B181" s="90"/>
      <c r="C181" s="90"/>
      <c r="D181" s="92" t="s">
        <v>249</v>
      </c>
      <c r="E181" s="93"/>
      <c r="F181" s="93"/>
      <c r="G181" s="93"/>
      <c r="H181" s="93"/>
      <c r="I181" s="93"/>
      <c r="J181" s="93"/>
      <c r="K181" s="93"/>
      <c r="L181" s="93"/>
      <c r="M181" s="93"/>
      <c r="N181" s="93"/>
      <c r="O181" s="93"/>
      <c r="P181" s="93"/>
      <c r="Q181" s="93"/>
      <c r="R181" s="93"/>
      <c r="S181" s="93"/>
      <c r="T181" s="94"/>
      <c r="U181" s="96">
        <v>0</v>
      </c>
      <c r="V181" s="97"/>
      <c r="W181" s="97"/>
      <c r="X181" s="97"/>
      <c r="Y181" s="98"/>
      <c r="Z181" s="96">
        <v>0</v>
      </c>
      <c r="AA181" s="97"/>
      <c r="AB181" s="97"/>
      <c r="AC181" s="97"/>
      <c r="AD181" s="98"/>
      <c r="AE181" s="96">
        <v>0</v>
      </c>
      <c r="AF181" s="97"/>
      <c r="AG181" s="97"/>
      <c r="AH181" s="98"/>
      <c r="AI181" s="96">
        <f>IF(ISNUMBER(U181),U181,0)+IF(ISNUMBER(Z181),Z181,0)</f>
        <v>0</v>
      </c>
      <c r="AJ181" s="97"/>
      <c r="AK181" s="97"/>
      <c r="AL181" s="97"/>
      <c r="AM181" s="98"/>
      <c r="AN181" s="96">
        <v>0</v>
      </c>
      <c r="AO181" s="97"/>
      <c r="AP181" s="97"/>
      <c r="AQ181" s="97"/>
      <c r="AR181" s="98"/>
      <c r="AS181" s="96">
        <v>0</v>
      </c>
      <c r="AT181" s="97"/>
      <c r="AU181" s="97"/>
      <c r="AV181" s="97"/>
      <c r="AW181" s="98"/>
      <c r="AX181" s="96">
        <v>0</v>
      </c>
      <c r="AY181" s="97"/>
      <c r="AZ181" s="97"/>
      <c r="BA181" s="98"/>
      <c r="BB181" s="96">
        <f>IF(ISNUMBER(AN181),AN181,0)+IF(ISNUMBER(AS181),AS181,0)</f>
        <v>0</v>
      </c>
      <c r="BC181" s="97"/>
      <c r="BD181" s="97"/>
      <c r="BE181" s="97"/>
      <c r="BF181" s="98"/>
      <c r="BG181" s="96">
        <v>0</v>
      </c>
      <c r="BH181" s="97"/>
      <c r="BI181" s="97"/>
      <c r="BJ181" s="97"/>
      <c r="BK181" s="98"/>
      <c r="BL181" s="96">
        <v>0</v>
      </c>
      <c r="BM181" s="97"/>
      <c r="BN181" s="97"/>
      <c r="BO181" s="97"/>
      <c r="BP181" s="98"/>
      <c r="BQ181" s="96">
        <v>0</v>
      </c>
      <c r="BR181" s="97"/>
      <c r="BS181" s="97"/>
      <c r="BT181" s="98"/>
      <c r="BU181" s="96">
        <f>IF(ISNUMBER(BG181),BG181,0)+IF(ISNUMBER(BL181),BL181,0)</f>
        <v>0</v>
      </c>
      <c r="BV181" s="97"/>
      <c r="BW181" s="97"/>
      <c r="BX181" s="97"/>
      <c r="BY181" s="98"/>
    </row>
    <row r="182" spans="1:77" s="99" customFormat="1" ht="12.75" customHeight="1" x14ac:dyDescent="0.2">
      <c r="A182" s="89">
        <v>61</v>
      </c>
      <c r="B182" s="90"/>
      <c r="C182" s="90"/>
      <c r="D182" s="92" t="s">
        <v>250</v>
      </c>
      <c r="E182" s="93"/>
      <c r="F182" s="93"/>
      <c r="G182" s="93"/>
      <c r="H182" s="93"/>
      <c r="I182" s="93"/>
      <c r="J182" s="93"/>
      <c r="K182" s="93"/>
      <c r="L182" s="93"/>
      <c r="M182" s="93"/>
      <c r="N182" s="93"/>
      <c r="O182" s="93"/>
      <c r="P182" s="93"/>
      <c r="Q182" s="93"/>
      <c r="R182" s="93"/>
      <c r="S182" s="93"/>
      <c r="T182" s="94"/>
      <c r="U182" s="96">
        <v>269069</v>
      </c>
      <c r="V182" s="97"/>
      <c r="W182" s="97"/>
      <c r="X182" s="97"/>
      <c r="Y182" s="98"/>
      <c r="Z182" s="96">
        <v>0</v>
      </c>
      <c r="AA182" s="97"/>
      <c r="AB182" s="97"/>
      <c r="AC182" s="97"/>
      <c r="AD182" s="98"/>
      <c r="AE182" s="96">
        <v>0</v>
      </c>
      <c r="AF182" s="97"/>
      <c r="AG182" s="97"/>
      <c r="AH182" s="98"/>
      <c r="AI182" s="96">
        <f>IF(ISNUMBER(U182),U182,0)+IF(ISNUMBER(Z182),Z182,0)</f>
        <v>269069</v>
      </c>
      <c r="AJ182" s="97"/>
      <c r="AK182" s="97"/>
      <c r="AL182" s="97"/>
      <c r="AM182" s="98"/>
      <c r="AN182" s="96">
        <v>0</v>
      </c>
      <c r="AO182" s="97"/>
      <c r="AP182" s="97"/>
      <c r="AQ182" s="97"/>
      <c r="AR182" s="98"/>
      <c r="AS182" s="96">
        <v>0</v>
      </c>
      <c r="AT182" s="97"/>
      <c r="AU182" s="97"/>
      <c r="AV182" s="97"/>
      <c r="AW182" s="98"/>
      <c r="AX182" s="96">
        <v>0</v>
      </c>
      <c r="AY182" s="97"/>
      <c r="AZ182" s="97"/>
      <c r="BA182" s="98"/>
      <c r="BB182" s="96">
        <f>IF(ISNUMBER(AN182),AN182,0)+IF(ISNUMBER(AS182),AS182,0)</f>
        <v>0</v>
      </c>
      <c r="BC182" s="97"/>
      <c r="BD182" s="97"/>
      <c r="BE182" s="97"/>
      <c r="BF182" s="98"/>
      <c r="BG182" s="96">
        <v>284184</v>
      </c>
      <c r="BH182" s="97"/>
      <c r="BI182" s="97"/>
      <c r="BJ182" s="97"/>
      <c r="BK182" s="98"/>
      <c r="BL182" s="96">
        <v>0</v>
      </c>
      <c r="BM182" s="97"/>
      <c r="BN182" s="97"/>
      <c r="BO182" s="97"/>
      <c r="BP182" s="98"/>
      <c r="BQ182" s="96">
        <v>0</v>
      </c>
      <c r="BR182" s="97"/>
      <c r="BS182" s="97"/>
      <c r="BT182" s="98"/>
      <c r="BU182" s="96">
        <f>IF(ISNUMBER(BG182),BG182,0)+IF(ISNUMBER(BL182),BL182,0)</f>
        <v>284184</v>
      </c>
      <c r="BV182" s="97"/>
      <c r="BW182" s="97"/>
      <c r="BX182" s="97"/>
      <c r="BY182" s="98"/>
    </row>
    <row r="183" spans="1:77" s="99" customFormat="1" ht="12.75" customHeight="1" x14ac:dyDescent="0.2">
      <c r="A183" s="89">
        <v>62</v>
      </c>
      <c r="B183" s="90"/>
      <c r="C183" s="90"/>
      <c r="D183" s="92" t="s">
        <v>251</v>
      </c>
      <c r="E183" s="93"/>
      <c r="F183" s="93"/>
      <c r="G183" s="93"/>
      <c r="H183" s="93"/>
      <c r="I183" s="93"/>
      <c r="J183" s="93"/>
      <c r="K183" s="93"/>
      <c r="L183" s="93"/>
      <c r="M183" s="93"/>
      <c r="N183" s="93"/>
      <c r="O183" s="93"/>
      <c r="P183" s="93"/>
      <c r="Q183" s="93"/>
      <c r="R183" s="93"/>
      <c r="S183" s="93"/>
      <c r="T183" s="94"/>
      <c r="U183" s="96">
        <v>9604</v>
      </c>
      <c r="V183" s="97"/>
      <c r="W183" s="97"/>
      <c r="X183" s="97"/>
      <c r="Y183" s="98"/>
      <c r="Z183" s="96">
        <v>0</v>
      </c>
      <c r="AA183" s="97"/>
      <c r="AB183" s="97"/>
      <c r="AC183" s="97"/>
      <c r="AD183" s="98"/>
      <c r="AE183" s="96">
        <v>0</v>
      </c>
      <c r="AF183" s="97"/>
      <c r="AG183" s="97"/>
      <c r="AH183" s="98"/>
      <c r="AI183" s="96">
        <f>IF(ISNUMBER(U183),U183,0)+IF(ISNUMBER(Z183),Z183,0)</f>
        <v>9604</v>
      </c>
      <c r="AJ183" s="97"/>
      <c r="AK183" s="97"/>
      <c r="AL183" s="97"/>
      <c r="AM183" s="98"/>
      <c r="AN183" s="96">
        <v>14098</v>
      </c>
      <c r="AO183" s="97"/>
      <c r="AP183" s="97"/>
      <c r="AQ183" s="97"/>
      <c r="AR183" s="98"/>
      <c r="AS183" s="96">
        <v>0</v>
      </c>
      <c r="AT183" s="97"/>
      <c r="AU183" s="97"/>
      <c r="AV183" s="97"/>
      <c r="AW183" s="98"/>
      <c r="AX183" s="96">
        <v>0</v>
      </c>
      <c r="AY183" s="97"/>
      <c r="AZ183" s="97"/>
      <c r="BA183" s="98"/>
      <c r="BB183" s="96">
        <f>IF(ISNUMBER(AN183),AN183,0)+IF(ISNUMBER(AS183),AS183,0)</f>
        <v>14098</v>
      </c>
      <c r="BC183" s="97"/>
      <c r="BD183" s="97"/>
      <c r="BE183" s="97"/>
      <c r="BF183" s="98"/>
      <c r="BG183" s="96">
        <v>12370</v>
      </c>
      <c r="BH183" s="97"/>
      <c r="BI183" s="97"/>
      <c r="BJ183" s="97"/>
      <c r="BK183" s="98"/>
      <c r="BL183" s="96">
        <v>0</v>
      </c>
      <c r="BM183" s="97"/>
      <c r="BN183" s="97"/>
      <c r="BO183" s="97"/>
      <c r="BP183" s="98"/>
      <c r="BQ183" s="96">
        <v>0</v>
      </c>
      <c r="BR183" s="97"/>
      <c r="BS183" s="97"/>
      <c r="BT183" s="98"/>
      <c r="BU183" s="96">
        <f>IF(ISNUMBER(BG183),BG183,0)+IF(ISNUMBER(BL183),BL183,0)</f>
        <v>12370</v>
      </c>
      <c r="BV183" s="97"/>
      <c r="BW183" s="97"/>
      <c r="BX183" s="97"/>
      <c r="BY183" s="98"/>
    </row>
    <row r="184" spans="1:77" s="99" customFormat="1" ht="38.25" customHeight="1" x14ac:dyDescent="0.2">
      <c r="A184" s="89">
        <v>63</v>
      </c>
      <c r="B184" s="90"/>
      <c r="C184" s="90"/>
      <c r="D184" s="92" t="s">
        <v>252</v>
      </c>
      <c r="E184" s="93"/>
      <c r="F184" s="93"/>
      <c r="G184" s="93"/>
      <c r="H184" s="93"/>
      <c r="I184" s="93"/>
      <c r="J184" s="93"/>
      <c r="K184" s="93"/>
      <c r="L184" s="93"/>
      <c r="M184" s="93"/>
      <c r="N184" s="93"/>
      <c r="O184" s="93"/>
      <c r="P184" s="93"/>
      <c r="Q184" s="93"/>
      <c r="R184" s="93"/>
      <c r="S184" s="93"/>
      <c r="T184" s="94"/>
      <c r="U184" s="96">
        <v>0</v>
      </c>
      <c r="V184" s="97"/>
      <c r="W184" s="97"/>
      <c r="X184" s="97"/>
      <c r="Y184" s="98"/>
      <c r="Z184" s="96">
        <v>0</v>
      </c>
      <c r="AA184" s="97"/>
      <c r="AB184" s="97"/>
      <c r="AC184" s="97"/>
      <c r="AD184" s="98"/>
      <c r="AE184" s="96">
        <v>0</v>
      </c>
      <c r="AF184" s="97"/>
      <c r="AG184" s="97"/>
      <c r="AH184" s="98"/>
      <c r="AI184" s="96">
        <f>IF(ISNUMBER(U184),U184,0)+IF(ISNUMBER(Z184),Z184,0)</f>
        <v>0</v>
      </c>
      <c r="AJ184" s="97"/>
      <c r="AK184" s="97"/>
      <c r="AL184" s="97"/>
      <c r="AM184" s="98"/>
      <c r="AN184" s="96">
        <v>0</v>
      </c>
      <c r="AO184" s="97"/>
      <c r="AP184" s="97"/>
      <c r="AQ184" s="97"/>
      <c r="AR184" s="98"/>
      <c r="AS184" s="96">
        <v>0</v>
      </c>
      <c r="AT184" s="97"/>
      <c r="AU184" s="97"/>
      <c r="AV184" s="97"/>
      <c r="AW184" s="98"/>
      <c r="AX184" s="96">
        <v>0</v>
      </c>
      <c r="AY184" s="97"/>
      <c r="AZ184" s="97"/>
      <c r="BA184" s="98"/>
      <c r="BB184" s="96">
        <f>IF(ISNUMBER(AN184),AN184,0)+IF(ISNUMBER(AS184),AS184,0)</f>
        <v>0</v>
      </c>
      <c r="BC184" s="97"/>
      <c r="BD184" s="97"/>
      <c r="BE184" s="97"/>
      <c r="BF184" s="98"/>
      <c r="BG184" s="96">
        <v>0</v>
      </c>
      <c r="BH184" s="97"/>
      <c r="BI184" s="97"/>
      <c r="BJ184" s="97"/>
      <c r="BK184" s="98"/>
      <c r="BL184" s="96">
        <v>0</v>
      </c>
      <c r="BM184" s="97"/>
      <c r="BN184" s="97"/>
      <c r="BO184" s="97"/>
      <c r="BP184" s="98"/>
      <c r="BQ184" s="96">
        <v>0</v>
      </c>
      <c r="BR184" s="97"/>
      <c r="BS184" s="97"/>
      <c r="BT184" s="98"/>
      <c r="BU184" s="96">
        <f>IF(ISNUMBER(BG184),BG184,0)+IF(ISNUMBER(BL184),BL184,0)</f>
        <v>0</v>
      </c>
      <c r="BV184" s="97"/>
      <c r="BW184" s="97"/>
      <c r="BX184" s="97"/>
      <c r="BY184" s="98"/>
    </row>
    <row r="185" spans="1:77" s="99" customFormat="1" ht="12.75" customHeight="1" x14ac:dyDescent="0.2">
      <c r="A185" s="89">
        <v>64</v>
      </c>
      <c r="B185" s="90"/>
      <c r="C185" s="90"/>
      <c r="D185" s="92" t="s">
        <v>253</v>
      </c>
      <c r="E185" s="93"/>
      <c r="F185" s="93"/>
      <c r="G185" s="93"/>
      <c r="H185" s="93"/>
      <c r="I185" s="93"/>
      <c r="J185" s="93"/>
      <c r="K185" s="93"/>
      <c r="L185" s="93"/>
      <c r="M185" s="93"/>
      <c r="N185" s="93"/>
      <c r="O185" s="93"/>
      <c r="P185" s="93"/>
      <c r="Q185" s="93"/>
      <c r="R185" s="93"/>
      <c r="S185" s="93"/>
      <c r="T185" s="94"/>
      <c r="U185" s="96">
        <v>0</v>
      </c>
      <c r="V185" s="97"/>
      <c r="W185" s="97"/>
      <c r="X185" s="97"/>
      <c r="Y185" s="98"/>
      <c r="Z185" s="96">
        <v>0</v>
      </c>
      <c r="AA185" s="97"/>
      <c r="AB185" s="97"/>
      <c r="AC185" s="97"/>
      <c r="AD185" s="98"/>
      <c r="AE185" s="96">
        <v>0</v>
      </c>
      <c r="AF185" s="97"/>
      <c r="AG185" s="97"/>
      <c r="AH185" s="98"/>
      <c r="AI185" s="96">
        <f>IF(ISNUMBER(U185),U185,0)+IF(ISNUMBER(Z185),Z185,0)</f>
        <v>0</v>
      </c>
      <c r="AJ185" s="97"/>
      <c r="AK185" s="97"/>
      <c r="AL185" s="97"/>
      <c r="AM185" s="98"/>
      <c r="AN185" s="96">
        <v>0</v>
      </c>
      <c r="AO185" s="97"/>
      <c r="AP185" s="97"/>
      <c r="AQ185" s="97"/>
      <c r="AR185" s="98"/>
      <c r="AS185" s="96">
        <v>0</v>
      </c>
      <c r="AT185" s="97"/>
      <c r="AU185" s="97"/>
      <c r="AV185" s="97"/>
      <c r="AW185" s="98"/>
      <c r="AX185" s="96">
        <v>0</v>
      </c>
      <c r="AY185" s="97"/>
      <c r="AZ185" s="97"/>
      <c r="BA185" s="98"/>
      <c r="BB185" s="96">
        <f>IF(ISNUMBER(AN185),AN185,0)+IF(ISNUMBER(AS185),AS185,0)</f>
        <v>0</v>
      </c>
      <c r="BC185" s="97"/>
      <c r="BD185" s="97"/>
      <c r="BE185" s="97"/>
      <c r="BF185" s="98"/>
      <c r="BG185" s="96">
        <v>0</v>
      </c>
      <c r="BH185" s="97"/>
      <c r="BI185" s="97"/>
      <c r="BJ185" s="97"/>
      <c r="BK185" s="98"/>
      <c r="BL185" s="96">
        <v>0</v>
      </c>
      <c r="BM185" s="97"/>
      <c r="BN185" s="97"/>
      <c r="BO185" s="97"/>
      <c r="BP185" s="98"/>
      <c r="BQ185" s="96">
        <v>0</v>
      </c>
      <c r="BR185" s="97"/>
      <c r="BS185" s="97"/>
      <c r="BT185" s="98"/>
      <c r="BU185" s="96">
        <f>IF(ISNUMBER(BG185),BG185,0)+IF(ISNUMBER(BL185),BL185,0)</f>
        <v>0</v>
      </c>
      <c r="BV185" s="97"/>
      <c r="BW185" s="97"/>
      <c r="BX185" s="97"/>
      <c r="BY185" s="98"/>
    </row>
    <row r="186" spans="1:77" s="99" customFormat="1" ht="12.75" customHeight="1" x14ac:dyDescent="0.2">
      <c r="A186" s="89">
        <v>65</v>
      </c>
      <c r="B186" s="90"/>
      <c r="C186" s="90"/>
      <c r="D186" s="92" t="s">
        <v>254</v>
      </c>
      <c r="E186" s="93"/>
      <c r="F186" s="93"/>
      <c r="G186" s="93"/>
      <c r="H186" s="93"/>
      <c r="I186" s="93"/>
      <c r="J186" s="93"/>
      <c r="K186" s="93"/>
      <c r="L186" s="93"/>
      <c r="M186" s="93"/>
      <c r="N186" s="93"/>
      <c r="O186" s="93"/>
      <c r="P186" s="93"/>
      <c r="Q186" s="93"/>
      <c r="R186" s="93"/>
      <c r="S186" s="93"/>
      <c r="T186" s="94"/>
      <c r="U186" s="96">
        <v>3950</v>
      </c>
      <c r="V186" s="97"/>
      <c r="W186" s="97"/>
      <c r="X186" s="97"/>
      <c r="Y186" s="98"/>
      <c r="Z186" s="96">
        <v>0</v>
      </c>
      <c r="AA186" s="97"/>
      <c r="AB186" s="97"/>
      <c r="AC186" s="97"/>
      <c r="AD186" s="98"/>
      <c r="AE186" s="96">
        <v>0</v>
      </c>
      <c r="AF186" s="97"/>
      <c r="AG186" s="97"/>
      <c r="AH186" s="98"/>
      <c r="AI186" s="96">
        <f>IF(ISNUMBER(U186),U186,0)+IF(ISNUMBER(Z186),Z186,0)</f>
        <v>3950</v>
      </c>
      <c r="AJ186" s="97"/>
      <c r="AK186" s="97"/>
      <c r="AL186" s="97"/>
      <c r="AM186" s="98"/>
      <c r="AN186" s="96">
        <v>0</v>
      </c>
      <c r="AO186" s="97"/>
      <c r="AP186" s="97"/>
      <c r="AQ186" s="97"/>
      <c r="AR186" s="98"/>
      <c r="AS186" s="96">
        <v>0</v>
      </c>
      <c r="AT186" s="97"/>
      <c r="AU186" s="97"/>
      <c r="AV186" s="97"/>
      <c r="AW186" s="98"/>
      <c r="AX186" s="96">
        <v>0</v>
      </c>
      <c r="AY186" s="97"/>
      <c r="AZ186" s="97"/>
      <c r="BA186" s="98"/>
      <c r="BB186" s="96">
        <f>IF(ISNUMBER(AN186),AN186,0)+IF(ISNUMBER(AS186),AS186,0)</f>
        <v>0</v>
      </c>
      <c r="BC186" s="97"/>
      <c r="BD186" s="97"/>
      <c r="BE186" s="97"/>
      <c r="BF186" s="98"/>
      <c r="BG186" s="96">
        <v>0</v>
      </c>
      <c r="BH186" s="97"/>
      <c r="BI186" s="97"/>
      <c r="BJ186" s="97"/>
      <c r="BK186" s="98"/>
      <c r="BL186" s="96">
        <v>0</v>
      </c>
      <c r="BM186" s="97"/>
      <c r="BN186" s="97"/>
      <c r="BO186" s="97"/>
      <c r="BP186" s="98"/>
      <c r="BQ186" s="96">
        <v>0</v>
      </c>
      <c r="BR186" s="97"/>
      <c r="BS186" s="97"/>
      <c r="BT186" s="98"/>
      <c r="BU186" s="96">
        <f>IF(ISNUMBER(BG186),BG186,0)+IF(ISNUMBER(BL186),BL186,0)</f>
        <v>0</v>
      </c>
      <c r="BV186" s="97"/>
      <c r="BW186" s="97"/>
      <c r="BX186" s="97"/>
      <c r="BY186" s="98"/>
    </row>
    <row r="187" spans="1:77" s="99" customFormat="1" ht="12.75" customHeight="1" x14ac:dyDescent="0.2">
      <c r="A187" s="89">
        <v>66</v>
      </c>
      <c r="B187" s="90"/>
      <c r="C187" s="90"/>
      <c r="D187" s="92" t="s">
        <v>255</v>
      </c>
      <c r="E187" s="93"/>
      <c r="F187" s="93"/>
      <c r="G187" s="93"/>
      <c r="H187" s="93"/>
      <c r="I187" s="93"/>
      <c r="J187" s="93"/>
      <c r="K187" s="93"/>
      <c r="L187" s="93"/>
      <c r="M187" s="93"/>
      <c r="N187" s="93"/>
      <c r="O187" s="93"/>
      <c r="P187" s="93"/>
      <c r="Q187" s="93"/>
      <c r="R187" s="93"/>
      <c r="S187" s="93"/>
      <c r="T187" s="94"/>
      <c r="U187" s="96">
        <v>49980</v>
      </c>
      <c r="V187" s="97"/>
      <c r="W187" s="97"/>
      <c r="X187" s="97"/>
      <c r="Y187" s="98"/>
      <c r="Z187" s="96">
        <v>0</v>
      </c>
      <c r="AA187" s="97"/>
      <c r="AB187" s="97"/>
      <c r="AC187" s="97"/>
      <c r="AD187" s="98"/>
      <c r="AE187" s="96">
        <v>0</v>
      </c>
      <c r="AF187" s="97"/>
      <c r="AG187" s="97"/>
      <c r="AH187" s="98"/>
      <c r="AI187" s="96">
        <f>IF(ISNUMBER(U187),U187,0)+IF(ISNUMBER(Z187),Z187,0)</f>
        <v>49980</v>
      </c>
      <c r="AJ187" s="97"/>
      <c r="AK187" s="97"/>
      <c r="AL187" s="97"/>
      <c r="AM187" s="98"/>
      <c r="AN187" s="96">
        <v>0</v>
      </c>
      <c r="AO187" s="97"/>
      <c r="AP187" s="97"/>
      <c r="AQ187" s="97"/>
      <c r="AR187" s="98"/>
      <c r="AS187" s="96">
        <v>0</v>
      </c>
      <c r="AT187" s="97"/>
      <c r="AU187" s="97"/>
      <c r="AV187" s="97"/>
      <c r="AW187" s="98"/>
      <c r="AX187" s="96">
        <v>0</v>
      </c>
      <c r="AY187" s="97"/>
      <c r="AZ187" s="97"/>
      <c r="BA187" s="98"/>
      <c r="BB187" s="96">
        <f>IF(ISNUMBER(AN187),AN187,0)+IF(ISNUMBER(AS187),AS187,0)</f>
        <v>0</v>
      </c>
      <c r="BC187" s="97"/>
      <c r="BD187" s="97"/>
      <c r="BE187" s="97"/>
      <c r="BF187" s="98"/>
      <c r="BG187" s="96">
        <v>0</v>
      </c>
      <c r="BH187" s="97"/>
      <c r="BI187" s="97"/>
      <c r="BJ187" s="97"/>
      <c r="BK187" s="98"/>
      <c r="BL187" s="96">
        <v>0</v>
      </c>
      <c r="BM187" s="97"/>
      <c r="BN187" s="97"/>
      <c r="BO187" s="97"/>
      <c r="BP187" s="98"/>
      <c r="BQ187" s="96">
        <v>0</v>
      </c>
      <c r="BR187" s="97"/>
      <c r="BS187" s="97"/>
      <c r="BT187" s="98"/>
      <c r="BU187" s="96">
        <f>IF(ISNUMBER(BG187),BG187,0)+IF(ISNUMBER(BL187),BL187,0)</f>
        <v>0</v>
      </c>
      <c r="BV187" s="97"/>
      <c r="BW187" s="97"/>
      <c r="BX187" s="97"/>
      <c r="BY187" s="98"/>
    </row>
    <row r="188" spans="1:77" s="99" customFormat="1" ht="12.75" customHeight="1" x14ac:dyDescent="0.2">
      <c r="A188" s="89">
        <v>67</v>
      </c>
      <c r="B188" s="90"/>
      <c r="C188" s="90"/>
      <c r="D188" s="92" t="s">
        <v>182</v>
      </c>
      <c r="E188" s="93"/>
      <c r="F188" s="93"/>
      <c r="G188" s="93"/>
      <c r="H188" s="93"/>
      <c r="I188" s="93"/>
      <c r="J188" s="93"/>
      <c r="K188" s="93"/>
      <c r="L188" s="93"/>
      <c r="M188" s="93"/>
      <c r="N188" s="93"/>
      <c r="O188" s="93"/>
      <c r="P188" s="93"/>
      <c r="Q188" s="93"/>
      <c r="R188" s="93"/>
      <c r="S188" s="93"/>
      <c r="T188" s="94"/>
      <c r="U188" s="96">
        <v>0</v>
      </c>
      <c r="V188" s="97"/>
      <c r="W188" s="97"/>
      <c r="X188" s="97"/>
      <c r="Y188" s="98"/>
      <c r="Z188" s="96">
        <v>66745</v>
      </c>
      <c r="AA188" s="97"/>
      <c r="AB188" s="97"/>
      <c r="AC188" s="97"/>
      <c r="AD188" s="98"/>
      <c r="AE188" s="96">
        <v>0</v>
      </c>
      <c r="AF188" s="97"/>
      <c r="AG188" s="97"/>
      <c r="AH188" s="98"/>
      <c r="AI188" s="96">
        <f>IF(ISNUMBER(U188),U188,0)+IF(ISNUMBER(Z188),Z188,0)</f>
        <v>66745</v>
      </c>
      <c r="AJ188" s="97"/>
      <c r="AK188" s="97"/>
      <c r="AL188" s="97"/>
      <c r="AM188" s="98"/>
      <c r="AN188" s="96">
        <v>0</v>
      </c>
      <c r="AO188" s="97"/>
      <c r="AP188" s="97"/>
      <c r="AQ188" s="97"/>
      <c r="AR188" s="98"/>
      <c r="AS188" s="96">
        <v>2500000</v>
      </c>
      <c r="AT188" s="97"/>
      <c r="AU188" s="97"/>
      <c r="AV188" s="97"/>
      <c r="AW188" s="98"/>
      <c r="AX188" s="96">
        <v>0</v>
      </c>
      <c r="AY188" s="97"/>
      <c r="AZ188" s="97"/>
      <c r="BA188" s="98"/>
      <c r="BB188" s="96">
        <f>IF(ISNUMBER(AN188),AN188,0)+IF(ISNUMBER(AS188),AS188,0)</f>
        <v>2500000</v>
      </c>
      <c r="BC188" s="97"/>
      <c r="BD188" s="97"/>
      <c r="BE188" s="97"/>
      <c r="BF188" s="98"/>
      <c r="BG188" s="96">
        <v>0</v>
      </c>
      <c r="BH188" s="97"/>
      <c r="BI188" s="97"/>
      <c r="BJ188" s="97"/>
      <c r="BK188" s="98"/>
      <c r="BL188" s="96">
        <v>0</v>
      </c>
      <c r="BM188" s="97"/>
      <c r="BN188" s="97"/>
      <c r="BO188" s="97"/>
      <c r="BP188" s="98"/>
      <c r="BQ188" s="96">
        <v>0</v>
      </c>
      <c r="BR188" s="97"/>
      <c r="BS188" s="97"/>
      <c r="BT188" s="98"/>
      <c r="BU188" s="96">
        <f>IF(ISNUMBER(BG188),BG188,0)+IF(ISNUMBER(BL188),BL188,0)</f>
        <v>0</v>
      </c>
      <c r="BV188" s="97"/>
      <c r="BW188" s="97"/>
      <c r="BX188" s="97"/>
      <c r="BY188" s="98"/>
    </row>
    <row r="189" spans="1:77" s="99" customFormat="1" ht="25.5" customHeight="1" x14ac:dyDescent="0.2">
      <c r="A189" s="89">
        <v>68</v>
      </c>
      <c r="B189" s="90"/>
      <c r="C189" s="90"/>
      <c r="D189" s="92" t="s">
        <v>256</v>
      </c>
      <c r="E189" s="93"/>
      <c r="F189" s="93"/>
      <c r="G189" s="93"/>
      <c r="H189" s="93"/>
      <c r="I189" s="93"/>
      <c r="J189" s="93"/>
      <c r="K189" s="93"/>
      <c r="L189" s="93"/>
      <c r="M189" s="93"/>
      <c r="N189" s="93"/>
      <c r="O189" s="93"/>
      <c r="P189" s="93"/>
      <c r="Q189" s="93"/>
      <c r="R189" s="93"/>
      <c r="S189" s="93"/>
      <c r="T189" s="94"/>
      <c r="U189" s="96">
        <v>0</v>
      </c>
      <c r="V189" s="97"/>
      <c r="W189" s="97"/>
      <c r="X189" s="97"/>
      <c r="Y189" s="98"/>
      <c r="Z189" s="96">
        <v>0</v>
      </c>
      <c r="AA189" s="97"/>
      <c r="AB189" s="97"/>
      <c r="AC189" s="97"/>
      <c r="AD189" s="98"/>
      <c r="AE189" s="96">
        <v>293320</v>
      </c>
      <c r="AF189" s="97"/>
      <c r="AG189" s="97"/>
      <c r="AH189" s="98"/>
      <c r="AI189" s="96">
        <f>IF(ISNUMBER(U189),U189,0)+IF(ISNUMBER(Z189),Z189,0)</f>
        <v>0</v>
      </c>
      <c r="AJ189" s="97"/>
      <c r="AK189" s="97"/>
      <c r="AL189" s="97"/>
      <c r="AM189" s="98"/>
      <c r="AN189" s="96">
        <v>0</v>
      </c>
      <c r="AO189" s="97"/>
      <c r="AP189" s="97"/>
      <c r="AQ189" s="97"/>
      <c r="AR189" s="98"/>
      <c r="AS189" s="96">
        <v>0</v>
      </c>
      <c r="AT189" s="97"/>
      <c r="AU189" s="97"/>
      <c r="AV189" s="97"/>
      <c r="AW189" s="98"/>
      <c r="AX189" s="96">
        <v>0</v>
      </c>
      <c r="AY189" s="97"/>
      <c r="AZ189" s="97"/>
      <c r="BA189" s="98"/>
      <c r="BB189" s="96">
        <f>IF(ISNUMBER(AN189),AN189,0)+IF(ISNUMBER(AS189),AS189,0)</f>
        <v>0</v>
      </c>
      <c r="BC189" s="97"/>
      <c r="BD189" s="97"/>
      <c r="BE189" s="97"/>
      <c r="BF189" s="98"/>
      <c r="BG189" s="96">
        <v>0</v>
      </c>
      <c r="BH189" s="97"/>
      <c r="BI189" s="97"/>
      <c r="BJ189" s="97"/>
      <c r="BK189" s="98"/>
      <c r="BL189" s="96">
        <v>0</v>
      </c>
      <c r="BM189" s="97"/>
      <c r="BN189" s="97"/>
      <c r="BO189" s="97"/>
      <c r="BP189" s="98"/>
      <c r="BQ189" s="96">
        <v>0</v>
      </c>
      <c r="BR189" s="97"/>
      <c r="BS189" s="97"/>
      <c r="BT189" s="98"/>
      <c r="BU189" s="96">
        <f>IF(ISNUMBER(BG189),BG189,0)+IF(ISNUMBER(BL189),BL189,0)</f>
        <v>0</v>
      </c>
      <c r="BV189" s="97"/>
      <c r="BW189" s="97"/>
      <c r="BX189" s="97"/>
      <c r="BY189" s="98"/>
    </row>
    <row r="190" spans="1:77" s="99" customFormat="1" ht="25.5" customHeight="1" x14ac:dyDescent="0.2">
      <c r="A190" s="89">
        <v>69</v>
      </c>
      <c r="B190" s="90"/>
      <c r="C190" s="90"/>
      <c r="D190" s="92" t="s">
        <v>257</v>
      </c>
      <c r="E190" s="93"/>
      <c r="F190" s="93"/>
      <c r="G190" s="93"/>
      <c r="H190" s="93"/>
      <c r="I190" s="93"/>
      <c r="J190" s="93"/>
      <c r="K190" s="93"/>
      <c r="L190" s="93"/>
      <c r="M190" s="93"/>
      <c r="N190" s="93"/>
      <c r="O190" s="93"/>
      <c r="P190" s="93"/>
      <c r="Q190" s="93"/>
      <c r="R190" s="93"/>
      <c r="S190" s="93"/>
      <c r="T190" s="94"/>
      <c r="U190" s="96">
        <v>0</v>
      </c>
      <c r="V190" s="97"/>
      <c r="W190" s="97"/>
      <c r="X190" s="97"/>
      <c r="Y190" s="98"/>
      <c r="Z190" s="96">
        <v>0</v>
      </c>
      <c r="AA190" s="97"/>
      <c r="AB190" s="97"/>
      <c r="AC190" s="97"/>
      <c r="AD190" s="98"/>
      <c r="AE190" s="96">
        <v>0</v>
      </c>
      <c r="AF190" s="97"/>
      <c r="AG190" s="97"/>
      <c r="AH190" s="98"/>
      <c r="AI190" s="96">
        <f>IF(ISNUMBER(U190),U190,0)+IF(ISNUMBER(Z190),Z190,0)</f>
        <v>0</v>
      </c>
      <c r="AJ190" s="97"/>
      <c r="AK190" s="97"/>
      <c r="AL190" s="97"/>
      <c r="AM190" s="98"/>
      <c r="AN190" s="96">
        <v>0</v>
      </c>
      <c r="AO190" s="97"/>
      <c r="AP190" s="97"/>
      <c r="AQ190" s="97"/>
      <c r="AR190" s="98"/>
      <c r="AS190" s="96">
        <v>0</v>
      </c>
      <c r="AT190" s="97"/>
      <c r="AU190" s="97"/>
      <c r="AV190" s="97"/>
      <c r="AW190" s="98"/>
      <c r="AX190" s="96">
        <v>0</v>
      </c>
      <c r="AY190" s="97"/>
      <c r="AZ190" s="97"/>
      <c r="BA190" s="98"/>
      <c r="BB190" s="96">
        <f>IF(ISNUMBER(AN190),AN190,0)+IF(ISNUMBER(AS190),AS190,0)</f>
        <v>0</v>
      </c>
      <c r="BC190" s="97"/>
      <c r="BD190" s="97"/>
      <c r="BE190" s="97"/>
      <c r="BF190" s="98"/>
      <c r="BG190" s="96">
        <v>0</v>
      </c>
      <c r="BH190" s="97"/>
      <c r="BI190" s="97"/>
      <c r="BJ190" s="97"/>
      <c r="BK190" s="98"/>
      <c r="BL190" s="96">
        <v>0</v>
      </c>
      <c r="BM190" s="97"/>
      <c r="BN190" s="97"/>
      <c r="BO190" s="97"/>
      <c r="BP190" s="98"/>
      <c r="BQ190" s="96">
        <v>0</v>
      </c>
      <c r="BR190" s="97"/>
      <c r="BS190" s="97"/>
      <c r="BT190" s="98"/>
      <c r="BU190" s="96">
        <f>IF(ISNUMBER(BG190),BG190,0)+IF(ISNUMBER(BL190),BL190,0)</f>
        <v>0</v>
      </c>
      <c r="BV190" s="97"/>
      <c r="BW190" s="97"/>
      <c r="BX190" s="97"/>
      <c r="BY190" s="98"/>
    </row>
    <row r="191" spans="1:77" s="99" customFormat="1" ht="12.75" customHeight="1" x14ac:dyDescent="0.2">
      <c r="A191" s="89">
        <v>70</v>
      </c>
      <c r="B191" s="90"/>
      <c r="C191" s="90"/>
      <c r="D191" s="92" t="s">
        <v>258</v>
      </c>
      <c r="E191" s="93"/>
      <c r="F191" s="93"/>
      <c r="G191" s="93"/>
      <c r="H191" s="93"/>
      <c r="I191" s="93"/>
      <c r="J191" s="93"/>
      <c r="K191" s="93"/>
      <c r="L191" s="93"/>
      <c r="M191" s="93"/>
      <c r="N191" s="93"/>
      <c r="O191" s="93"/>
      <c r="P191" s="93"/>
      <c r="Q191" s="93"/>
      <c r="R191" s="93"/>
      <c r="S191" s="93"/>
      <c r="T191" s="94"/>
      <c r="U191" s="96">
        <v>640</v>
      </c>
      <c r="V191" s="97"/>
      <c r="W191" s="97"/>
      <c r="X191" s="97"/>
      <c r="Y191" s="98"/>
      <c r="Z191" s="96">
        <v>0</v>
      </c>
      <c r="AA191" s="97"/>
      <c r="AB191" s="97"/>
      <c r="AC191" s="97"/>
      <c r="AD191" s="98"/>
      <c r="AE191" s="96">
        <v>0</v>
      </c>
      <c r="AF191" s="97"/>
      <c r="AG191" s="97"/>
      <c r="AH191" s="98"/>
      <c r="AI191" s="96">
        <f>IF(ISNUMBER(U191),U191,0)+IF(ISNUMBER(Z191),Z191,0)</f>
        <v>640</v>
      </c>
      <c r="AJ191" s="97"/>
      <c r="AK191" s="97"/>
      <c r="AL191" s="97"/>
      <c r="AM191" s="98"/>
      <c r="AN191" s="96">
        <v>3000</v>
      </c>
      <c r="AO191" s="97"/>
      <c r="AP191" s="97"/>
      <c r="AQ191" s="97"/>
      <c r="AR191" s="98"/>
      <c r="AS191" s="96">
        <v>0</v>
      </c>
      <c r="AT191" s="97"/>
      <c r="AU191" s="97"/>
      <c r="AV191" s="97"/>
      <c r="AW191" s="98"/>
      <c r="AX191" s="96">
        <v>0</v>
      </c>
      <c r="AY191" s="97"/>
      <c r="AZ191" s="97"/>
      <c r="BA191" s="98"/>
      <c r="BB191" s="96">
        <f>IF(ISNUMBER(AN191),AN191,0)+IF(ISNUMBER(AS191),AS191,0)</f>
        <v>3000</v>
      </c>
      <c r="BC191" s="97"/>
      <c r="BD191" s="97"/>
      <c r="BE191" s="97"/>
      <c r="BF191" s="98"/>
      <c r="BG191" s="96">
        <v>0</v>
      </c>
      <c r="BH191" s="97"/>
      <c r="BI191" s="97"/>
      <c r="BJ191" s="97"/>
      <c r="BK191" s="98"/>
      <c r="BL191" s="96">
        <v>0</v>
      </c>
      <c r="BM191" s="97"/>
      <c r="BN191" s="97"/>
      <c r="BO191" s="97"/>
      <c r="BP191" s="98"/>
      <c r="BQ191" s="96">
        <v>0</v>
      </c>
      <c r="BR191" s="97"/>
      <c r="BS191" s="97"/>
      <c r="BT191" s="98"/>
      <c r="BU191" s="96">
        <f>IF(ISNUMBER(BG191),BG191,0)+IF(ISNUMBER(BL191),BL191,0)</f>
        <v>0</v>
      </c>
      <c r="BV191" s="97"/>
      <c r="BW191" s="97"/>
      <c r="BX191" s="97"/>
      <c r="BY191" s="98"/>
    </row>
    <row r="192" spans="1:77" s="99" customFormat="1" ht="12.75" customHeight="1" x14ac:dyDescent="0.2">
      <c r="A192" s="89">
        <v>71</v>
      </c>
      <c r="B192" s="90"/>
      <c r="C192" s="90"/>
      <c r="D192" s="92" t="s">
        <v>259</v>
      </c>
      <c r="E192" s="93"/>
      <c r="F192" s="93"/>
      <c r="G192" s="93"/>
      <c r="H192" s="93"/>
      <c r="I192" s="93"/>
      <c r="J192" s="93"/>
      <c r="K192" s="93"/>
      <c r="L192" s="93"/>
      <c r="M192" s="93"/>
      <c r="N192" s="93"/>
      <c r="O192" s="93"/>
      <c r="P192" s="93"/>
      <c r="Q192" s="93"/>
      <c r="R192" s="93"/>
      <c r="S192" s="93"/>
      <c r="T192" s="94"/>
      <c r="U192" s="96">
        <v>0</v>
      </c>
      <c r="V192" s="97"/>
      <c r="W192" s="97"/>
      <c r="X192" s="97"/>
      <c r="Y192" s="98"/>
      <c r="Z192" s="96">
        <v>0</v>
      </c>
      <c r="AA192" s="97"/>
      <c r="AB192" s="97"/>
      <c r="AC192" s="97"/>
      <c r="AD192" s="98"/>
      <c r="AE192" s="96">
        <v>0</v>
      </c>
      <c r="AF192" s="97"/>
      <c r="AG192" s="97"/>
      <c r="AH192" s="98"/>
      <c r="AI192" s="96">
        <f>IF(ISNUMBER(U192),U192,0)+IF(ISNUMBER(Z192),Z192,0)</f>
        <v>0</v>
      </c>
      <c r="AJ192" s="97"/>
      <c r="AK192" s="97"/>
      <c r="AL192" s="97"/>
      <c r="AM192" s="98"/>
      <c r="AN192" s="96">
        <v>0</v>
      </c>
      <c r="AO192" s="97"/>
      <c r="AP192" s="97"/>
      <c r="AQ192" s="97"/>
      <c r="AR192" s="98"/>
      <c r="AS192" s="96">
        <v>0</v>
      </c>
      <c r="AT192" s="97"/>
      <c r="AU192" s="97"/>
      <c r="AV192" s="97"/>
      <c r="AW192" s="98"/>
      <c r="AX192" s="96">
        <v>0</v>
      </c>
      <c r="AY192" s="97"/>
      <c r="AZ192" s="97"/>
      <c r="BA192" s="98"/>
      <c r="BB192" s="96">
        <f>IF(ISNUMBER(AN192),AN192,0)+IF(ISNUMBER(AS192),AS192,0)</f>
        <v>0</v>
      </c>
      <c r="BC192" s="97"/>
      <c r="BD192" s="97"/>
      <c r="BE192" s="97"/>
      <c r="BF192" s="98"/>
      <c r="BG192" s="96">
        <v>3000</v>
      </c>
      <c r="BH192" s="97"/>
      <c r="BI192" s="97"/>
      <c r="BJ192" s="97"/>
      <c r="BK192" s="98"/>
      <c r="BL192" s="96">
        <v>0</v>
      </c>
      <c r="BM192" s="97"/>
      <c r="BN192" s="97"/>
      <c r="BO192" s="97"/>
      <c r="BP192" s="98"/>
      <c r="BQ192" s="96">
        <v>0</v>
      </c>
      <c r="BR192" s="97"/>
      <c r="BS192" s="97"/>
      <c r="BT192" s="98"/>
      <c r="BU192" s="96">
        <f>IF(ISNUMBER(BG192),BG192,0)+IF(ISNUMBER(BL192),BL192,0)</f>
        <v>3000</v>
      </c>
      <c r="BV192" s="97"/>
      <c r="BW192" s="97"/>
      <c r="BX192" s="97"/>
      <c r="BY192" s="98"/>
    </row>
    <row r="193" spans="1:79" s="99" customFormat="1" ht="25.5" customHeight="1" x14ac:dyDescent="0.2">
      <c r="A193" s="89">
        <v>72</v>
      </c>
      <c r="B193" s="90"/>
      <c r="C193" s="90"/>
      <c r="D193" s="92" t="s">
        <v>260</v>
      </c>
      <c r="E193" s="93"/>
      <c r="F193" s="93"/>
      <c r="G193" s="93"/>
      <c r="H193" s="93"/>
      <c r="I193" s="93"/>
      <c r="J193" s="93"/>
      <c r="K193" s="93"/>
      <c r="L193" s="93"/>
      <c r="M193" s="93"/>
      <c r="N193" s="93"/>
      <c r="O193" s="93"/>
      <c r="P193" s="93"/>
      <c r="Q193" s="93"/>
      <c r="R193" s="93"/>
      <c r="S193" s="93"/>
      <c r="T193" s="94"/>
      <c r="U193" s="96">
        <v>0</v>
      </c>
      <c r="V193" s="97"/>
      <c r="W193" s="97"/>
      <c r="X193" s="97"/>
      <c r="Y193" s="98"/>
      <c r="Z193" s="96">
        <v>0</v>
      </c>
      <c r="AA193" s="97"/>
      <c r="AB193" s="97"/>
      <c r="AC193" s="97"/>
      <c r="AD193" s="98"/>
      <c r="AE193" s="96">
        <v>0</v>
      </c>
      <c r="AF193" s="97"/>
      <c r="AG193" s="97"/>
      <c r="AH193" s="98"/>
      <c r="AI193" s="96">
        <f>IF(ISNUMBER(U193),U193,0)+IF(ISNUMBER(Z193),Z193,0)</f>
        <v>0</v>
      </c>
      <c r="AJ193" s="97"/>
      <c r="AK193" s="97"/>
      <c r="AL193" s="97"/>
      <c r="AM193" s="98"/>
      <c r="AN193" s="96">
        <v>0</v>
      </c>
      <c r="AO193" s="97"/>
      <c r="AP193" s="97"/>
      <c r="AQ193" s="97"/>
      <c r="AR193" s="98"/>
      <c r="AS193" s="96">
        <v>0</v>
      </c>
      <c r="AT193" s="97"/>
      <c r="AU193" s="97"/>
      <c r="AV193" s="97"/>
      <c r="AW193" s="98"/>
      <c r="AX193" s="96">
        <v>0</v>
      </c>
      <c r="AY193" s="97"/>
      <c r="AZ193" s="97"/>
      <c r="BA193" s="98"/>
      <c r="BB193" s="96">
        <f>IF(ISNUMBER(AN193),AN193,0)+IF(ISNUMBER(AS193),AS193,0)</f>
        <v>0</v>
      </c>
      <c r="BC193" s="97"/>
      <c r="BD193" s="97"/>
      <c r="BE193" s="97"/>
      <c r="BF193" s="98"/>
      <c r="BG193" s="96">
        <v>28000</v>
      </c>
      <c r="BH193" s="97"/>
      <c r="BI193" s="97"/>
      <c r="BJ193" s="97"/>
      <c r="BK193" s="98"/>
      <c r="BL193" s="96">
        <v>0</v>
      </c>
      <c r="BM193" s="97"/>
      <c r="BN193" s="97"/>
      <c r="BO193" s="97"/>
      <c r="BP193" s="98"/>
      <c r="BQ193" s="96">
        <v>0</v>
      </c>
      <c r="BR193" s="97"/>
      <c r="BS193" s="97"/>
      <c r="BT193" s="98"/>
      <c r="BU193" s="96">
        <f>IF(ISNUMBER(BG193),BG193,0)+IF(ISNUMBER(BL193),BL193,0)</f>
        <v>28000</v>
      </c>
      <c r="BV193" s="97"/>
      <c r="BW193" s="97"/>
      <c r="BX193" s="97"/>
      <c r="BY193" s="98"/>
    </row>
    <row r="194" spans="1:79" s="99" customFormat="1" ht="25.5" customHeight="1" x14ac:dyDescent="0.2">
      <c r="A194" s="89">
        <v>73</v>
      </c>
      <c r="B194" s="90"/>
      <c r="C194" s="90"/>
      <c r="D194" s="92" t="s">
        <v>261</v>
      </c>
      <c r="E194" s="93"/>
      <c r="F194" s="93"/>
      <c r="G194" s="93"/>
      <c r="H194" s="93"/>
      <c r="I194" s="93"/>
      <c r="J194" s="93"/>
      <c r="K194" s="93"/>
      <c r="L194" s="93"/>
      <c r="M194" s="93"/>
      <c r="N194" s="93"/>
      <c r="O194" s="93"/>
      <c r="P194" s="93"/>
      <c r="Q194" s="93"/>
      <c r="R194" s="93"/>
      <c r="S194" s="93"/>
      <c r="T194" s="94"/>
      <c r="U194" s="96">
        <v>0</v>
      </c>
      <c r="V194" s="97"/>
      <c r="W194" s="97"/>
      <c r="X194" s="97"/>
      <c r="Y194" s="98"/>
      <c r="Z194" s="96">
        <v>0</v>
      </c>
      <c r="AA194" s="97"/>
      <c r="AB194" s="97"/>
      <c r="AC194" s="97"/>
      <c r="AD194" s="98"/>
      <c r="AE194" s="96">
        <v>0</v>
      </c>
      <c r="AF194" s="97"/>
      <c r="AG194" s="97"/>
      <c r="AH194" s="98"/>
      <c r="AI194" s="96">
        <f>IF(ISNUMBER(U194),U194,0)+IF(ISNUMBER(Z194),Z194,0)</f>
        <v>0</v>
      </c>
      <c r="AJ194" s="97"/>
      <c r="AK194" s="97"/>
      <c r="AL194" s="97"/>
      <c r="AM194" s="98"/>
      <c r="AN194" s="96">
        <v>0</v>
      </c>
      <c r="AO194" s="97"/>
      <c r="AP194" s="97"/>
      <c r="AQ194" s="97"/>
      <c r="AR194" s="98"/>
      <c r="AS194" s="96">
        <v>0</v>
      </c>
      <c r="AT194" s="97"/>
      <c r="AU194" s="97"/>
      <c r="AV194" s="97"/>
      <c r="AW194" s="98"/>
      <c r="AX194" s="96">
        <v>0</v>
      </c>
      <c r="AY194" s="97"/>
      <c r="AZ194" s="97"/>
      <c r="BA194" s="98"/>
      <c r="BB194" s="96">
        <f>IF(ISNUMBER(AN194),AN194,0)+IF(ISNUMBER(AS194),AS194,0)</f>
        <v>0</v>
      </c>
      <c r="BC194" s="97"/>
      <c r="BD194" s="97"/>
      <c r="BE194" s="97"/>
      <c r="BF194" s="98"/>
      <c r="BG194" s="96">
        <v>78500</v>
      </c>
      <c r="BH194" s="97"/>
      <c r="BI194" s="97"/>
      <c r="BJ194" s="97"/>
      <c r="BK194" s="98"/>
      <c r="BL194" s="96">
        <v>0</v>
      </c>
      <c r="BM194" s="97"/>
      <c r="BN194" s="97"/>
      <c r="BO194" s="97"/>
      <c r="BP194" s="98"/>
      <c r="BQ194" s="96">
        <v>0</v>
      </c>
      <c r="BR194" s="97"/>
      <c r="BS194" s="97"/>
      <c r="BT194" s="98"/>
      <c r="BU194" s="96">
        <f>IF(ISNUMBER(BG194),BG194,0)+IF(ISNUMBER(BL194),BL194,0)</f>
        <v>78500</v>
      </c>
      <c r="BV194" s="97"/>
      <c r="BW194" s="97"/>
      <c r="BX194" s="97"/>
      <c r="BY194" s="98"/>
    </row>
    <row r="195" spans="1:79" s="99" customFormat="1" ht="25.5" customHeight="1" x14ac:dyDescent="0.2">
      <c r="A195" s="89">
        <v>74</v>
      </c>
      <c r="B195" s="90"/>
      <c r="C195" s="90"/>
      <c r="D195" s="92" t="s">
        <v>262</v>
      </c>
      <c r="E195" s="93"/>
      <c r="F195" s="93"/>
      <c r="G195" s="93"/>
      <c r="H195" s="93"/>
      <c r="I195" s="93"/>
      <c r="J195" s="93"/>
      <c r="K195" s="93"/>
      <c r="L195" s="93"/>
      <c r="M195" s="93"/>
      <c r="N195" s="93"/>
      <c r="O195" s="93"/>
      <c r="P195" s="93"/>
      <c r="Q195" s="93"/>
      <c r="R195" s="93"/>
      <c r="S195" s="93"/>
      <c r="T195" s="94"/>
      <c r="U195" s="96">
        <v>0</v>
      </c>
      <c r="V195" s="97"/>
      <c r="W195" s="97"/>
      <c r="X195" s="97"/>
      <c r="Y195" s="98"/>
      <c r="Z195" s="96">
        <v>0</v>
      </c>
      <c r="AA195" s="97"/>
      <c r="AB195" s="97"/>
      <c r="AC195" s="97"/>
      <c r="AD195" s="98"/>
      <c r="AE195" s="96">
        <v>0</v>
      </c>
      <c r="AF195" s="97"/>
      <c r="AG195" s="97"/>
      <c r="AH195" s="98"/>
      <c r="AI195" s="96">
        <f>IF(ISNUMBER(U195),U195,0)+IF(ISNUMBER(Z195),Z195,0)</f>
        <v>0</v>
      </c>
      <c r="AJ195" s="97"/>
      <c r="AK195" s="97"/>
      <c r="AL195" s="97"/>
      <c r="AM195" s="98"/>
      <c r="AN195" s="96">
        <v>0</v>
      </c>
      <c r="AO195" s="97"/>
      <c r="AP195" s="97"/>
      <c r="AQ195" s="97"/>
      <c r="AR195" s="98"/>
      <c r="AS195" s="96">
        <v>0</v>
      </c>
      <c r="AT195" s="97"/>
      <c r="AU195" s="97"/>
      <c r="AV195" s="97"/>
      <c r="AW195" s="98"/>
      <c r="AX195" s="96">
        <v>0</v>
      </c>
      <c r="AY195" s="97"/>
      <c r="AZ195" s="97"/>
      <c r="BA195" s="98"/>
      <c r="BB195" s="96">
        <f>IF(ISNUMBER(AN195),AN195,0)+IF(ISNUMBER(AS195),AS195,0)</f>
        <v>0</v>
      </c>
      <c r="BC195" s="97"/>
      <c r="BD195" s="97"/>
      <c r="BE195" s="97"/>
      <c r="BF195" s="98"/>
      <c r="BG195" s="96">
        <v>55056</v>
      </c>
      <c r="BH195" s="97"/>
      <c r="BI195" s="97"/>
      <c r="BJ195" s="97"/>
      <c r="BK195" s="98"/>
      <c r="BL195" s="96">
        <v>0</v>
      </c>
      <c r="BM195" s="97"/>
      <c r="BN195" s="97"/>
      <c r="BO195" s="97"/>
      <c r="BP195" s="98"/>
      <c r="BQ195" s="96">
        <v>0</v>
      </c>
      <c r="BR195" s="97"/>
      <c r="BS195" s="97"/>
      <c r="BT195" s="98"/>
      <c r="BU195" s="96">
        <f>IF(ISNUMBER(BG195),BG195,0)+IF(ISNUMBER(BL195),BL195,0)</f>
        <v>55056</v>
      </c>
      <c r="BV195" s="97"/>
      <c r="BW195" s="97"/>
      <c r="BX195" s="97"/>
      <c r="BY195" s="98"/>
    </row>
    <row r="196" spans="1:79" s="99" customFormat="1" ht="25.5" customHeight="1" x14ac:dyDescent="0.2">
      <c r="A196" s="89">
        <v>75</v>
      </c>
      <c r="B196" s="90"/>
      <c r="C196" s="90"/>
      <c r="D196" s="92" t="s">
        <v>263</v>
      </c>
      <c r="E196" s="93"/>
      <c r="F196" s="93"/>
      <c r="G196" s="93"/>
      <c r="H196" s="93"/>
      <c r="I196" s="93"/>
      <c r="J196" s="93"/>
      <c r="K196" s="93"/>
      <c r="L196" s="93"/>
      <c r="M196" s="93"/>
      <c r="N196" s="93"/>
      <c r="O196" s="93"/>
      <c r="P196" s="93"/>
      <c r="Q196" s="93"/>
      <c r="R196" s="93"/>
      <c r="S196" s="93"/>
      <c r="T196" s="94"/>
      <c r="U196" s="96">
        <v>0</v>
      </c>
      <c r="V196" s="97"/>
      <c r="W196" s="97"/>
      <c r="X196" s="97"/>
      <c r="Y196" s="98"/>
      <c r="Z196" s="96">
        <v>0</v>
      </c>
      <c r="AA196" s="97"/>
      <c r="AB196" s="97"/>
      <c r="AC196" s="97"/>
      <c r="AD196" s="98"/>
      <c r="AE196" s="96">
        <v>0</v>
      </c>
      <c r="AF196" s="97"/>
      <c r="AG196" s="97"/>
      <c r="AH196" s="98"/>
      <c r="AI196" s="96">
        <f>IF(ISNUMBER(U196),U196,0)+IF(ISNUMBER(Z196),Z196,0)</f>
        <v>0</v>
      </c>
      <c r="AJ196" s="97"/>
      <c r="AK196" s="97"/>
      <c r="AL196" s="97"/>
      <c r="AM196" s="98"/>
      <c r="AN196" s="96">
        <v>0</v>
      </c>
      <c r="AO196" s="97"/>
      <c r="AP196" s="97"/>
      <c r="AQ196" s="97"/>
      <c r="AR196" s="98"/>
      <c r="AS196" s="96">
        <v>0</v>
      </c>
      <c r="AT196" s="97"/>
      <c r="AU196" s="97"/>
      <c r="AV196" s="97"/>
      <c r="AW196" s="98"/>
      <c r="AX196" s="96">
        <v>0</v>
      </c>
      <c r="AY196" s="97"/>
      <c r="AZ196" s="97"/>
      <c r="BA196" s="98"/>
      <c r="BB196" s="96">
        <f>IF(ISNUMBER(AN196),AN196,0)+IF(ISNUMBER(AS196),AS196,0)</f>
        <v>0</v>
      </c>
      <c r="BC196" s="97"/>
      <c r="BD196" s="97"/>
      <c r="BE196" s="97"/>
      <c r="BF196" s="98"/>
      <c r="BG196" s="96">
        <v>282000</v>
      </c>
      <c r="BH196" s="97"/>
      <c r="BI196" s="97"/>
      <c r="BJ196" s="97"/>
      <c r="BK196" s="98"/>
      <c r="BL196" s="96">
        <v>0</v>
      </c>
      <c r="BM196" s="97"/>
      <c r="BN196" s="97"/>
      <c r="BO196" s="97"/>
      <c r="BP196" s="98"/>
      <c r="BQ196" s="96">
        <v>0</v>
      </c>
      <c r="BR196" s="97"/>
      <c r="BS196" s="97"/>
      <c r="BT196" s="98"/>
      <c r="BU196" s="96">
        <f>IF(ISNUMBER(BG196),BG196,0)+IF(ISNUMBER(BL196),BL196,0)</f>
        <v>282000</v>
      </c>
      <c r="BV196" s="97"/>
      <c r="BW196" s="97"/>
      <c r="BX196" s="97"/>
      <c r="BY196" s="98"/>
    </row>
    <row r="197" spans="1:79" s="99" customFormat="1" ht="25.5" customHeight="1" x14ac:dyDescent="0.2">
      <c r="A197" s="89">
        <v>76</v>
      </c>
      <c r="B197" s="90"/>
      <c r="C197" s="90"/>
      <c r="D197" s="92" t="s">
        <v>264</v>
      </c>
      <c r="E197" s="93"/>
      <c r="F197" s="93"/>
      <c r="G197" s="93"/>
      <c r="H197" s="93"/>
      <c r="I197" s="93"/>
      <c r="J197" s="93"/>
      <c r="K197" s="93"/>
      <c r="L197" s="93"/>
      <c r="M197" s="93"/>
      <c r="N197" s="93"/>
      <c r="O197" s="93"/>
      <c r="P197" s="93"/>
      <c r="Q197" s="93"/>
      <c r="R197" s="93"/>
      <c r="S197" s="93"/>
      <c r="T197" s="94"/>
      <c r="U197" s="96">
        <v>0</v>
      </c>
      <c r="V197" s="97"/>
      <c r="W197" s="97"/>
      <c r="X197" s="97"/>
      <c r="Y197" s="98"/>
      <c r="Z197" s="96">
        <v>0</v>
      </c>
      <c r="AA197" s="97"/>
      <c r="AB197" s="97"/>
      <c r="AC197" s="97"/>
      <c r="AD197" s="98"/>
      <c r="AE197" s="96">
        <v>0</v>
      </c>
      <c r="AF197" s="97"/>
      <c r="AG197" s="97"/>
      <c r="AH197" s="98"/>
      <c r="AI197" s="96">
        <f>IF(ISNUMBER(U197),U197,0)+IF(ISNUMBER(Z197),Z197,0)</f>
        <v>0</v>
      </c>
      <c r="AJ197" s="97"/>
      <c r="AK197" s="97"/>
      <c r="AL197" s="97"/>
      <c r="AM197" s="98"/>
      <c r="AN197" s="96">
        <v>0</v>
      </c>
      <c r="AO197" s="97"/>
      <c r="AP197" s="97"/>
      <c r="AQ197" s="97"/>
      <c r="AR197" s="98"/>
      <c r="AS197" s="96">
        <v>128900</v>
      </c>
      <c r="AT197" s="97"/>
      <c r="AU197" s="97"/>
      <c r="AV197" s="97"/>
      <c r="AW197" s="98"/>
      <c r="AX197" s="96">
        <v>128000</v>
      </c>
      <c r="AY197" s="97"/>
      <c r="AZ197" s="97"/>
      <c r="BA197" s="98"/>
      <c r="BB197" s="96">
        <f>IF(ISNUMBER(AN197),AN197,0)+IF(ISNUMBER(AS197),AS197,0)</f>
        <v>128900</v>
      </c>
      <c r="BC197" s="97"/>
      <c r="BD197" s="97"/>
      <c r="BE197" s="97"/>
      <c r="BF197" s="98"/>
      <c r="BG197" s="96">
        <v>0</v>
      </c>
      <c r="BH197" s="97"/>
      <c r="BI197" s="97"/>
      <c r="BJ197" s="97"/>
      <c r="BK197" s="98"/>
      <c r="BL197" s="96">
        <v>0</v>
      </c>
      <c r="BM197" s="97"/>
      <c r="BN197" s="97"/>
      <c r="BO197" s="97"/>
      <c r="BP197" s="98"/>
      <c r="BQ197" s="96">
        <v>0</v>
      </c>
      <c r="BR197" s="97"/>
      <c r="BS197" s="97"/>
      <c r="BT197" s="98"/>
      <c r="BU197" s="96">
        <f>IF(ISNUMBER(BG197),BG197,0)+IF(ISNUMBER(BL197),BL197,0)</f>
        <v>0</v>
      </c>
      <c r="BV197" s="97"/>
      <c r="BW197" s="97"/>
      <c r="BX197" s="97"/>
      <c r="BY197" s="98"/>
    </row>
    <row r="198" spans="1:79" s="99" customFormat="1" ht="12.75" customHeight="1" x14ac:dyDescent="0.2">
      <c r="A198" s="89">
        <v>77</v>
      </c>
      <c r="B198" s="90"/>
      <c r="C198" s="90"/>
      <c r="D198" s="92" t="s">
        <v>265</v>
      </c>
      <c r="E198" s="93"/>
      <c r="F198" s="93"/>
      <c r="G198" s="93"/>
      <c r="H198" s="93"/>
      <c r="I198" s="93"/>
      <c r="J198" s="93"/>
      <c r="K198" s="93"/>
      <c r="L198" s="93"/>
      <c r="M198" s="93"/>
      <c r="N198" s="93"/>
      <c r="O198" s="93"/>
      <c r="P198" s="93"/>
      <c r="Q198" s="93"/>
      <c r="R198" s="93"/>
      <c r="S198" s="93"/>
      <c r="T198" s="94"/>
      <c r="U198" s="96">
        <v>0</v>
      </c>
      <c r="V198" s="97"/>
      <c r="W198" s="97"/>
      <c r="X198" s="97"/>
      <c r="Y198" s="98"/>
      <c r="Z198" s="96">
        <v>0</v>
      </c>
      <c r="AA198" s="97"/>
      <c r="AB198" s="97"/>
      <c r="AC198" s="97"/>
      <c r="AD198" s="98"/>
      <c r="AE198" s="96">
        <v>0</v>
      </c>
      <c r="AF198" s="97"/>
      <c r="AG198" s="97"/>
      <c r="AH198" s="98"/>
      <c r="AI198" s="96">
        <f>IF(ISNUMBER(U198),U198,0)+IF(ISNUMBER(Z198),Z198,0)</f>
        <v>0</v>
      </c>
      <c r="AJ198" s="97"/>
      <c r="AK198" s="97"/>
      <c r="AL198" s="97"/>
      <c r="AM198" s="98"/>
      <c r="AN198" s="96">
        <v>0</v>
      </c>
      <c r="AO198" s="97"/>
      <c r="AP198" s="97"/>
      <c r="AQ198" s="97"/>
      <c r="AR198" s="98"/>
      <c r="AS198" s="96">
        <v>575000</v>
      </c>
      <c r="AT198" s="97"/>
      <c r="AU198" s="97"/>
      <c r="AV198" s="97"/>
      <c r="AW198" s="98"/>
      <c r="AX198" s="96">
        <v>575000</v>
      </c>
      <c r="AY198" s="97"/>
      <c r="AZ198" s="97"/>
      <c r="BA198" s="98"/>
      <c r="BB198" s="96">
        <f>IF(ISNUMBER(AN198),AN198,0)+IF(ISNUMBER(AS198),AS198,0)</f>
        <v>575000</v>
      </c>
      <c r="BC198" s="97"/>
      <c r="BD198" s="97"/>
      <c r="BE198" s="97"/>
      <c r="BF198" s="98"/>
      <c r="BG198" s="96">
        <v>0</v>
      </c>
      <c r="BH198" s="97"/>
      <c r="BI198" s="97"/>
      <c r="BJ198" s="97"/>
      <c r="BK198" s="98"/>
      <c r="BL198" s="96">
        <v>0</v>
      </c>
      <c r="BM198" s="97"/>
      <c r="BN198" s="97"/>
      <c r="BO198" s="97"/>
      <c r="BP198" s="98"/>
      <c r="BQ198" s="96">
        <v>0</v>
      </c>
      <c r="BR198" s="97"/>
      <c r="BS198" s="97"/>
      <c r="BT198" s="98"/>
      <c r="BU198" s="96">
        <f>IF(ISNUMBER(BG198),BG198,0)+IF(ISNUMBER(BL198),BL198,0)</f>
        <v>0</v>
      </c>
      <c r="BV198" s="97"/>
      <c r="BW198" s="97"/>
      <c r="BX198" s="97"/>
      <c r="BY198" s="98"/>
    </row>
    <row r="199" spans="1:79" s="99" customFormat="1" ht="25.5" customHeight="1" x14ac:dyDescent="0.2">
      <c r="A199" s="89">
        <v>78</v>
      </c>
      <c r="B199" s="90"/>
      <c r="C199" s="90"/>
      <c r="D199" s="92" t="s">
        <v>266</v>
      </c>
      <c r="E199" s="93"/>
      <c r="F199" s="93"/>
      <c r="G199" s="93"/>
      <c r="H199" s="93"/>
      <c r="I199" s="93"/>
      <c r="J199" s="93"/>
      <c r="K199" s="93"/>
      <c r="L199" s="93"/>
      <c r="M199" s="93"/>
      <c r="N199" s="93"/>
      <c r="O199" s="93"/>
      <c r="P199" s="93"/>
      <c r="Q199" s="93"/>
      <c r="R199" s="93"/>
      <c r="S199" s="93"/>
      <c r="T199" s="94"/>
      <c r="U199" s="96">
        <v>0</v>
      </c>
      <c r="V199" s="97"/>
      <c r="W199" s="97"/>
      <c r="X199" s="97"/>
      <c r="Y199" s="98"/>
      <c r="Z199" s="96">
        <v>0</v>
      </c>
      <c r="AA199" s="97"/>
      <c r="AB199" s="97"/>
      <c r="AC199" s="97"/>
      <c r="AD199" s="98"/>
      <c r="AE199" s="96">
        <v>0</v>
      </c>
      <c r="AF199" s="97"/>
      <c r="AG199" s="97"/>
      <c r="AH199" s="98"/>
      <c r="AI199" s="96">
        <f>IF(ISNUMBER(U199),U199,0)+IF(ISNUMBER(Z199),Z199,0)</f>
        <v>0</v>
      </c>
      <c r="AJ199" s="97"/>
      <c r="AK199" s="97"/>
      <c r="AL199" s="97"/>
      <c r="AM199" s="98"/>
      <c r="AN199" s="96">
        <v>49900</v>
      </c>
      <c r="AO199" s="97"/>
      <c r="AP199" s="97"/>
      <c r="AQ199" s="97"/>
      <c r="AR199" s="98"/>
      <c r="AS199" s="96">
        <v>0</v>
      </c>
      <c r="AT199" s="97"/>
      <c r="AU199" s="97"/>
      <c r="AV199" s="97"/>
      <c r="AW199" s="98"/>
      <c r="AX199" s="96">
        <v>0</v>
      </c>
      <c r="AY199" s="97"/>
      <c r="AZ199" s="97"/>
      <c r="BA199" s="98"/>
      <c r="BB199" s="96">
        <f>IF(ISNUMBER(AN199),AN199,0)+IF(ISNUMBER(AS199),AS199,0)</f>
        <v>49900</v>
      </c>
      <c r="BC199" s="97"/>
      <c r="BD199" s="97"/>
      <c r="BE199" s="97"/>
      <c r="BF199" s="98"/>
      <c r="BG199" s="96">
        <v>0</v>
      </c>
      <c r="BH199" s="97"/>
      <c r="BI199" s="97"/>
      <c r="BJ199" s="97"/>
      <c r="BK199" s="98"/>
      <c r="BL199" s="96">
        <v>0</v>
      </c>
      <c r="BM199" s="97"/>
      <c r="BN199" s="97"/>
      <c r="BO199" s="97"/>
      <c r="BP199" s="98"/>
      <c r="BQ199" s="96">
        <v>0</v>
      </c>
      <c r="BR199" s="97"/>
      <c r="BS199" s="97"/>
      <c r="BT199" s="98"/>
      <c r="BU199" s="96">
        <f>IF(ISNUMBER(BG199),BG199,0)+IF(ISNUMBER(BL199),BL199,0)</f>
        <v>0</v>
      </c>
      <c r="BV199" s="97"/>
      <c r="BW199" s="97"/>
      <c r="BX199" s="97"/>
      <c r="BY199" s="98"/>
    </row>
    <row r="200" spans="1:79" s="99" customFormat="1" ht="12.75" customHeight="1" x14ac:dyDescent="0.2">
      <c r="A200" s="89">
        <v>79</v>
      </c>
      <c r="B200" s="90"/>
      <c r="C200" s="90"/>
      <c r="D200" s="92" t="s">
        <v>267</v>
      </c>
      <c r="E200" s="93"/>
      <c r="F200" s="93"/>
      <c r="G200" s="93"/>
      <c r="H200" s="93"/>
      <c r="I200" s="93"/>
      <c r="J200" s="93"/>
      <c r="K200" s="93"/>
      <c r="L200" s="93"/>
      <c r="M200" s="93"/>
      <c r="N200" s="93"/>
      <c r="O200" s="93"/>
      <c r="P200" s="93"/>
      <c r="Q200" s="93"/>
      <c r="R200" s="93"/>
      <c r="S200" s="93"/>
      <c r="T200" s="94"/>
      <c r="U200" s="96">
        <v>0</v>
      </c>
      <c r="V200" s="97"/>
      <c r="W200" s="97"/>
      <c r="X200" s="97"/>
      <c r="Y200" s="98"/>
      <c r="Z200" s="96">
        <v>0</v>
      </c>
      <c r="AA200" s="97"/>
      <c r="AB200" s="97"/>
      <c r="AC200" s="97"/>
      <c r="AD200" s="98"/>
      <c r="AE200" s="96">
        <v>0</v>
      </c>
      <c r="AF200" s="97"/>
      <c r="AG200" s="97"/>
      <c r="AH200" s="98"/>
      <c r="AI200" s="96">
        <f>IF(ISNUMBER(U200),U200,0)+IF(ISNUMBER(Z200),Z200,0)</f>
        <v>0</v>
      </c>
      <c r="AJ200" s="97"/>
      <c r="AK200" s="97"/>
      <c r="AL200" s="97"/>
      <c r="AM200" s="98"/>
      <c r="AN200" s="96">
        <v>506000</v>
      </c>
      <c r="AO200" s="97"/>
      <c r="AP200" s="97"/>
      <c r="AQ200" s="97"/>
      <c r="AR200" s="98"/>
      <c r="AS200" s="96">
        <v>0</v>
      </c>
      <c r="AT200" s="97"/>
      <c r="AU200" s="97"/>
      <c r="AV200" s="97"/>
      <c r="AW200" s="98"/>
      <c r="AX200" s="96">
        <v>0</v>
      </c>
      <c r="AY200" s="97"/>
      <c r="AZ200" s="97"/>
      <c r="BA200" s="98"/>
      <c r="BB200" s="96">
        <f>IF(ISNUMBER(AN200),AN200,0)+IF(ISNUMBER(AS200),AS200,0)</f>
        <v>506000</v>
      </c>
      <c r="BC200" s="97"/>
      <c r="BD200" s="97"/>
      <c r="BE200" s="97"/>
      <c r="BF200" s="98"/>
      <c r="BG200" s="96">
        <v>0</v>
      </c>
      <c r="BH200" s="97"/>
      <c r="BI200" s="97"/>
      <c r="BJ200" s="97"/>
      <c r="BK200" s="98"/>
      <c r="BL200" s="96">
        <v>0</v>
      </c>
      <c r="BM200" s="97"/>
      <c r="BN200" s="97"/>
      <c r="BO200" s="97"/>
      <c r="BP200" s="98"/>
      <c r="BQ200" s="96">
        <v>0</v>
      </c>
      <c r="BR200" s="97"/>
      <c r="BS200" s="97"/>
      <c r="BT200" s="98"/>
      <c r="BU200" s="96">
        <f>IF(ISNUMBER(BG200),BG200,0)+IF(ISNUMBER(BL200),BL200,0)</f>
        <v>0</v>
      </c>
      <c r="BV200" s="97"/>
      <c r="BW200" s="97"/>
      <c r="BX200" s="97"/>
      <c r="BY200" s="98"/>
    </row>
    <row r="201" spans="1:79" s="6" customFormat="1" ht="12.75" customHeight="1" x14ac:dyDescent="0.2">
      <c r="A201" s="86"/>
      <c r="B201" s="87"/>
      <c r="C201" s="87"/>
      <c r="D201" s="100" t="s">
        <v>147</v>
      </c>
      <c r="E201" s="101"/>
      <c r="F201" s="101"/>
      <c r="G201" s="101"/>
      <c r="H201" s="101"/>
      <c r="I201" s="101"/>
      <c r="J201" s="101"/>
      <c r="K201" s="101"/>
      <c r="L201" s="101"/>
      <c r="M201" s="101"/>
      <c r="N201" s="101"/>
      <c r="O201" s="101"/>
      <c r="P201" s="101"/>
      <c r="Q201" s="101"/>
      <c r="R201" s="101"/>
      <c r="S201" s="101"/>
      <c r="T201" s="102"/>
      <c r="U201" s="104">
        <v>20699527</v>
      </c>
      <c r="V201" s="105"/>
      <c r="W201" s="105"/>
      <c r="X201" s="105"/>
      <c r="Y201" s="106"/>
      <c r="Z201" s="104">
        <v>178071</v>
      </c>
      <c r="AA201" s="105"/>
      <c r="AB201" s="105"/>
      <c r="AC201" s="105"/>
      <c r="AD201" s="106"/>
      <c r="AE201" s="104">
        <v>293320</v>
      </c>
      <c r="AF201" s="105"/>
      <c r="AG201" s="105"/>
      <c r="AH201" s="106"/>
      <c r="AI201" s="104">
        <f>IF(ISNUMBER(U201),U201,0)+IF(ISNUMBER(Z201),Z201,0)</f>
        <v>20877598</v>
      </c>
      <c r="AJ201" s="105"/>
      <c r="AK201" s="105"/>
      <c r="AL201" s="105"/>
      <c r="AM201" s="106"/>
      <c r="AN201" s="104">
        <v>22884244</v>
      </c>
      <c r="AO201" s="105"/>
      <c r="AP201" s="105"/>
      <c r="AQ201" s="105"/>
      <c r="AR201" s="106"/>
      <c r="AS201" s="104">
        <v>3203900</v>
      </c>
      <c r="AT201" s="105"/>
      <c r="AU201" s="105"/>
      <c r="AV201" s="105"/>
      <c r="AW201" s="106"/>
      <c r="AX201" s="104">
        <v>703000</v>
      </c>
      <c r="AY201" s="105"/>
      <c r="AZ201" s="105"/>
      <c r="BA201" s="106"/>
      <c r="BB201" s="104">
        <f>IF(ISNUMBER(AN201),AN201,0)+IF(ISNUMBER(AS201),AS201,0)</f>
        <v>26088144</v>
      </c>
      <c r="BC201" s="105"/>
      <c r="BD201" s="105"/>
      <c r="BE201" s="105"/>
      <c r="BF201" s="106"/>
      <c r="BG201" s="104">
        <v>21601824</v>
      </c>
      <c r="BH201" s="105"/>
      <c r="BI201" s="105"/>
      <c r="BJ201" s="105"/>
      <c r="BK201" s="106"/>
      <c r="BL201" s="104">
        <v>0</v>
      </c>
      <c r="BM201" s="105"/>
      <c r="BN201" s="105"/>
      <c r="BO201" s="105"/>
      <c r="BP201" s="106"/>
      <c r="BQ201" s="104">
        <v>0</v>
      </c>
      <c r="BR201" s="105"/>
      <c r="BS201" s="105"/>
      <c r="BT201" s="106"/>
      <c r="BU201" s="104">
        <f>IF(ISNUMBER(BG201),BG201,0)+IF(ISNUMBER(BL201),BL201,0)</f>
        <v>21601824</v>
      </c>
      <c r="BV201" s="105"/>
      <c r="BW201" s="105"/>
      <c r="BX201" s="105"/>
      <c r="BY201" s="106"/>
    </row>
    <row r="203" spans="1:79" ht="14.25" customHeight="1" x14ac:dyDescent="0.2">
      <c r="A203" s="29" t="s">
        <v>348</v>
      </c>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c r="AB203" s="29"/>
      <c r="AC203" s="29"/>
      <c r="AD203" s="29"/>
      <c r="AE203" s="29"/>
      <c r="AF203" s="29"/>
      <c r="AG203" s="29"/>
      <c r="AH203" s="29"/>
      <c r="AI203" s="29"/>
      <c r="AJ203" s="29"/>
      <c r="AK203" s="29"/>
      <c r="AL203" s="29"/>
      <c r="AM203" s="29"/>
      <c r="AN203" s="29"/>
      <c r="AO203" s="29"/>
      <c r="AP203" s="29"/>
      <c r="AQ203" s="29"/>
      <c r="AR203" s="29"/>
      <c r="AS203" s="29"/>
      <c r="AT203" s="29"/>
      <c r="AU203" s="29"/>
      <c r="AV203" s="29"/>
      <c r="AW203" s="29"/>
      <c r="AX203" s="29"/>
      <c r="AY203" s="29"/>
      <c r="AZ203" s="29"/>
      <c r="BA203" s="29"/>
      <c r="BB203" s="29"/>
      <c r="BC203" s="29"/>
      <c r="BD203" s="29"/>
      <c r="BE203" s="29"/>
      <c r="BF203" s="29"/>
      <c r="BG203" s="29"/>
      <c r="BH203" s="29"/>
      <c r="BI203" s="29"/>
      <c r="BJ203" s="29"/>
      <c r="BK203" s="29"/>
      <c r="BL203" s="29"/>
    </row>
    <row r="204" spans="1:79" ht="15" customHeight="1" x14ac:dyDescent="0.2">
      <c r="A204" s="75" t="s">
        <v>318</v>
      </c>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c r="AA204" s="75"/>
      <c r="AB204" s="75"/>
      <c r="AC204" s="75"/>
      <c r="AD204" s="75"/>
      <c r="AE204" s="75"/>
      <c r="AF204" s="75"/>
      <c r="AG204" s="75"/>
      <c r="AH204" s="75"/>
      <c r="AI204" s="75"/>
      <c r="AJ204" s="75"/>
      <c r="AK204" s="75"/>
      <c r="AL204" s="75"/>
      <c r="AM204" s="75"/>
      <c r="AN204" s="75"/>
      <c r="AO204" s="75"/>
      <c r="AP204" s="75"/>
      <c r="AQ204" s="75"/>
      <c r="AR204" s="75"/>
      <c r="AS204" s="75"/>
      <c r="AT204" s="75"/>
      <c r="AU204" s="75"/>
      <c r="AV204" s="75"/>
      <c r="AW204" s="75"/>
      <c r="AX204" s="75"/>
      <c r="AY204" s="75"/>
      <c r="AZ204" s="75"/>
      <c r="BA204" s="75"/>
      <c r="BB204" s="75"/>
      <c r="BC204" s="75"/>
      <c r="BD204" s="75"/>
      <c r="BE204" s="75"/>
      <c r="BF204" s="75"/>
      <c r="BG204" s="75"/>
      <c r="BH204" s="75"/>
    </row>
    <row r="205" spans="1:79" ht="23.1" customHeight="1" x14ac:dyDescent="0.2">
      <c r="A205" s="51" t="s">
        <v>6</v>
      </c>
      <c r="B205" s="52"/>
      <c r="C205" s="52"/>
      <c r="D205" s="51" t="s">
        <v>121</v>
      </c>
      <c r="E205" s="52"/>
      <c r="F205" s="52"/>
      <c r="G205" s="52"/>
      <c r="H205" s="52"/>
      <c r="I205" s="52"/>
      <c r="J205" s="52"/>
      <c r="K205" s="52"/>
      <c r="L205" s="52"/>
      <c r="M205" s="52"/>
      <c r="N205" s="52"/>
      <c r="O205" s="52"/>
      <c r="P205" s="52"/>
      <c r="Q205" s="52"/>
      <c r="R205" s="52"/>
      <c r="S205" s="52"/>
      <c r="T205" s="53"/>
      <c r="U205" s="27" t="s">
        <v>340</v>
      </c>
      <c r="V205" s="27"/>
      <c r="W205" s="27"/>
      <c r="X205" s="27"/>
      <c r="Y205" s="27"/>
      <c r="Z205" s="27"/>
      <c r="AA205" s="27"/>
      <c r="AB205" s="27"/>
      <c r="AC205" s="27"/>
      <c r="AD205" s="27"/>
      <c r="AE205" s="27"/>
      <c r="AF205" s="27"/>
      <c r="AG205" s="27"/>
      <c r="AH205" s="27"/>
      <c r="AI205" s="27"/>
      <c r="AJ205" s="27"/>
      <c r="AK205" s="27"/>
      <c r="AL205" s="27"/>
      <c r="AM205" s="27"/>
      <c r="AN205" s="27"/>
      <c r="AO205" s="27" t="s">
        <v>345</v>
      </c>
      <c r="AP205" s="27"/>
      <c r="AQ205" s="27"/>
      <c r="AR205" s="27"/>
      <c r="AS205" s="27"/>
      <c r="AT205" s="27"/>
      <c r="AU205" s="27"/>
      <c r="AV205" s="27"/>
      <c r="AW205" s="27"/>
      <c r="AX205" s="27"/>
      <c r="AY205" s="27"/>
      <c r="AZ205" s="27"/>
      <c r="BA205" s="27"/>
      <c r="BB205" s="27"/>
      <c r="BC205" s="27"/>
      <c r="BD205" s="27"/>
      <c r="BE205" s="27"/>
      <c r="BF205" s="27"/>
      <c r="BG205" s="27"/>
      <c r="BH205" s="27"/>
    </row>
    <row r="206" spans="1:79" ht="54" customHeight="1" x14ac:dyDescent="0.2">
      <c r="A206" s="54"/>
      <c r="B206" s="55"/>
      <c r="C206" s="55"/>
      <c r="D206" s="54"/>
      <c r="E206" s="55"/>
      <c r="F206" s="55"/>
      <c r="G206" s="55"/>
      <c r="H206" s="55"/>
      <c r="I206" s="55"/>
      <c r="J206" s="55"/>
      <c r="K206" s="55"/>
      <c r="L206" s="55"/>
      <c r="M206" s="55"/>
      <c r="N206" s="55"/>
      <c r="O206" s="55"/>
      <c r="P206" s="55"/>
      <c r="Q206" s="55"/>
      <c r="R206" s="55"/>
      <c r="S206" s="55"/>
      <c r="T206" s="56"/>
      <c r="U206" s="36" t="s">
        <v>4</v>
      </c>
      <c r="V206" s="37"/>
      <c r="W206" s="37"/>
      <c r="X206" s="37"/>
      <c r="Y206" s="38"/>
      <c r="Z206" s="36" t="s">
        <v>3</v>
      </c>
      <c r="AA206" s="37"/>
      <c r="AB206" s="37"/>
      <c r="AC206" s="37"/>
      <c r="AD206" s="38"/>
      <c r="AE206" s="57" t="s">
        <v>116</v>
      </c>
      <c r="AF206" s="58"/>
      <c r="AG206" s="58"/>
      <c r="AH206" s="58"/>
      <c r="AI206" s="59"/>
      <c r="AJ206" s="36" t="s">
        <v>5</v>
      </c>
      <c r="AK206" s="37"/>
      <c r="AL206" s="37"/>
      <c r="AM206" s="37"/>
      <c r="AN206" s="38"/>
      <c r="AO206" s="36" t="s">
        <v>4</v>
      </c>
      <c r="AP206" s="37"/>
      <c r="AQ206" s="37"/>
      <c r="AR206" s="37"/>
      <c r="AS206" s="38"/>
      <c r="AT206" s="36" t="s">
        <v>3</v>
      </c>
      <c r="AU206" s="37"/>
      <c r="AV206" s="37"/>
      <c r="AW206" s="37"/>
      <c r="AX206" s="38"/>
      <c r="AY206" s="57" t="s">
        <v>116</v>
      </c>
      <c r="AZ206" s="58"/>
      <c r="BA206" s="58"/>
      <c r="BB206" s="58"/>
      <c r="BC206" s="59"/>
      <c r="BD206" s="27" t="s">
        <v>96</v>
      </c>
      <c r="BE206" s="27"/>
      <c r="BF206" s="27"/>
      <c r="BG206" s="27"/>
      <c r="BH206" s="27"/>
    </row>
    <row r="207" spans="1:79" ht="15" customHeight="1" x14ac:dyDescent="0.2">
      <c r="A207" s="36" t="s">
        <v>168</v>
      </c>
      <c r="B207" s="37"/>
      <c r="C207" s="37"/>
      <c r="D207" s="36">
        <v>2</v>
      </c>
      <c r="E207" s="37"/>
      <c r="F207" s="37"/>
      <c r="G207" s="37"/>
      <c r="H207" s="37"/>
      <c r="I207" s="37"/>
      <c r="J207" s="37"/>
      <c r="K207" s="37"/>
      <c r="L207" s="37"/>
      <c r="M207" s="37"/>
      <c r="N207" s="37"/>
      <c r="O207" s="37"/>
      <c r="P207" s="37"/>
      <c r="Q207" s="37"/>
      <c r="R207" s="37"/>
      <c r="S207" s="37"/>
      <c r="T207" s="38"/>
      <c r="U207" s="36">
        <v>3</v>
      </c>
      <c r="V207" s="37"/>
      <c r="W207" s="37"/>
      <c r="X207" s="37"/>
      <c r="Y207" s="38"/>
      <c r="Z207" s="36">
        <v>4</v>
      </c>
      <c r="AA207" s="37"/>
      <c r="AB207" s="37"/>
      <c r="AC207" s="37"/>
      <c r="AD207" s="38"/>
      <c r="AE207" s="36">
        <v>5</v>
      </c>
      <c r="AF207" s="37"/>
      <c r="AG207" s="37"/>
      <c r="AH207" s="37"/>
      <c r="AI207" s="38"/>
      <c r="AJ207" s="36">
        <v>6</v>
      </c>
      <c r="AK207" s="37"/>
      <c r="AL207" s="37"/>
      <c r="AM207" s="37"/>
      <c r="AN207" s="38"/>
      <c r="AO207" s="36">
        <v>7</v>
      </c>
      <c r="AP207" s="37"/>
      <c r="AQ207" s="37"/>
      <c r="AR207" s="37"/>
      <c r="AS207" s="38"/>
      <c r="AT207" s="36">
        <v>8</v>
      </c>
      <c r="AU207" s="37"/>
      <c r="AV207" s="37"/>
      <c r="AW207" s="37"/>
      <c r="AX207" s="38"/>
      <c r="AY207" s="36">
        <v>9</v>
      </c>
      <c r="AZ207" s="37"/>
      <c r="BA207" s="37"/>
      <c r="BB207" s="37"/>
      <c r="BC207" s="38"/>
      <c r="BD207" s="36">
        <v>10</v>
      </c>
      <c r="BE207" s="37"/>
      <c r="BF207" s="37"/>
      <c r="BG207" s="37"/>
      <c r="BH207" s="38"/>
    </row>
    <row r="208" spans="1:79" s="1" customFormat="1" ht="12.75" hidden="1" customHeight="1" x14ac:dyDescent="0.2">
      <c r="A208" s="39" t="s">
        <v>69</v>
      </c>
      <c r="B208" s="40"/>
      <c r="C208" s="40"/>
      <c r="D208" s="39" t="s">
        <v>57</v>
      </c>
      <c r="E208" s="40"/>
      <c r="F208" s="40"/>
      <c r="G208" s="40"/>
      <c r="H208" s="40"/>
      <c r="I208" s="40"/>
      <c r="J208" s="40"/>
      <c r="K208" s="40"/>
      <c r="L208" s="40"/>
      <c r="M208" s="40"/>
      <c r="N208" s="40"/>
      <c r="O208" s="40"/>
      <c r="P208" s="40"/>
      <c r="Q208" s="40"/>
      <c r="R208" s="40"/>
      <c r="S208" s="40"/>
      <c r="T208" s="41"/>
      <c r="U208" s="39" t="s">
        <v>60</v>
      </c>
      <c r="V208" s="40"/>
      <c r="W208" s="40"/>
      <c r="X208" s="40"/>
      <c r="Y208" s="41"/>
      <c r="Z208" s="39" t="s">
        <v>61</v>
      </c>
      <c r="AA208" s="40"/>
      <c r="AB208" s="40"/>
      <c r="AC208" s="40"/>
      <c r="AD208" s="41"/>
      <c r="AE208" s="39" t="s">
        <v>94</v>
      </c>
      <c r="AF208" s="40"/>
      <c r="AG208" s="40"/>
      <c r="AH208" s="40"/>
      <c r="AI208" s="41"/>
      <c r="AJ208" s="47" t="s">
        <v>170</v>
      </c>
      <c r="AK208" s="48"/>
      <c r="AL208" s="48"/>
      <c r="AM208" s="48"/>
      <c r="AN208" s="49"/>
      <c r="AO208" s="39" t="s">
        <v>62</v>
      </c>
      <c r="AP208" s="40"/>
      <c r="AQ208" s="40"/>
      <c r="AR208" s="40"/>
      <c r="AS208" s="41"/>
      <c r="AT208" s="39" t="s">
        <v>63</v>
      </c>
      <c r="AU208" s="40"/>
      <c r="AV208" s="40"/>
      <c r="AW208" s="40"/>
      <c r="AX208" s="41"/>
      <c r="AY208" s="39" t="s">
        <v>95</v>
      </c>
      <c r="AZ208" s="40"/>
      <c r="BA208" s="40"/>
      <c r="BB208" s="40"/>
      <c r="BC208" s="41"/>
      <c r="BD208" s="50" t="s">
        <v>170</v>
      </c>
      <c r="BE208" s="50"/>
      <c r="BF208" s="50"/>
      <c r="BG208" s="50"/>
      <c r="BH208" s="50"/>
      <c r="CA208" s="1" t="s">
        <v>35</v>
      </c>
    </row>
    <row r="209" spans="1:79" s="99" customFormat="1" ht="12.75" customHeight="1" x14ac:dyDescent="0.2">
      <c r="A209" s="89">
        <v>1</v>
      </c>
      <c r="B209" s="90"/>
      <c r="C209" s="90"/>
      <c r="D209" s="92" t="s">
        <v>184</v>
      </c>
      <c r="E209" s="93"/>
      <c r="F209" s="93"/>
      <c r="G209" s="93"/>
      <c r="H209" s="93"/>
      <c r="I209" s="93"/>
      <c r="J209" s="93"/>
      <c r="K209" s="93"/>
      <c r="L209" s="93"/>
      <c r="M209" s="93"/>
      <c r="N209" s="93"/>
      <c r="O209" s="93"/>
      <c r="P209" s="93"/>
      <c r="Q209" s="93"/>
      <c r="R209" s="93"/>
      <c r="S209" s="93"/>
      <c r="T209" s="94"/>
      <c r="U209" s="96">
        <v>0</v>
      </c>
      <c r="V209" s="97"/>
      <c r="W209" s="97"/>
      <c r="X209" s="97"/>
      <c r="Y209" s="98"/>
      <c r="Z209" s="96">
        <v>0</v>
      </c>
      <c r="AA209" s="97"/>
      <c r="AB209" s="97"/>
      <c r="AC209" s="97"/>
      <c r="AD209" s="98"/>
      <c r="AE209" s="95">
        <v>0</v>
      </c>
      <c r="AF209" s="95"/>
      <c r="AG209" s="95"/>
      <c r="AH209" s="95"/>
      <c r="AI209" s="95"/>
      <c r="AJ209" s="110">
        <f>IF(ISNUMBER(U209),U209,0)+IF(ISNUMBER(Z209),Z209,0)</f>
        <v>0</v>
      </c>
      <c r="AK209" s="110"/>
      <c r="AL209" s="110"/>
      <c r="AM209" s="110"/>
      <c r="AN209" s="110"/>
      <c r="AO209" s="95">
        <v>0</v>
      </c>
      <c r="AP209" s="95"/>
      <c r="AQ209" s="95"/>
      <c r="AR209" s="95"/>
      <c r="AS209" s="95"/>
      <c r="AT209" s="110">
        <v>0</v>
      </c>
      <c r="AU209" s="110"/>
      <c r="AV209" s="110"/>
      <c r="AW209" s="110"/>
      <c r="AX209" s="110"/>
      <c r="AY209" s="95">
        <v>0</v>
      </c>
      <c r="AZ209" s="95"/>
      <c r="BA209" s="95"/>
      <c r="BB209" s="95"/>
      <c r="BC209" s="95"/>
      <c r="BD209" s="110">
        <f>IF(ISNUMBER(AO209),AO209,0)+IF(ISNUMBER(AT209),AT209,0)</f>
        <v>0</v>
      </c>
      <c r="BE209" s="110"/>
      <c r="BF209" s="110"/>
      <c r="BG209" s="110"/>
      <c r="BH209" s="110"/>
      <c r="CA209" s="99" t="s">
        <v>36</v>
      </c>
    </row>
    <row r="210" spans="1:79" s="99" customFormat="1" ht="12.75" customHeight="1" x14ac:dyDescent="0.2">
      <c r="A210" s="89">
        <v>2</v>
      </c>
      <c r="B210" s="90"/>
      <c r="C210" s="90"/>
      <c r="D210" s="92" t="s">
        <v>179</v>
      </c>
      <c r="E210" s="93"/>
      <c r="F210" s="93"/>
      <c r="G210" s="93"/>
      <c r="H210" s="93"/>
      <c r="I210" s="93"/>
      <c r="J210" s="93"/>
      <c r="K210" s="93"/>
      <c r="L210" s="93"/>
      <c r="M210" s="93"/>
      <c r="N210" s="93"/>
      <c r="O210" s="93"/>
      <c r="P210" s="93"/>
      <c r="Q210" s="93"/>
      <c r="R210" s="93"/>
      <c r="S210" s="93"/>
      <c r="T210" s="94"/>
      <c r="U210" s="96">
        <v>6508711</v>
      </c>
      <c r="V210" s="97"/>
      <c r="W210" s="97"/>
      <c r="X210" s="97"/>
      <c r="Y210" s="98"/>
      <c r="Z210" s="96">
        <v>0</v>
      </c>
      <c r="AA210" s="97"/>
      <c r="AB210" s="97"/>
      <c r="AC210" s="97"/>
      <c r="AD210" s="98"/>
      <c r="AE210" s="95">
        <v>0</v>
      </c>
      <c r="AF210" s="95"/>
      <c r="AG210" s="95"/>
      <c r="AH210" s="95"/>
      <c r="AI210" s="95"/>
      <c r="AJ210" s="110">
        <f>IF(ISNUMBER(U210),U210,0)+IF(ISNUMBER(Z210),Z210,0)</f>
        <v>6508711</v>
      </c>
      <c r="AK210" s="110"/>
      <c r="AL210" s="110"/>
      <c r="AM210" s="110"/>
      <c r="AN210" s="110"/>
      <c r="AO210" s="95">
        <v>6964321</v>
      </c>
      <c r="AP210" s="95"/>
      <c r="AQ210" s="95"/>
      <c r="AR210" s="95"/>
      <c r="AS210" s="95"/>
      <c r="AT210" s="110">
        <v>0</v>
      </c>
      <c r="AU210" s="110"/>
      <c r="AV210" s="110"/>
      <c r="AW210" s="110"/>
      <c r="AX210" s="110"/>
      <c r="AY210" s="95">
        <v>0</v>
      </c>
      <c r="AZ210" s="95"/>
      <c r="BA210" s="95"/>
      <c r="BB210" s="95"/>
      <c r="BC210" s="95"/>
      <c r="BD210" s="110">
        <f>IF(ISNUMBER(AO210),AO210,0)+IF(ISNUMBER(AT210),AT210,0)</f>
        <v>6964321</v>
      </c>
      <c r="BE210" s="110"/>
      <c r="BF210" s="110"/>
      <c r="BG210" s="110"/>
      <c r="BH210" s="110"/>
    </row>
    <row r="211" spans="1:79" s="99" customFormat="1" ht="25.5" customHeight="1" x14ac:dyDescent="0.2">
      <c r="A211" s="89">
        <v>3</v>
      </c>
      <c r="B211" s="90"/>
      <c r="C211" s="90"/>
      <c r="D211" s="92" t="s">
        <v>193</v>
      </c>
      <c r="E211" s="93"/>
      <c r="F211" s="93"/>
      <c r="G211" s="93"/>
      <c r="H211" s="93"/>
      <c r="I211" s="93"/>
      <c r="J211" s="93"/>
      <c r="K211" s="93"/>
      <c r="L211" s="93"/>
      <c r="M211" s="93"/>
      <c r="N211" s="93"/>
      <c r="O211" s="93"/>
      <c r="P211" s="93"/>
      <c r="Q211" s="93"/>
      <c r="R211" s="93"/>
      <c r="S211" s="93"/>
      <c r="T211" s="94"/>
      <c r="U211" s="96">
        <v>0</v>
      </c>
      <c r="V211" s="97"/>
      <c r="W211" s="97"/>
      <c r="X211" s="97"/>
      <c r="Y211" s="98"/>
      <c r="Z211" s="96">
        <v>0</v>
      </c>
      <c r="AA211" s="97"/>
      <c r="AB211" s="97"/>
      <c r="AC211" s="97"/>
      <c r="AD211" s="98"/>
      <c r="AE211" s="95">
        <v>0</v>
      </c>
      <c r="AF211" s="95"/>
      <c r="AG211" s="95"/>
      <c r="AH211" s="95"/>
      <c r="AI211" s="95"/>
      <c r="AJ211" s="110">
        <f>IF(ISNUMBER(U211),U211,0)+IF(ISNUMBER(Z211),Z211,0)</f>
        <v>0</v>
      </c>
      <c r="AK211" s="110"/>
      <c r="AL211" s="110"/>
      <c r="AM211" s="110"/>
      <c r="AN211" s="110"/>
      <c r="AO211" s="95">
        <v>0</v>
      </c>
      <c r="AP211" s="95"/>
      <c r="AQ211" s="95"/>
      <c r="AR211" s="95"/>
      <c r="AS211" s="95"/>
      <c r="AT211" s="110">
        <v>0</v>
      </c>
      <c r="AU211" s="110"/>
      <c r="AV211" s="110"/>
      <c r="AW211" s="110"/>
      <c r="AX211" s="110"/>
      <c r="AY211" s="95">
        <v>0</v>
      </c>
      <c r="AZ211" s="95"/>
      <c r="BA211" s="95"/>
      <c r="BB211" s="95"/>
      <c r="BC211" s="95"/>
      <c r="BD211" s="110">
        <f>IF(ISNUMBER(AO211),AO211,0)+IF(ISNUMBER(AT211),AT211,0)</f>
        <v>0</v>
      </c>
      <c r="BE211" s="110"/>
      <c r="BF211" s="110"/>
      <c r="BG211" s="110"/>
      <c r="BH211" s="110"/>
    </row>
    <row r="212" spans="1:79" s="99" customFormat="1" ht="12.75" customHeight="1" x14ac:dyDescent="0.2">
      <c r="A212" s="89">
        <v>4</v>
      </c>
      <c r="B212" s="90"/>
      <c r="C212" s="90"/>
      <c r="D212" s="92" t="s">
        <v>180</v>
      </c>
      <c r="E212" s="93"/>
      <c r="F212" s="93"/>
      <c r="G212" s="93"/>
      <c r="H212" s="93"/>
      <c r="I212" s="93"/>
      <c r="J212" s="93"/>
      <c r="K212" s="93"/>
      <c r="L212" s="93"/>
      <c r="M212" s="93"/>
      <c r="N212" s="93"/>
      <c r="O212" s="93"/>
      <c r="P212" s="93"/>
      <c r="Q212" s="93"/>
      <c r="R212" s="93"/>
      <c r="S212" s="93"/>
      <c r="T212" s="94"/>
      <c r="U212" s="96">
        <v>1431916</v>
      </c>
      <c r="V212" s="97"/>
      <c r="W212" s="97"/>
      <c r="X212" s="97"/>
      <c r="Y212" s="98"/>
      <c r="Z212" s="96">
        <v>0</v>
      </c>
      <c r="AA212" s="97"/>
      <c r="AB212" s="97"/>
      <c r="AC212" s="97"/>
      <c r="AD212" s="98"/>
      <c r="AE212" s="95">
        <v>0</v>
      </c>
      <c r="AF212" s="95"/>
      <c r="AG212" s="95"/>
      <c r="AH212" s="95"/>
      <c r="AI212" s="95"/>
      <c r="AJ212" s="110">
        <f>IF(ISNUMBER(U212),U212,0)+IF(ISNUMBER(Z212),Z212,0)</f>
        <v>1431916</v>
      </c>
      <c r="AK212" s="110"/>
      <c r="AL212" s="110"/>
      <c r="AM212" s="110"/>
      <c r="AN212" s="110"/>
      <c r="AO212" s="95">
        <v>1532150</v>
      </c>
      <c r="AP212" s="95"/>
      <c r="AQ212" s="95"/>
      <c r="AR212" s="95"/>
      <c r="AS212" s="95"/>
      <c r="AT212" s="110">
        <v>0</v>
      </c>
      <c r="AU212" s="110"/>
      <c r="AV212" s="110"/>
      <c r="AW212" s="110"/>
      <c r="AX212" s="110"/>
      <c r="AY212" s="95">
        <v>0</v>
      </c>
      <c r="AZ212" s="95"/>
      <c r="BA212" s="95"/>
      <c r="BB212" s="95"/>
      <c r="BC212" s="95"/>
      <c r="BD212" s="110">
        <f>IF(ISNUMBER(AO212),AO212,0)+IF(ISNUMBER(AT212),AT212,0)</f>
        <v>1532150</v>
      </c>
      <c r="BE212" s="110"/>
      <c r="BF212" s="110"/>
      <c r="BG212" s="110"/>
      <c r="BH212" s="110"/>
    </row>
    <row r="213" spans="1:79" s="99" customFormat="1" ht="12.75" customHeight="1" x14ac:dyDescent="0.2">
      <c r="A213" s="89">
        <v>5</v>
      </c>
      <c r="B213" s="90"/>
      <c r="C213" s="90"/>
      <c r="D213" s="92" t="s">
        <v>194</v>
      </c>
      <c r="E213" s="93"/>
      <c r="F213" s="93"/>
      <c r="G213" s="93"/>
      <c r="H213" s="93"/>
      <c r="I213" s="93"/>
      <c r="J213" s="93"/>
      <c r="K213" s="93"/>
      <c r="L213" s="93"/>
      <c r="M213" s="93"/>
      <c r="N213" s="93"/>
      <c r="O213" s="93"/>
      <c r="P213" s="93"/>
      <c r="Q213" s="93"/>
      <c r="R213" s="93"/>
      <c r="S213" s="93"/>
      <c r="T213" s="94"/>
      <c r="U213" s="96">
        <v>0</v>
      </c>
      <c r="V213" s="97"/>
      <c r="W213" s="97"/>
      <c r="X213" s="97"/>
      <c r="Y213" s="98"/>
      <c r="Z213" s="96">
        <v>0</v>
      </c>
      <c r="AA213" s="97"/>
      <c r="AB213" s="97"/>
      <c r="AC213" s="97"/>
      <c r="AD213" s="98"/>
      <c r="AE213" s="95">
        <v>0</v>
      </c>
      <c r="AF213" s="95"/>
      <c r="AG213" s="95"/>
      <c r="AH213" s="95"/>
      <c r="AI213" s="95"/>
      <c r="AJ213" s="110">
        <f>IF(ISNUMBER(U213),U213,0)+IF(ISNUMBER(Z213),Z213,0)</f>
        <v>0</v>
      </c>
      <c r="AK213" s="110"/>
      <c r="AL213" s="110"/>
      <c r="AM213" s="110"/>
      <c r="AN213" s="110"/>
      <c r="AO213" s="95">
        <v>0</v>
      </c>
      <c r="AP213" s="95"/>
      <c r="AQ213" s="95"/>
      <c r="AR213" s="95"/>
      <c r="AS213" s="95"/>
      <c r="AT213" s="110">
        <v>0</v>
      </c>
      <c r="AU213" s="110"/>
      <c r="AV213" s="110"/>
      <c r="AW213" s="110"/>
      <c r="AX213" s="110"/>
      <c r="AY213" s="95">
        <v>0</v>
      </c>
      <c r="AZ213" s="95"/>
      <c r="BA213" s="95"/>
      <c r="BB213" s="95"/>
      <c r="BC213" s="95"/>
      <c r="BD213" s="110">
        <f>IF(ISNUMBER(AO213),AO213,0)+IF(ISNUMBER(AT213),AT213,0)</f>
        <v>0</v>
      </c>
      <c r="BE213" s="110"/>
      <c r="BF213" s="110"/>
      <c r="BG213" s="110"/>
      <c r="BH213" s="110"/>
    </row>
    <row r="214" spans="1:79" s="99" customFormat="1" ht="12.75" customHeight="1" x14ac:dyDescent="0.2">
      <c r="A214" s="89">
        <v>6</v>
      </c>
      <c r="B214" s="90"/>
      <c r="C214" s="90"/>
      <c r="D214" s="92" t="s">
        <v>195</v>
      </c>
      <c r="E214" s="93"/>
      <c r="F214" s="93"/>
      <c r="G214" s="93"/>
      <c r="H214" s="93"/>
      <c r="I214" s="93"/>
      <c r="J214" s="93"/>
      <c r="K214" s="93"/>
      <c r="L214" s="93"/>
      <c r="M214" s="93"/>
      <c r="N214" s="93"/>
      <c r="O214" s="93"/>
      <c r="P214" s="93"/>
      <c r="Q214" s="93"/>
      <c r="R214" s="93"/>
      <c r="S214" s="93"/>
      <c r="T214" s="94"/>
      <c r="U214" s="96">
        <v>100712</v>
      </c>
      <c r="V214" s="97"/>
      <c r="W214" s="97"/>
      <c r="X214" s="97"/>
      <c r="Y214" s="98"/>
      <c r="Z214" s="96">
        <v>0</v>
      </c>
      <c r="AA214" s="97"/>
      <c r="AB214" s="97"/>
      <c r="AC214" s="97"/>
      <c r="AD214" s="98"/>
      <c r="AE214" s="95">
        <v>0</v>
      </c>
      <c r="AF214" s="95"/>
      <c r="AG214" s="95"/>
      <c r="AH214" s="95"/>
      <c r="AI214" s="95"/>
      <c r="AJ214" s="110">
        <f>IF(ISNUMBER(U214),U214,0)+IF(ISNUMBER(Z214),Z214,0)</f>
        <v>100712</v>
      </c>
      <c r="AK214" s="110"/>
      <c r="AL214" s="110"/>
      <c r="AM214" s="110"/>
      <c r="AN214" s="110"/>
      <c r="AO214" s="95">
        <v>107863</v>
      </c>
      <c r="AP214" s="95"/>
      <c r="AQ214" s="95"/>
      <c r="AR214" s="95"/>
      <c r="AS214" s="95"/>
      <c r="AT214" s="110">
        <v>0</v>
      </c>
      <c r="AU214" s="110"/>
      <c r="AV214" s="110"/>
      <c r="AW214" s="110"/>
      <c r="AX214" s="110"/>
      <c r="AY214" s="95">
        <v>0</v>
      </c>
      <c r="AZ214" s="95"/>
      <c r="BA214" s="95"/>
      <c r="BB214" s="95"/>
      <c r="BC214" s="95"/>
      <c r="BD214" s="110">
        <f>IF(ISNUMBER(AO214),AO214,0)+IF(ISNUMBER(AT214),AT214,0)</f>
        <v>107863</v>
      </c>
      <c r="BE214" s="110"/>
      <c r="BF214" s="110"/>
      <c r="BG214" s="110"/>
      <c r="BH214" s="110"/>
    </row>
    <row r="215" spans="1:79" s="99" customFormat="1" ht="12.75" customHeight="1" x14ac:dyDescent="0.2">
      <c r="A215" s="89">
        <v>7</v>
      </c>
      <c r="B215" s="90"/>
      <c r="C215" s="90"/>
      <c r="D215" s="92" t="s">
        <v>196</v>
      </c>
      <c r="E215" s="93"/>
      <c r="F215" s="93"/>
      <c r="G215" s="93"/>
      <c r="H215" s="93"/>
      <c r="I215" s="93"/>
      <c r="J215" s="93"/>
      <c r="K215" s="93"/>
      <c r="L215" s="93"/>
      <c r="M215" s="93"/>
      <c r="N215" s="93"/>
      <c r="O215" s="93"/>
      <c r="P215" s="93"/>
      <c r="Q215" s="93"/>
      <c r="R215" s="93"/>
      <c r="S215" s="93"/>
      <c r="T215" s="94"/>
      <c r="U215" s="96">
        <v>5276960</v>
      </c>
      <c r="V215" s="97"/>
      <c r="W215" s="97"/>
      <c r="X215" s="97"/>
      <c r="Y215" s="98"/>
      <c r="Z215" s="96">
        <v>0</v>
      </c>
      <c r="AA215" s="97"/>
      <c r="AB215" s="97"/>
      <c r="AC215" s="97"/>
      <c r="AD215" s="98"/>
      <c r="AE215" s="95">
        <v>0</v>
      </c>
      <c r="AF215" s="95"/>
      <c r="AG215" s="95"/>
      <c r="AH215" s="95"/>
      <c r="AI215" s="95"/>
      <c r="AJ215" s="110">
        <f>IF(ISNUMBER(U215),U215,0)+IF(ISNUMBER(Z215),Z215,0)</f>
        <v>5276960</v>
      </c>
      <c r="AK215" s="110"/>
      <c r="AL215" s="110"/>
      <c r="AM215" s="110"/>
      <c r="AN215" s="110"/>
      <c r="AO215" s="95">
        <v>5651624</v>
      </c>
      <c r="AP215" s="95"/>
      <c r="AQ215" s="95"/>
      <c r="AR215" s="95"/>
      <c r="AS215" s="95"/>
      <c r="AT215" s="110">
        <v>0</v>
      </c>
      <c r="AU215" s="110"/>
      <c r="AV215" s="110"/>
      <c r="AW215" s="110"/>
      <c r="AX215" s="110"/>
      <c r="AY215" s="95">
        <v>0</v>
      </c>
      <c r="AZ215" s="95"/>
      <c r="BA215" s="95"/>
      <c r="BB215" s="95"/>
      <c r="BC215" s="95"/>
      <c r="BD215" s="110">
        <f>IF(ISNUMBER(AO215),AO215,0)+IF(ISNUMBER(AT215),AT215,0)</f>
        <v>5651624</v>
      </c>
      <c r="BE215" s="110"/>
      <c r="BF215" s="110"/>
      <c r="BG215" s="110"/>
      <c r="BH215" s="110"/>
    </row>
    <row r="216" spans="1:79" s="99" customFormat="1" ht="25.5" customHeight="1" x14ac:dyDescent="0.2">
      <c r="A216" s="89">
        <v>8</v>
      </c>
      <c r="B216" s="90"/>
      <c r="C216" s="90"/>
      <c r="D216" s="92" t="s">
        <v>197</v>
      </c>
      <c r="E216" s="93"/>
      <c r="F216" s="93"/>
      <c r="G216" s="93"/>
      <c r="H216" s="93"/>
      <c r="I216" s="93"/>
      <c r="J216" s="93"/>
      <c r="K216" s="93"/>
      <c r="L216" s="93"/>
      <c r="M216" s="93"/>
      <c r="N216" s="93"/>
      <c r="O216" s="93"/>
      <c r="P216" s="93"/>
      <c r="Q216" s="93"/>
      <c r="R216" s="93"/>
      <c r="S216" s="93"/>
      <c r="T216" s="94"/>
      <c r="U216" s="96">
        <v>753334</v>
      </c>
      <c r="V216" s="97"/>
      <c r="W216" s="97"/>
      <c r="X216" s="97"/>
      <c r="Y216" s="98"/>
      <c r="Z216" s="96">
        <v>0</v>
      </c>
      <c r="AA216" s="97"/>
      <c r="AB216" s="97"/>
      <c r="AC216" s="97"/>
      <c r="AD216" s="98"/>
      <c r="AE216" s="95">
        <v>0</v>
      </c>
      <c r="AF216" s="95"/>
      <c r="AG216" s="95"/>
      <c r="AH216" s="95"/>
      <c r="AI216" s="95"/>
      <c r="AJ216" s="110">
        <f>IF(ISNUMBER(U216),U216,0)+IF(ISNUMBER(Z216),Z216,0)</f>
        <v>753334</v>
      </c>
      <c r="AK216" s="110"/>
      <c r="AL216" s="110"/>
      <c r="AM216" s="110"/>
      <c r="AN216" s="110"/>
      <c r="AO216" s="95">
        <v>797027</v>
      </c>
      <c r="AP216" s="95"/>
      <c r="AQ216" s="95"/>
      <c r="AR216" s="95"/>
      <c r="AS216" s="95"/>
      <c r="AT216" s="110">
        <v>0</v>
      </c>
      <c r="AU216" s="110"/>
      <c r="AV216" s="110"/>
      <c r="AW216" s="110"/>
      <c r="AX216" s="110"/>
      <c r="AY216" s="95">
        <v>0</v>
      </c>
      <c r="AZ216" s="95"/>
      <c r="BA216" s="95"/>
      <c r="BB216" s="95"/>
      <c r="BC216" s="95"/>
      <c r="BD216" s="110">
        <f>IF(ISNUMBER(AO216),AO216,0)+IF(ISNUMBER(AT216),AT216,0)</f>
        <v>797027</v>
      </c>
      <c r="BE216" s="110"/>
      <c r="BF216" s="110"/>
      <c r="BG216" s="110"/>
      <c r="BH216" s="110"/>
    </row>
    <row r="217" spans="1:79" s="99" customFormat="1" ht="25.5" customHeight="1" x14ac:dyDescent="0.2">
      <c r="A217" s="89">
        <v>9</v>
      </c>
      <c r="B217" s="90"/>
      <c r="C217" s="90"/>
      <c r="D217" s="92" t="s">
        <v>198</v>
      </c>
      <c r="E217" s="93"/>
      <c r="F217" s="93"/>
      <c r="G217" s="93"/>
      <c r="H217" s="93"/>
      <c r="I217" s="93"/>
      <c r="J217" s="93"/>
      <c r="K217" s="93"/>
      <c r="L217" s="93"/>
      <c r="M217" s="93"/>
      <c r="N217" s="93"/>
      <c r="O217" s="93"/>
      <c r="P217" s="93"/>
      <c r="Q217" s="93"/>
      <c r="R217" s="93"/>
      <c r="S217" s="93"/>
      <c r="T217" s="94"/>
      <c r="U217" s="96">
        <v>1015772</v>
      </c>
      <c r="V217" s="97"/>
      <c r="W217" s="97"/>
      <c r="X217" s="97"/>
      <c r="Y217" s="98"/>
      <c r="Z217" s="96">
        <v>0</v>
      </c>
      <c r="AA217" s="97"/>
      <c r="AB217" s="97"/>
      <c r="AC217" s="97"/>
      <c r="AD217" s="98"/>
      <c r="AE217" s="95">
        <v>0</v>
      </c>
      <c r="AF217" s="95"/>
      <c r="AG217" s="95"/>
      <c r="AH217" s="95"/>
      <c r="AI217" s="95"/>
      <c r="AJ217" s="110">
        <f>IF(ISNUMBER(U217),U217,0)+IF(ISNUMBER(Z217),Z217,0)</f>
        <v>1015772</v>
      </c>
      <c r="AK217" s="110"/>
      <c r="AL217" s="110"/>
      <c r="AM217" s="110"/>
      <c r="AN217" s="110"/>
      <c r="AO217" s="95">
        <v>1074687</v>
      </c>
      <c r="AP217" s="95"/>
      <c r="AQ217" s="95"/>
      <c r="AR217" s="95"/>
      <c r="AS217" s="95"/>
      <c r="AT217" s="110">
        <v>0</v>
      </c>
      <c r="AU217" s="110"/>
      <c r="AV217" s="110"/>
      <c r="AW217" s="110"/>
      <c r="AX217" s="110"/>
      <c r="AY217" s="95">
        <v>0</v>
      </c>
      <c r="AZ217" s="95"/>
      <c r="BA217" s="95"/>
      <c r="BB217" s="95"/>
      <c r="BC217" s="95"/>
      <c r="BD217" s="110">
        <f>IF(ISNUMBER(AO217),AO217,0)+IF(ISNUMBER(AT217),AT217,0)</f>
        <v>1074687</v>
      </c>
      <c r="BE217" s="110"/>
      <c r="BF217" s="110"/>
      <c r="BG217" s="110"/>
      <c r="BH217" s="110"/>
    </row>
    <row r="218" spans="1:79" s="99" customFormat="1" ht="12.75" customHeight="1" x14ac:dyDescent="0.2">
      <c r="A218" s="89">
        <v>10</v>
      </c>
      <c r="B218" s="90"/>
      <c r="C218" s="90"/>
      <c r="D218" s="92" t="s">
        <v>199</v>
      </c>
      <c r="E218" s="93"/>
      <c r="F218" s="93"/>
      <c r="G218" s="93"/>
      <c r="H218" s="93"/>
      <c r="I218" s="93"/>
      <c r="J218" s="93"/>
      <c r="K218" s="93"/>
      <c r="L218" s="93"/>
      <c r="M218" s="93"/>
      <c r="N218" s="93"/>
      <c r="O218" s="93"/>
      <c r="P218" s="93"/>
      <c r="Q218" s="93"/>
      <c r="R218" s="93"/>
      <c r="S218" s="93"/>
      <c r="T218" s="94"/>
      <c r="U218" s="96">
        <v>0</v>
      </c>
      <c r="V218" s="97"/>
      <c r="W218" s="97"/>
      <c r="X218" s="97"/>
      <c r="Y218" s="98"/>
      <c r="Z218" s="96">
        <v>0</v>
      </c>
      <c r="AA218" s="97"/>
      <c r="AB218" s="97"/>
      <c r="AC218" s="97"/>
      <c r="AD218" s="98"/>
      <c r="AE218" s="95">
        <v>0</v>
      </c>
      <c r="AF218" s="95"/>
      <c r="AG218" s="95"/>
      <c r="AH218" s="95"/>
      <c r="AI218" s="95"/>
      <c r="AJ218" s="110">
        <f>IF(ISNUMBER(U218),U218,0)+IF(ISNUMBER(Z218),Z218,0)</f>
        <v>0</v>
      </c>
      <c r="AK218" s="110"/>
      <c r="AL218" s="110"/>
      <c r="AM218" s="110"/>
      <c r="AN218" s="110"/>
      <c r="AO218" s="95">
        <v>0</v>
      </c>
      <c r="AP218" s="95"/>
      <c r="AQ218" s="95"/>
      <c r="AR218" s="95"/>
      <c r="AS218" s="95"/>
      <c r="AT218" s="110">
        <v>0</v>
      </c>
      <c r="AU218" s="110"/>
      <c r="AV218" s="110"/>
      <c r="AW218" s="110"/>
      <c r="AX218" s="110"/>
      <c r="AY218" s="95">
        <v>0</v>
      </c>
      <c r="AZ218" s="95"/>
      <c r="BA218" s="95"/>
      <c r="BB218" s="95"/>
      <c r="BC218" s="95"/>
      <c r="BD218" s="110">
        <f>IF(ISNUMBER(AO218),AO218,0)+IF(ISNUMBER(AT218),AT218,0)</f>
        <v>0</v>
      </c>
      <c r="BE218" s="110"/>
      <c r="BF218" s="110"/>
      <c r="BG218" s="110"/>
      <c r="BH218" s="110"/>
    </row>
    <row r="219" spans="1:79" s="99" customFormat="1" ht="12.75" customHeight="1" x14ac:dyDescent="0.2">
      <c r="A219" s="89">
        <v>11</v>
      </c>
      <c r="B219" s="90"/>
      <c r="C219" s="90"/>
      <c r="D219" s="92" t="s">
        <v>200</v>
      </c>
      <c r="E219" s="93"/>
      <c r="F219" s="93"/>
      <c r="G219" s="93"/>
      <c r="H219" s="93"/>
      <c r="I219" s="93"/>
      <c r="J219" s="93"/>
      <c r="K219" s="93"/>
      <c r="L219" s="93"/>
      <c r="M219" s="93"/>
      <c r="N219" s="93"/>
      <c r="O219" s="93"/>
      <c r="P219" s="93"/>
      <c r="Q219" s="93"/>
      <c r="R219" s="93"/>
      <c r="S219" s="93"/>
      <c r="T219" s="94"/>
      <c r="U219" s="96">
        <v>2634790</v>
      </c>
      <c r="V219" s="97"/>
      <c r="W219" s="97"/>
      <c r="X219" s="97"/>
      <c r="Y219" s="98"/>
      <c r="Z219" s="96">
        <v>0</v>
      </c>
      <c r="AA219" s="97"/>
      <c r="AB219" s="97"/>
      <c r="AC219" s="97"/>
      <c r="AD219" s="98"/>
      <c r="AE219" s="95">
        <v>0</v>
      </c>
      <c r="AF219" s="95"/>
      <c r="AG219" s="95"/>
      <c r="AH219" s="95"/>
      <c r="AI219" s="95"/>
      <c r="AJ219" s="110">
        <f>IF(ISNUMBER(U219),U219,0)+IF(ISNUMBER(Z219),Z219,0)</f>
        <v>2634790</v>
      </c>
      <c r="AK219" s="110"/>
      <c r="AL219" s="110"/>
      <c r="AM219" s="110"/>
      <c r="AN219" s="110"/>
      <c r="AO219" s="95">
        <v>2821860</v>
      </c>
      <c r="AP219" s="95"/>
      <c r="AQ219" s="95"/>
      <c r="AR219" s="95"/>
      <c r="AS219" s="95"/>
      <c r="AT219" s="110">
        <v>0</v>
      </c>
      <c r="AU219" s="110"/>
      <c r="AV219" s="110"/>
      <c r="AW219" s="110"/>
      <c r="AX219" s="110"/>
      <c r="AY219" s="95">
        <v>0</v>
      </c>
      <c r="AZ219" s="95"/>
      <c r="BA219" s="95"/>
      <c r="BB219" s="95"/>
      <c r="BC219" s="95"/>
      <c r="BD219" s="110">
        <f>IF(ISNUMBER(AO219),AO219,0)+IF(ISNUMBER(AT219),AT219,0)</f>
        <v>2821860</v>
      </c>
      <c r="BE219" s="110"/>
      <c r="BF219" s="110"/>
      <c r="BG219" s="110"/>
      <c r="BH219" s="110"/>
    </row>
    <row r="220" spans="1:79" s="99" customFormat="1" ht="12.75" customHeight="1" x14ac:dyDescent="0.2">
      <c r="A220" s="89">
        <v>12</v>
      </c>
      <c r="B220" s="90"/>
      <c r="C220" s="90"/>
      <c r="D220" s="92" t="s">
        <v>201</v>
      </c>
      <c r="E220" s="93"/>
      <c r="F220" s="93"/>
      <c r="G220" s="93"/>
      <c r="H220" s="93"/>
      <c r="I220" s="93"/>
      <c r="J220" s="93"/>
      <c r="K220" s="93"/>
      <c r="L220" s="93"/>
      <c r="M220" s="93"/>
      <c r="N220" s="93"/>
      <c r="O220" s="93"/>
      <c r="P220" s="93"/>
      <c r="Q220" s="93"/>
      <c r="R220" s="93"/>
      <c r="S220" s="93"/>
      <c r="T220" s="94"/>
      <c r="U220" s="96">
        <v>2365236</v>
      </c>
      <c r="V220" s="97"/>
      <c r="W220" s="97"/>
      <c r="X220" s="97"/>
      <c r="Y220" s="98"/>
      <c r="Z220" s="96">
        <v>0</v>
      </c>
      <c r="AA220" s="97"/>
      <c r="AB220" s="97"/>
      <c r="AC220" s="97"/>
      <c r="AD220" s="98"/>
      <c r="AE220" s="95">
        <v>0</v>
      </c>
      <c r="AF220" s="95"/>
      <c r="AG220" s="95"/>
      <c r="AH220" s="95"/>
      <c r="AI220" s="95"/>
      <c r="AJ220" s="110">
        <f>IF(ISNUMBER(U220),U220,0)+IF(ISNUMBER(Z220),Z220,0)</f>
        <v>2365236</v>
      </c>
      <c r="AK220" s="110"/>
      <c r="AL220" s="110"/>
      <c r="AM220" s="110"/>
      <c r="AN220" s="110"/>
      <c r="AO220" s="95">
        <v>2533168</v>
      </c>
      <c r="AP220" s="95"/>
      <c r="AQ220" s="95"/>
      <c r="AR220" s="95"/>
      <c r="AS220" s="95"/>
      <c r="AT220" s="110">
        <v>0</v>
      </c>
      <c r="AU220" s="110"/>
      <c r="AV220" s="110"/>
      <c r="AW220" s="110"/>
      <c r="AX220" s="110"/>
      <c r="AY220" s="95">
        <v>0</v>
      </c>
      <c r="AZ220" s="95"/>
      <c r="BA220" s="95"/>
      <c r="BB220" s="95"/>
      <c r="BC220" s="95"/>
      <c r="BD220" s="110">
        <f>IF(ISNUMBER(AO220),AO220,0)+IF(ISNUMBER(AT220),AT220,0)</f>
        <v>2533168</v>
      </c>
      <c r="BE220" s="110"/>
      <c r="BF220" s="110"/>
      <c r="BG220" s="110"/>
      <c r="BH220" s="110"/>
    </row>
    <row r="221" spans="1:79" s="99" customFormat="1" ht="25.5" customHeight="1" x14ac:dyDescent="0.2">
      <c r="A221" s="89">
        <v>13</v>
      </c>
      <c r="B221" s="90"/>
      <c r="C221" s="90"/>
      <c r="D221" s="92" t="s">
        <v>202</v>
      </c>
      <c r="E221" s="93"/>
      <c r="F221" s="93"/>
      <c r="G221" s="93"/>
      <c r="H221" s="93"/>
      <c r="I221" s="93"/>
      <c r="J221" s="93"/>
      <c r="K221" s="93"/>
      <c r="L221" s="93"/>
      <c r="M221" s="93"/>
      <c r="N221" s="93"/>
      <c r="O221" s="93"/>
      <c r="P221" s="93"/>
      <c r="Q221" s="93"/>
      <c r="R221" s="93"/>
      <c r="S221" s="93"/>
      <c r="T221" s="94"/>
      <c r="U221" s="96">
        <v>0</v>
      </c>
      <c r="V221" s="97"/>
      <c r="W221" s="97"/>
      <c r="X221" s="97"/>
      <c r="Y221" s="98"/>
      <c r="Z221" s="96">
        <v>0</v>
      </c>
      <c r="AA221" s="97"/>
      <c r="AB221" s="97"/>
      <c r="AC221" s="97"/>
      <c r="AD221" s="98"/>
      <c r="AE221" s="95">
        <v>0</v>
      </c>
      <c r="AF221" s="95"/>
      <c r="AG221" s="95"/>
      <c r="AH221" s="95"/>
      <c r="AI221" s="95"/>
      <c r="AJ221" s="110">
        <f>IF(ISNUMBER(U221),U221,0)+IF(ISNUMBER(Z221),Z221,0)</f>
        <v>0</v>
      </c>
      <c r="AK221" s="110"/>
      <c r="AL221" s="110"/>
      <c r="AM221" s="110"/>
      <c r="AN221" s="110"/>
      <c r="AO221" s="95">
        <v>0</v>
      </c>
      <c r="AP221" s="95"/>
      <c r="AQ221" s="95"/>
      <c r="AR221" s="95"/>
      <c r="AS221" s="95"/>
      <c r="AT221" s="110">
        <v>0</v>
      </c>
      <c r="AU221" s="110"/>
      <c r="AV221" s="110"/>
      <c r="AW221" s="110"/>
      <c r="AX221" s="110"/>
      <c r="AY221" s="95">
        <v>0</v>
      </c>
      <c r="AZ221" s="95"/>
      <c r="BA221" s="95"/>
      <c r="BB221" s="95"/>
      <c r="BC221" s="95"/>
      <c r="BD221" s="110">
        <f>IF(ISNUMBER(AO221),AO221,0)+IF(ISNUMBER(AT221),AT221,0)</f>
        <v>0</v>
      </c>
      <c r="BE221" s="110"/>
      <c r="BF221" s="110"/>
      <c r="BG221" s="110"/>
      <c r="BH221" s="110"/>
    </row>
    <row r="222" spans="1:79" s="99" customFormat="1" ht="12.75" customHeight="1" x14ac:dyDescent="0.2">
      <c r="A222" s="89">
        <v>14</v>
      </c>
      <c r="B222" s="90"/>
      <c r="C222" s="90"/>
      <c r="D222" s="92" t="s">
        <v>203</v>
      </c>
      <c r="E222" s="93"/>
      <c r="F222" s="93"/>
      <c r="G222" s="93"/>
      <c r="H222" s="93"/>
      <c r="I222" s="93"/>
      <c r="J222" s="93"/>
      <c r="K222" s="93"/>
      <c r="L222" s="93"/>
      <c r="M222" s="93"/>
      <c r="N222" s="93"/>
      <c r="O222" s="93"/>
      <c r="P222" s="93"/>
      <c r="Q222" s="93"/>
      <c r="R222" s="93"/>
      <c r="S222" s="93"/>
      <c r="T222" s="94"/>
      <c r="U222" s="96">
        <v>0</v>
      </c>
      <c r="V222" s="97"/>
      <c r="W222" s="97"/>
      <c r="X222" s="97"/>
      <c r="Y222" s="98"/>
      <c r="Z222" s="96">
        <v>0</v>
      </c>
      <c r="AA222" s="97"/>
      <c r="AB222" s="97"/>
      <c r="AC222" s="97"/>
      <c r="AD222" s="98"/>
      <c r="AE222" s="95">
        <v>0</v>
      </c>
      <c r="AF222" s="95"/>
      <c r="AG222" s="95"/>
      <c r="AH222" s="95"/>
      <c r="AI222" s="95"/>
      <c r="AJ222" s="110">
        <f>IF(ISNUMBER(U222),U222,0)+IF(ISNUMBER(Z222),Z222,0)</f>
        <v>0</v>
      </c>
      <c r="AK222" s="110"/>
      <c r="AL222" s="110"/>
      <c r="AM222" s="110"/>
      <c r="AN222" s="110"/>
      <c r="AO222" s="95">
        <v>0</v>
      </c>
      <c r="AP222" s="95"/>
      <c r="AQ222" s="95"/>
      <c r="AR222" s="95"/>
      <c r="AS222" s="95"/>
      <c r="AT222" s="110">
        <v>0</v>
      </c>
      <c r="AU222" s="110"/>
      <c r="AV222" s="110"/>
      <c r="AW222" s="110"/>
      <c r="AX222" s="110"/>
      <c r="AY222" s="95">
        <v>0</v>
      </c>
      <c r="AZ222" s="95"/>
      <c r="BA222" s="95"/>
      <c r="BB222" s="95"/>
      <c r="BC222" s="95"/>
      <c r="BD222" s="110">
        <f>IF(ISNUMBER(AO222),AO222,0)+IF(ISNUMBER(AT222),AT222,0)</f>
        <v>0</v>
      </c>
      <c r="BE222" s="110"/>
      <c r="BF222" s="110"/>
      <c r="BG222" s="110"/>
      <c r="BH222" s="110"/>
    </row>
    <row r="223" spans="1:79" s="99" customFormat="1" ht="12.75" customHeight="1" x14ac:dyDescent="0.2">
      <c r="A223" s="89">
        <v>15</v>
      </c>
      <c r="B223" s="90"/>
      <c r="C223" s="90"/>
      <c r="D223" s="92" t="s">
        <v>204</v>
      </c>
      <c r="E223" s="93"/>
      <c r="F223" s="93"/>
      <c r="G223" s="93"/>
      <c r="H223" s="93"/>
      <c r="I223" s="93"/>
      <c r="J223" s="93"/>
      <c r="K223" s="93"/>
      <c r="L223" s="93"/>
      <c r="M223" s="93"/>
      <c r="N223" s="93"/>
      <c r="O223" s="93"/>
      <c r="P223" s="93"/>
      <c r="Q223" s="93"/>
      <c r="R223" s="93"/>
      <c r="S223" s="93"/>
      <c r="T223" s="94"/>
      <c r="U223" s="96">
        <v>0</v>
      </c>
      <c r="V223" s="97"/>
      <c r="W223" s="97"/>
      <c r="X223" s="97"/>
      <c r="Y223" s="98"/>
      <c r="Z223" s="96">
        <v>0</v>
      </c>
      <c r="AA223" s="97"/>
      <c r="AB223" s="97"/>
      <c r="AC223" s="97"/>
      <c r="AD223" s="98"/>
      <c r="AE223" s="95">
        <v>0</v>
      </c>
      <c r="AF223" s="95"/>
      <c r="AG223" s="95"/>
      <c r="AH223" s="95"/>
      <c r="AI223" s="95"/>
      <c r="AJ223" s="110">
        <f>IF(ISNUMBER(U223),U223,0)+IF(ISNUMBER(Z223),Z223,0)</f>
        <v>0</v>
      </c>
      <c r="AK223" s="110"/>
      <c r="AL223" s="110"/>
      <c r="AM223" s="110"/>
      <c r="AN223" s="110"/>
      <c r="AO223" s="95">
        <v>0</v>
      </c>
      <c r="AP223" s="95"/>
      <c r="AQ223" s="95"/>
      <c r="AR223" s="95"/>
      <c r="AS223" s="95"/>
      <c r="AT223" s="110">
        <v>0</v>
      </c>
      <c r="AU223" s="110"/>
      <c r="AV223" s="110"/>
      <c r="AW223" s="110"/>
      <c r="AX223" s="110"/>
      <c r="AY223" s="95">
        <v>0</v>
      </c>
      <c r="AZ223" s="95"/>
      <c r="BA223" s="95"/>
      <c r="BB223" s="95"/>
      <c r="BC223" s="95"/>
      <c r="BD223" s="110">
        <f>IF(ISNUMBER(AO223),AO223,0)+IF(ISNUMBER(AT223),AT223,0)</f>
        <v>0</v>
      </c>
      <c r="BE223" s="110"/>
      <c r="BF223" s="110"/>
      <c r="BG223" s="110"/>
      <c r="BH223" s="110"/>
    </row>
    <row r="224" spans="1:79" s="99" customFormat="1" ht="12.75" customHeight="1" x14ac:dyDescent="0.2">
      <c r="A224" s="89">
        <v>16</v>
      </c>
      <c r="B224" s="90"/>
      <c r="C224" s="90"/>
      <c r="D224" s="92" t="s">
        <v>205</v>
      </c>
      <c r="E224" s="93"/>
      <c r="F224" s="93"/>
      <c r="G224" s="93"/>
      <c r="H224" s="93"/>
      <c r="I224" s="93"/>
      <c r="J224" s="93"/>
      <c r="K224" s="93"/>
      <c r="L224" s="93"/>
      <c r="M224" s="93"/>
      <c r="N224" s="93"/>
      <c r="O224" s="93"/>
      <c r="P224" s="93"/>
      <c r="Q224" s="93"/>
      <c r="R224" s="93"/>
      <c r="S224" s="93"/>
      <c r="T224" s="94"/>
      <c r="U224" s="96">
        <v>359520</v>
      </c>
      <c r="V224" s="97"/>
      <c r="W224" s="97"/>
      <c r="X224" s="97"/>
      <c r="Y224" s="98"/>
      <c r="Z224" s="96">
        <v>0</v>
      </c>
      <c r="AA224" s="97"/>
      <c r="AB224" s="97"/>
      <c r="AC224" s="97"/>
      <c r="AD224" s="98"/>
      <c r="AE224" s="95">
        <v>0</v>
      </c>
      <c r="AF224" s="95"/>
      <c r="AG224" s="95"/>
      <c r="AH224" s="95"/>
      <c r="AI224" s="95"/>
      <c r="AJ224" s="110">
        <f>IF(ISNUMBER(U224),U224,0)+IF(ISNUMBER(Z224),Z224,0)</f>
        <v>359520</v>
      </c>
      <c r="AK224" s="110"/>
      <c r="AL224" s="110"/>
      <c r="AM224" s="110"/>
      <c r="AN224" s="110"/>
      <c r="AO224" s="95">
        <v>380372</v>
      </c>
      <c r="AP224" s="95"/>
      <c r="AQ224" s="95"/>
      <c r="AR224" s="95"/>
      <c r="AS224" s="95"/>
      <c r="AT224" s="110">
        <v>0</v>
      </c>
      <c r="AU224" s="110"/>
      <c r="AV224" s="110"/>
      <c r="AW224" s="110"/>
      <c r="AX224" s="110"/>
      <c r="AY224" s="95">
        <v>0</v>
      </c>
      <c r="AZ224" s="95"/>
      <c r="BA224" s="95"/>
      <c r="BB224" s="95"/>
      <c r="BC224" s="95"/>
      <c r="BD224" s="110">
        <f>IF(ISNUMBER(AO224),AO224,0)+IF(ISNUMBER(AT224),AT224,0)</f>
        <v>380372</v>
      </c>
      <c r="BE224" s="110"/>
      <c r="BF224" s="110"/>
      <c r="BG224" s="110"/>
      <c r="BH224" s="110"/>
    </row>
    <row r="225" spans="1:60" s="99" customFormat="1" ht="12.75" customHeight="1" x14ac:dyDescent="0.2">
      <c r="A225" s="89">
        <v>17</v>
      </c>
      <c r="B225" s="90"/>
      <c r="C225" s="90"/>
      <c r="D225" s="92" t="s">
        <v>206</v>
      </c>
      <c r="E225" s="93"/>
      <c r="F225" s="93"/>
      <c r="G225" s="93"/>
      <c r="H225" s="93"/>
      <c r="I225" s="93"/>
      <c r="J225" s="93"/>
      <c r="K225" s="93"/>
      <c r="L225" s="93"/>
      <c r="M225" s="93"/>
      <c r="N225" s="93"/>
      <c r="O225" s="93"/>
      <c r="P225" s="93"/>
      <c r="Q225" s="93"/>
      <c r="R225" s="93"/>
      <c r="S225" s="93"/>
      <c r="T225" s="94"/>
      <c r="U225" s="96">
        <v>21400</v>
      </c>
      <c r="V225" s="97"/>
      <c r="W225" s="97"/>
      <c r="X225" s="97"/>
      <c r="Y225" s="98"/>
      <c r="Z225" s="96">
        <v>0</v>
      </c>
      <c r="AA225" s="97"/>
      <c r="AB225" s="97"/>
      <c r="AC225" s="97"/>
      <c r="AD225" s="98"/>
      <c r="AE225" s="95">
        <v>0</v>
      </c>
      <c r="AF225" s="95"/>
      <c r="AG225" s="95"/>
      <c r="AH225" s="95"/>
      <c r="AI225" s="95"/>
      <c r="AJ225" s="110">
        <f>IF(ISNUMBER(U225),U225,0)+IF(ISNUMBER(Z225),Z225,0)</f>
        <v>21400</v>
      </c>
      <c r="AK225" s="110"/>
      <c r="AL225" s="110"/>
      <c r="AM225" s="110"/>
      <c r="AN225" s="110"/>
      <c r="AO225" s="95">
        <v>22641</v>
      </c>
      <c r="AP225" s="95"/>
      <c r="AQ225" s="95"/>
      <c r="AR225" s="95"/>
      <c r="AS225" s="95"/>
      <c r="AT225" s="110">
        <v>0</v>
      </c>
      <c r="AU225" s="110"/>
      <c r="AV225" s="110"/>
      <c r="AW225" s="110"/>
      <c r="AX225" s="110"/>
      <c r="AY225" s="95">
        <v>0</v>
      </c>
      <c r="AZ225" s="95"/>
      <c r="BA225" s="95"/>
      <c r="BB225" s="95"/>
      <c r="BC225" s="95"/>
      <c r="BD225" s="110">
        <f>IF(ISNUMBER(AO225),AO225,0)+IF(ISNUMBER(AT225),AT225,0)</f>
        <v>22641</v>
      </c>
      <c r="BE225" s="110"/>
      <c r="BF225" s="110"/>
      <c r="BG225" s="110"/>
      <c r="BH225" s="110"/>
    </row>
    <row r="226" spans="1:60" s="99" customFormat="1" ht="51" customHeight="1" x14ac:dyDescent="0.2">
      <c r="A226" s="89">
        <v>18</v>
      </c>
      <c r="B226" s="90"/>
      <c r="C226" s="90"/>
      <c r="D226" s="92" t="s">
        <v>207</v>
      </c>
      <c r="E226" s="93"/>
      <c r="F226" s="93"/>
      <c r="G226" s="93"/>
      <c r="H226" s="93"/>
      <c r="I226" s="93"/>
      <c r="J226" s="93"/>
      <c r="K226" s="93"/>
      <c r="L226" s="93"/>
      <c r="M226" s="93"/>
      <c r="N226" s="93"/>
      <c r="O226" s="93"/>
      <c r="P226" s="93"/>
      <c r="Q226" s="93"/>
      <c r="R226" s="93"/>
      <c r="S226" s="93"/>
      <c r="T226" s="94"/>
      <c r="U226" s="96">
        <v>0</v>
      </c>
      <c r="V226" s="97"/>
      <c r="W226" s="97"/>
      <c r="X226" s="97"/>
      <c r="Y226" s="98"/>
      <c r="Z226" s="96">
        <v>0</v>
      </c>
      <c r="AA226" s="97"/>
      <c r="AB226" s="97"/>
      <c r="AC226" s="97"/>
      <c r="AD226" s="98"/>
      <c r="AE226" s="95">
        <v>0</v>
      </c>
      <c r="AF226" s="95"/>
      <c r="AG226" s="95"/>
      <c r="AH226" s="95"/>
      <c r="AI226" s="95"/>
      <c r="AJ226" s="110">
        <f>IF(ISNUMBER(U226),U226,0)+IF(ISNUMBER(Z226),Z226,0)</f>
        <v>0</v>
      </c>
      <c r="AK226" s="110"/>
      <c r="AL226" s="110"/>
      <c r="AM226" s="110"/>
      <c r="AN226" s="110"/>
      <c r="AO226" s="95">
        <v>0</v>
      </c>
      <c r="AP226" s="95"/>
      <c r="AQ226" s="95"/>
      <c r="AR226" s="95"/>
      <c r="AS226" s="95"/>
      <c r="AT226" s="110">
        <v>0</v>
      </c>
      <c r="AU226" s="110"/>
      <c r="AV226" s="110"/>
      <c r="AW226" s="110"/>
      <c r="AX226" s="110"/>
      <c r="AY226" s="95">
        <v>0</v>
      </c>
      <c r="AZ226" s="95"/>
      <c r="BA226" s="95"/>
      <c r="BB226" s="95"/>
      <c r="BC226" s="95"/>
      <c r="BD226" s="110">
        <f>IF(ISNUMBER(AO226),AO226,0)+IF(ISNUMBER(AT226),AT226,0)</f>
        <v>0</v>
      </c>
      <c r="BE226" s="110"/>
      <c r="BF226" s="110"/>
      <c r="BG226" s="110"/>
      <c r="BH226" s="110"/>
    </row>
    <row r="227" spans="1:60" s="99" customFormat="1" ht="12.75" customHeight="1" x14ac:dyDescent="0.2">
      <c r="A227" s="89">
        <v>19</v>
      </c>
      <c r="B227" s="90"/>
      <c r="C227" s="90"/>
      <c r="D227" s="92" t="s">
        <v>208</v>
      </c>
      <c r="E227" s="93"/>
      <c r="F227" s="93"/>
      <c r="G227" s="93"/>
      <c r="H227" s="93"/>
      <c r="I227" s="93"/>
      <c r="J227" s="93"/>
      <c r="K227" s="93"/>
      <c r="L227" s="93"/>
      <c r="M227" s="93"/>
      <c r="N227" s="93"/>
      <c r="O227" s="93"/>
      <c r="P227" s="93"/>
      <c r="Q227" s="93"/>
      <c r="R227" s="93"/>
      <c r="S227" s="93"/>
      <c r="T227" s="94"/>
      <c r="U227" s="96">
        <v>190612</v>
      </c>
      <c r="V227" s="97"/>
      <c r="W227" s="97"/>
      <c r="X227" s="97"/>
      <c r="Y227" s="98"/>
      <c r="Z227" s="96">
        <v>0</v>
      </c>
      <c r="AA227" s="97"/>
      <c r="AB227" s="97"/>
      <c r="AC227" s="97"/>
      <c r="AD227" s="98"/>
      <c r="AE227" s="95">
        <v>0</v>
      </c>
      <c r="AF227" s="95"/>
      <c r="AG227" s="95"/>
      <c r="AH227" s="95"/>
      <c r="AI227" s="95"/>
      <c r="AJ227" s="110">
        <f>IF(ISNUMBER(U227),U227,0)+IF(ISNUMBER(Z227),Z227,0)</f>
        <v>190612</v>
      </c>
      <c r="AK227" s="110"/>
      <c r="AL227" s="110"/>
      <c r="AM227" s="110"/>
      <c r="AN227" s="110"/>
      <c r="AO227" s="95">
        <v>201667</v>
      </c>
      <c r="AP227" s="95"/>
      <c r="AQ227" s="95"/>
      <c r="AR227" s="95"/>
      <c r="AS227" s="95"/>
      <c r="AT227" s="110">
        <v>0</v>
      </c>
      <c r="AU227" s="110"/>
      <c r="AV227" s="110"/>
      <c r="AW227" s="110"/>
      <c r="AX227" s="110"/>
      <c r="AY227" s="95">
        <v>0</v>
      </c>
      <c r="AZ227" s="95"/>
      <c r="BA227" s="95"/>
      <c r="BB227" s="95"/>
      <c r="BC227" s="95"/>
      <c r="BD227" s="110">
        <f>IF(ISNUMBER(AO227),AO227,0)+IF(ISNUMBER(AT227),AT227,0)</f>
        <v>201667</v>
      </c>
      <c r="BE227" s="110"/>
      <c r="BF227" s="110"/>
      <c r="BG227" s="110"/>
      <c r="BH227" s="110"/>
    </row>
    <row r="228" spans="1:60" s="99" customFormat="1" ht="12.75" customHeight="1" x14ac:dyDescent="0.2">
      <c r="A228" s="89">
        <v>20</v>
      </c>
      <c r="B228" s="90"/>
      <c r="C228" s="90"/>
      <c r="D228" s="92" t="s">
        <v>209</v>
      </c>
      <c r="E228" s="93"/>
      <c r="F228" s="93"/>
      <c r="G228" s="93"/>
      <c r="H228" s="93"/>
      <c r="I228" s="93"/>
      <c r="J228" s="93"/>
      <c r="K228" s="93"/>
      <c r="L228" s="93"/>
      <c r="M228" s="93"/>
      <c r="N228" s="93"/>
      <c r="O228" s="93"/>
      <c r="P228" s="93"/>
      <c r="Q228" s="93"/>
      <c r="R228" s="93"/>
      <c r="S228" s="93"/>
      <c r="T228" s="94"/>
      <c r="U228" s="96">
        <v>243703</v>
      </c>
      <c r="V228" s="97"/>
      <c r="W228" s="97"/>
      <c r="X228" s="97"/>
      <c r="Y228" s="98"/>
      <c r="Z228" s="96">
        <v>0</v>
      </c>
      <c r="AA228" s="97"/>
      <c r="AB228" s="97"/>
      <c r="AC228" s="97"/>
      <c r="AD228" s="98"/>
      <c r="AE228" s="95">
        <v>0</v>
      </c>
      <c r="AF228" s="95"/>
      <c r="AG228" s="95"/>
      <c r="AH228" s="95"/>
      <c r="AI228" s="95"/>
      <c r="AJ228" s="110">
        <f>IF(ISNUMBER(U228),U228,0)+IF(ISNUMBER(Z228),Z228,0)</f>
        <v>243703</v>
      </c>
      <c r="AK228" s="110"/>
      <c r="AL228" s="110"/>
      <c r="AM228" s="110"/>
      <c r="AN228" s="110"/>
      <c r="AO228" s="95">
        <v>257838</v>
      </c>
      <c r="AP228" s="95"/>
      <c r="AQ228" s="95"/>
      <c r="AR228" s="95"/>
      <c r="AS228" s="95"/>
      <c r="AT228" s="110">
        <v>0</v>
      </c>
      <c r="AU228" s="110"/>
      <c r="AV228" s="110"/>
      <c r="AW228" s="110"/>
      <c r="AX228" s="110"/>
      <c r="AY228" s="95">
        <v>0</v>
      </c>
      <c r="AZ228" s="95"/>
      <c r="BA228" s="95"/>
      <c r="BB228" s="95"/>
      <c r="BC228" s="95"/>
      <c r="BD228" s="110">
        <f>IF(ISNUMBER(AO228),AO228,0)+IF(ISNUMBER(AT228),AT228,0)</f>
        <v>257838</v>
      </c>
      <c r="BE228" s="110"/>
      <c r="BF228" s="110"/>
      <c r="BG228" s="110"/>
      <c r="BH228" s="110"/>
    </row>
    <row r="229" spans="1:60" s="99" customFormat="1" ht="12.75" customHeight="1" x14ac:dyDescent="0.2">
      <c r="A229" s="89">
        <v>21</v>
      </c>
      <c r="B229" s="90"/>
      <c r="C229" s="90"/>
      <c r="D229" s="92" t="s">
        <v>210</v>
      </c>
      <c r="E229" s="93"/>
      <c r="F229" s="93"/>
      <c r="G229" s="93"/>
      <c r="H229" s="93"/>
      <c r="I229" s="93"/>
      <c r="J229" s="93"/>
      <c r="K229" s="93"/>
      <c r="L229" s="93"/>
      <c r="M229" s="93"/>
      <c r="N229" s="93"/>
      <c r="O229" s="93"/>
      <c r="P229" s="93"/>
      <c r="Q229" s="93"/>
      <c r="R229" s="93"/>
      <c r="S229" s="93"/>
      <c r="T229" s="94"/>
      <c r="U229" s="96">
        <v>38520</v>
      </c>
      <c r="V229" s="97"/>
      <c r="W229" s="97"/>
      <c r="X229" s="97"/>
      <c r="Y229" s="98"/>
      <c r="Z229" s="96">
        <v>0</v>
      </c>
      <c r="AA229" s="97"/>
      <c r="AB229" s="97"/>
      <c r="AC229" s="97"/>
      <c r="AD229" s="98"/>
      <c r="AE229" s="95">
        <v>0</v>
      </c>
      <c r="AF229" s="95"/>
      <c r="AG229" s="95"/>
      <c r="AH229" s="95"/>
      <c r="AI229" s="95"/>
      <c r="AJ229" s="110">
        <f>IF(ISNUMBER(U229),U229,0)+IF(ISNUMBER(Z229),Z229,0)</f>
        <v>38520</v>
      </c>
      <c r="AK229" s="110"/>
      <c r="AL229" s="110"/>
      <c r="AM229" s="110"/>
      <c r="AN229" s="110"/>
      <c r="AO229" s="95">
        <v>40754</v>
      </c>
      <c r="AP229" s="95"/>
      <c r="AQ229" s="95"/>
      <c r="AR229" s="95"/>
      <c r="AS229" s="95"/>
      <c r="AT229" s="110">
        <v>0</v>
      </c>
      <c r="AU229" s="110"/>
      <c r="AV229" s="110"/>
      <c r="AW229" s="110"/>
      <c r="AX229" s="110"/>
      <c r="AY229" s="95">
        <v>0</v>
      </c>
      <c r="AZ229" s="95"/>
      <c r="BA229" s="95"/>
      <c r="BB229" s="95"/>
      <c r="BC229" s="95"/>
      <c r="BD229" s="110">
        <f>IF(ISNUMBER(AO229),AO229,0)+IF(ISNUMBER(AT229),AT229,0)</f>
        <v>40754</v>
      </c>
      <c r="BE229" s="110"/>
      <c r="BF229" s="110"/>
      <c r="BG229" s="110"/>
      <c r="BH229" s="110"/>
    </row>
    <row r="230" spans="1:60" s="99" customFormat="1" ht="12.75" customHeight="1" x14ac:dyDescent="0.2">
      <c r="A230" s="89">
        <v>22</v>
      </c>
      <c r="B230" s="90"/>
      <c r="C230" s="90"/>
      <c r="D230" s="92" t="s">
        <v>211</v>
      </c>
      <c r="E230" s="93"/>
      <c r="F230" s="93"/>
      <c r="G230" s="93"/>
      <c r="H230" s="93"/>
      <c r="I230" s="93"/>
      <c r="J230" s="93"/>
      <c r="K230" s="93"/>
      <c r="L230" s="93"/>
      <c r="M230" s="93"/>
      <c r="N230" s="93"/>
      <c r="O230" s="93"/>
      <c r="P230" s="93"/>
      <c r="Q230" s="93"/>
      <c r="R230" s="93"/>
      <c r="S230" s="93"/>
      <c r="T230" s="94"/>
      <c r="U230" s="96">
        <v>17976</v>
      </c>
      <c r="V230" s="97"/>
      <c r="W230" s="97"/>
      <c r="X230" s="97"/>
      <c r="Y230" s="98"/>
      <c r="Z230" s="96">
        <v>0</v>
      </c>
      <c r="AA230" s="97"/>
      <c r="AB230" s="97"/>
      <c r="AC230" s="97"/>
      <c r="AD230" s="98"/>
      <c r="AE230" s="95">
        <v>0</v>
      </c>
      <c r="AF230" s="95"/>
      <c r="AG230" s="95"/>
      <c r="AH230" s="95"/>
      <c r="AI230" s="95"/>
      <c r="AJ230" s="110">
        <f>IF(ISNUMBER(U230),U230,0)+IF(ISNUMBER(Z230),Z230,0)</f>
        <v>17976</v>
      </c>
      <c r="AK230" s="110"/>
      <c r="AL230" s="110"/>
      <c r="AM230" s="110"/>
      <c r="AN230" s="110"/>
      <c r="AO230" s="95">
        <v>19019</v>
      </c>
      <c r="AP230" s="95"/>
      <c r="AQ230" s="95"/>
      <c r="AR230" s="95"/>
      <c r="AS230" s="95"/>
      <c r="AT230" s="110">
        <v>0</v>
      </c>
      <c r="AU230" s="110"/>
      <c r="AV230" s="110"/>
      <c r="AW230" s="110"/>
      <c r="AX230" s="110"/>
      <c r="AY230" s="95">
        <v>0</v>
      </c>
      <c r="AZ230" s="95"/>
      <c r="BA230" s="95"/>
      <c r="BB230" s="95"/>
      <c r="BC230" s="95"/>
      <c r="BD230" s="110">
        <f>IF(ISNUMBER(AO230),AO230,0)+IF(ISNUMBER(AT230),AT230,0)</f>
        <v>19019</v>
      </c>
      <c r="BE230" s="110"/>
      <c r="BF230" s="110"/>
      <c r="BG230" s="110"/>
      <c r="BH230" s="110"/>
    </row>
    <row r="231" spans="1:60" s="99" customFormat="1" ht="25.5" customHeight="1" x14ac:dyDescent="0.2">
      <c r="A231" s="89">
        <v>23</v>
      </c>
      <c r="B231" s="90"/>
      <c r="C231" s="90"/>
      <c r="D231" s="92" t="s">
        <v>212</v>
      </c>
      <c r="E231" s="93"/>
      <c r="F231" s="93"/>
      <c r="G231" s="93"/>
      <c r="H231" s="93"/>
      <c r="I231" s="93"/>
      <c r="J231" s="93"/>
      <c r="K231" s="93"/>
      <c r="L231" s="93"/>
      <c r="M231" s="93"/>
      <c r="N231" s="93"/>
      <c r="O231" s="93"/>
      <c r="P231" s="93"/>
      <c r="Q231" s="93"/>
      <c r="R231" s="93"/>
      <c r="S231" s="93"/>
      <c r="T231" s="94"/>
      <c r="U231" s="96">
        <v>0</v>
      </c>
      <c r="V231" s="97"/>
      <c r="W231" s="97"/>
      <c r="X231" s="97"/>
      <c r="Y231" s="98"/>
      <c r="Z231" s="96">
        <v>0</v>
      </c>
      <c r="AA231" s="97"/>
      <c r="AB231" s="97"/>
      <c r="AC231" s="97"/>
      <c r="AD231" s="98"/>
      <c r="AE231" s="95">
        <v>0</v>
      </c>
      <c r="AF231" s="95"/>
      <c r="AG231" s="95"/>
      <c r="AH231" s="95"/>
      <c r="AI231" s="95"/>
      <c r="AJ231" s="110">
        <f>IF(ISNUMBER(U231),U231,0)+IF(ISNUMBER(Z231),Z231,0)</f>
        <v>0</v>
      </c>
      <c r="AK231" s="110"/>
      <c r="AL231" s="110"/>
      <c r="AM231" s="110"/>
      <c r="AN231" s="110"/>
      <c r="AO231" s="95">
        <v>0</v>
      </c>
      <c r="AP231" s="95"/>
      <c r="AQ231" s="95"/>
      <c r="AR231" s="95"/>
      <c r="AS231" s="95"/>
      <c r="AT231" s="110">
        <v>0</v>
      </c>
      <c r="AU231" s="110"/>
      <c r="AV231" s="110"/>
      <c r="AW231" s="110"/>
      <c r="AX231" s="110"/>
      <c r="AY231" s="95">
        <v>0</v>
      </c>
      <c r="AZ231" s="95"/>
      <c r="BA231" s="95"/>
      <c r="BB231" s="95"/>
      <c r="BC231" s="95"/>
      <c r="BD231" s="110">
        <f>IF(ISNUMBER(AO231),AO231,0)+IF(ISNUMBER(AT231),AT231,0)</f>
        <v>0</v>
      </c>
      <c r="BE231" s="110"/>
      <c r="BF231" s="110"/>
      <c r="BG231" s="110"/>
      <c r="BH231" s="110"/>
    </row>
    <row r="232" spans="1:60" s="99" customFormat="1" ht="38.25" customHeight="1" x14ac:dyDescent="0.2">
      <c r="A232" s="89">
        <v>24</v>
      </c>
      <c r="B232" s="90"/>
      <c r="C232" s="90"/>
      <c r="D232" s="92" t="s">
        <v>213</v>
      </c>
      <c r="E232" s="93"/>
      <c r="F232" s="93"/>
      <c r="G232" s="93"/>
      <c r="H232" s="93"/>
      <c r="I232" s="93"/>
      <c r="J232" s="93"/>
      <c r="K232" s="93"/>
      <c r="L232" s="93"/>
      <c r="M232" s="93"/>
      <c r="N232" s="93"/>
      <c r="O232" s="93"/>
      <c r="P232" s="93"/>
      <c r="Q232" s="93"/>
      <c r="R232" s="93"/>
      <c r="S232" s="93"/>
      <c r="T232" s="94"/>
      <c r="U232" s="96">
        <v>0</v>
      </c>
      <c r="V232" s="97"/>
      <c r="W232" s="97"/>
      <c r="X232" s="97"/>
      <c r="Y232" s="98"/>
      <c r="Z232" s="96">
        <v>0</v>
      </c>
      <c r="AA232" s="97"/>
      <c r="AB232" s="97"/>
      <c r="AC232" s="97"/>
      <c r="AD232" s="98"/>
      <c r="AE232" s="95">
        <v>0</v>
      </c>
      <c r="AF232" s="95"/>
      <c r="AG232" s="95"/>
      <c r="AH232" s="95"/>
      <c r="AI232" s="95"/>
      <c r="AJ232" s="110">
        <f>IF(ISNUMBER(U232),U232,0)+IF(ISNUMBER(Z232),Z232,0)</f>
        <v>0</v>
      </c>
      <c r="AK232" s="110"/>
      <c r="AL232" s="110"/>
      <c r="AM232" s="110"/>
      <c r="AN232" s="110"/>
      <c r="AO232" s="95">
        <v>0</v>
      </c>
      <c r="AP232" s="95"/>
      <c r="AQ232" s="95"/>
      <c r="AR232" s="95"/>
      <c r="AS232" s="95"/>
      <c r="AT232" s="110">
        <v>0</v>
      </c>
      <c r="AU232" s="110"/>
      <c r="AV232" s="110"/>
      <c r="AW232" s="110"/>
      <c r="AX232" s="110"/>
      <c r="AY232" s="95">
        <v>0</v>
      </c>
      <c r="AZ232" s="95"/>
      <c r="BA232" s="95"/>
      <c r="BB232" s="95"/>
      <c r="BC232" s="95"/>
      <c r="BD232" s="110">
        <f>IF(ISNUMBER(AO232),AO232,0)+IF(ISNUMBER(AT232),AT232,0)</f>
        <v>0</v>
      </c>
      <c r="BE232" s="110"/>
      <c r="BF232" s="110"/>
      <c r="BG232" s="110"/>
      <c r="BH232" s="110"/>
    </row>
    <row r="233" spans="1:60" s="99" customFormat="1" ht="12.75" customHeight="1" x14ac:dyDescent="0.2">
      <c r="A233" s="89">
        <v>25</v>
      </c>
      <c r="B233" s="90"/>
      <c r="C233" s="90"/>
      <c r="D233" s="92" t="s">
        <v>214</v>
      </c>
      <c r="E233" s="93"/>
      <c r="F233" s="93"/>
      <c r="G233" s="93"/>
      <c r="H233" s="93"/>
      <c r="I233" s="93"/>
      <c r="J233" s="93"/>
      <c r="K233" s="93"/>
      <c r="L233" s="93"/>
      <c r="M233" s="93"/>
      <c r="N233" s="93"/>
      <c r="O233" s="93"/>
      <c r="P233" s="93"/>
      <c r="Q233" s="93"/>
      <c r="R233" s="93"/>
      <c r="S233" s="93"/>
      <c r="T233" s="94"/>
      <c r="U233" s="96">
        <v>40186</v>
      </c>
      <c r="V233" s="97"/>
      <c r="W233" s="97"/>
      <c r="X233" s="97"/>
      <c r="Y233" s="98"/>
      <c r="Z233" s="96">
        <v>0</v>
      </c>
      <c r="AA233" s="97"/>
      <c r="AB233" s="97"/>
      <c r="AC233" s="97"/>
      <c r="AD233" s="98"/>
      <c r="AE233" s="95">
        <v>0</v>
      </c>
      <c r="AF233" s="95"/>
      <c r="AG233" s="95"/>
      <c r="AH233" s="95"/>
      <c r="AI233" s="95"/>
      <c r="AJ233" s="110">
        <f>IF(ISNUMBER(U233),U233,0)+IF(ISNUMBER(Z233),Z233,0)</f>
        <v>40186</v>
      </c>
      <c r="AK233" s="110"/>
      <c r="AL233" s="110"/>
      <c r="AM233" s="110"/>
      <c r="AN233" s="110"/>
      <c r="AO233" s="95">
        <v>42517</v>
      </c>
      <c r="AP233" s="95"/>
      <c r="AQ233" s="95"/>
      <c r="AR233" s="95"/>
      <c r="AS233" s="95"/>
      <c r="AT233" s="110">
        <v>0</v>
      </c>
      <c r="AU233" s="110"/>
      <c r="AV233" s="110"/>
      <c r="AW233" s="110"/>
      <c r="AX233" s="110"/>
      <c r="AY233" s="95">
        <v>0</v>
      </c>
      <c r="AZ233" s="95"/>
      <c r="BA233" s="95"/>
      <c r="BB233" s="95"/>
      <c r="BC233" s="95"/>
      <c r="BD233" s="110">
        <f>IF(ISNUMBER(AO233),AO233,0)+IF(ISNUMBER(AT233),AT233,0)</f>
        <v>42517</v>
      </c>
      <c r="BE233" s="110"/>
      <c r="BF233" s="110"/>
      <c r="BG233" s="110"/>
      <c r="BH233" s="110"/>
    </row>
    <row r="234" spans="1:60" s="99" customFormat="1" ht="12.75" customHeight="1" x14ac:dyDescent="0.2">
      <c r="A234" s="89">
        <v>26</v>
      </c>
      <c r="B234" s="90"/>
      <c r="C234" s="90"/>
      <c r="D234" s="92" t="s">
        <v>215</v>
      </c>
      <c r="E234" s="93"/>
      <c r="F234" s="93"/>
      <c r="G234" s="93"/>
      <c r="H234" s="93"/>
      <c r="I234" s="93"/>
      <c r="J234" s="93"/>
      <c r="K234" s="93"/>
      <c r="L234" s="93"/>
      <c r="M234" s="93"/>
      <c r="N234" s="93"/>
      <c r="O234" s="93"/>
      <c r="P234" s="93"/>
      <c r="Q234" s="93"/>
      <c r="R234" s="93"/>
      <c r="S234" s="93"/>
      <c r="T234" s="94"/>
      <c r="U234" s="96">
        <v>143320</v>
      </c>
      <c r="V234" s="97"/>
      <c r="W234" s="97"/>
      <c r="X234" s="97"/>
      <c r="Y234" s="98"/>
      <c r="Z234" s="96">
        <v>0</v>
      </c>
      <c r="AA234" s="97"/>
      <c r="AB234" s="97"/>
      <c r="AC234" s="97"/>
      <c r="AD234" s="98"/>
      <c r="AE234" s="95">
        <v>0</v>
      </c>
      <c r="AF234" s="95"/>
      <c r="AG234" s="95"/>
      <c r="AH234" s="95"/>
      <c r="AI234" s="95"/>
      <c r="AJ234" s="110">
        <f>IF(ISNUMBER(U234),U234,0)+IF(ISNUMBER(Z234),Z234,0)</f>
        <v>143320</v>
      </c>
      <c r="AK234" s="110"/>
      <c r="AL234" s="110"/>
      <c r="AM234" s="110"/>
      <c r="AN234" s="110"/>
      <c r="AO234" s="95">
        <v>151633</v>
      </c>
      <c r="AP234" s="95"/>
      <c r="AQ234" s="95"/>
      <c r="AR234" s="95"/>
      <c r="AS234" s="95"/>
      <c r="AT234" s="110">
        <v>0</v>
      </c>
      <c r="AU234" s="110"/>
      <c r="AV234" s="110"/>
      <c r="AW234" s="110"/>
      <c r="AX234" s="110"/>
      <c r="AY234" s="95">
        <v>0</v>
      </c>
      <c r="AZ234" s="95"/>
      <c r="BA234" s="95"/>
      <c r="BB234" s="95"/>
      <c r="BC234" s="95"/>
      <c r="BD234" s="110">
        <f>IF(ISNUMBER(AO234),AO234,0)+IF(ISNUMBER(AT234),AT234,0)</f>
        <v>151633</v>
      </c>
      <c r="BE234" s="110"/>
      <c r="BF234" s="110"/>
      <c r="BG234" s="110"/>
      <c r="BH234" s="110"/>
    </row>
    <row r="235" spans="1:60" s="99" customFormat="1" ht="25.5" customHeight="1" x14ac:dyDescent="0.2">
      <c r="A235" s="89">
        <v>27</v>
      </c>
      <c r="B235" s="90"/>
      <c r="C235" s="90"/>
      <c r="D235" s="92" t="s">
        <v>216</v>
      </c>
      <c r="E235" s="93"/>
      <c r="F235" s="93"/>
      <c r="G235" s="93"/>
      <c r="H235" s="93"/>
      <c r="I235" s="93"/>
      <c r="J235" s="93"/>
      <c r="K235" s="93"/>
      <c r="L235" s="93"/>
      <c r="M235" s="93"/>
      <c r="N235" s="93"/>
      <c r="O235" s="93"/>
      <c r="P235" s="93"/>
      <c r="Q235" s="93"/>
      <c r="R235" s="93"/>
      <c r="S235" s="93"/>
      <c r="T235" s="94"/>
      <c r="U235" s="96">
        <v>7704</v>
      </c>
      <c r="V235" s="97"/>
      <c r="W235" s="97"/>
      <c r="X235" s="97"/>
      <c r="Y235" s="98"/>
      <c r="Z235" s="96">
        <v>0</v>
      </c>
      <c r="AA235" s="97"/>
      <c r="AB235" s="97"/>
      <c r="AC235" s="97"/>
      <c r="AD235" s="98"/>
      <c r="AE235" s="95">
        <v>0</v>
      </c>
      <c r="AF235" s="95"/>
      <c r="AG235" s="95"/>
      <c r="AH235" s="95"/>
      <c r="AI235" s="95"/>
      <c r="AJ235" s="110">
        <f>IF(ISNUMBER(U235),U235,0)+IF(ISNUMBER(Z235),Z235,0)</f>
        <v>7704</v>
      </c>
      <c r="AK235" s="110"/>
      <c r="AL235" s="110"/>
      <c r="AM235" s="110"/>
      <c r="AN235" s="110"/>
      <c r="AO235" s="95">
        <v>8151</v>
      </c>
      <c r="AP235" s="95"/>
      <c r="AQ235" s="95"/>
      <c r="AR235" s="95"/>
      <c r="AS235" s="95"/>
      <c r="AT235" s="110">
        <v>0</v>
      </c>
      <c r="AU235" s="110"/>
      <c r="AV235" s="110"/>
      <c r="AW235" s="110"/>
      <c r="AX235" s="110"/>
      <c r="AY235" s="95">
        <v>0</v>
      </c>
      <c r="AZ235" s="95"/>
      <c r="BA235" s="95"/>
      <c r="BB235" s="95"/>
      <c r="BC235" s="95"/>
      <c r="BD235" s="110">
        <f>IF(ISNUMBER(AO235),AO235,0)+IF(ISNUMBER(AT235),AT235,0)</f>
        <v>8151</v>
      </c>
      <c r="BE235" s="110"/>
      <c r="BF235" s="110"/>
      <c r="BG235" s="110"/>
      <c r="BH235" s="110"/>
    </row>
    <row r="236" spans="1:60" s="99" customFormat="1" ht="25.5" customHeight="1" x14ac:dyDescent="0.2">
      <c r="A236" s="89">
        <v>28</v>
      </c>
      <c r="B236" s="90"/>
      <c r="C236" s="90"/>
      <c r="D236" s="92" t="s">
        <v>217</v>
      </c>
      <c r="E236" s="93"/>
      <c r="F236" s="93"/>
      <c r="G236" s="93"/>
      <c r="H236" s="93"/>
      <c r="I236" s="93"/>
      <c r="J236" s="93"/>
      <c r="K236" s="93"/>
      <c r="L236" s="93"/>
      <c r="M236" s="93"/>
      <c r="N236" s="93"/>
      <c r="O236" s="93"/>
      <c r="P236" s="93"/>
      <c r="Q236" s="93"/>
      <c r="R236" s="93"/>
      <c r="S236" s="93"/>
      <c r="T236" s="94"/>
      <c r="U236" s="96">
        <v>8224</v>
      </c>
      <c r="V236" s="97"/>
      <c r="W236" s="97"/>
      <c r="X236" s="97"/>
      <c r="Y236" s="98"/>
      <c r="Z236" s="96">
        <v>0</v>
      </c>
      <c r="AA236" s="97"/>
      <c r="AB236" s="97"/>
      <c r="AC236" s="97"/>
      <c r="AD236" s="98"/>
      <c r="AE236" s="95">
        <v>0</v>
      </c>
      <c r="AF236" s="95"/>
      <c r="AG236" s="95"/>
      <c r="AH236" s="95"/>
      <c r="AI236" s="95"/>
      <c r="AJ236" s="110">
        <f>IF(ISNUMBER(U236),U236,0)+IF(ISNUMBER(Z236),Z236,0)</f>
        <v>8224</v>
      </c>
      <c r="AK236" s="110"/>
      <c r="AL236" s="110"/>
      <c r="AM236" s="110"/>
      <c r="AN236" s="110"/>
      <c r="AO236" s="95">
        <v>8701</v>
      </c>
      <c r="AP236" s="95"/>
      <c r="AQ236" s="95"/>
      <c r="AR236" s="95"/>
      <c r="AS236" s="95"/>
      <c r="AT236" s="110">
        <v>0</v>
      </c>
      <c r="AU236" s="110"/>
      <c r="AV236" s="110"/>
      <c r="AW236" s="110"/>
      <c r="AX236" s="110"/>
      <c r="AY236" s="95">
        <v>0</v>
      </c>
      <c r="AZ236" s="95"/>
      <c r="BA236" s="95"/>
      <c r="BB236" s="95"/>
      <c r="BC236" s="95"/>
      <c r="BD236" s="110">
        <f>IF(ISNUMBER(AO236),AO236,0)+IF(ISNUMBER(AT236),AT236,0)</f>
        <v>8701</v>
      </c>
      <c r="BE236" s="110"/>
      <c r="BF236" s="110"/>
      <c r="BG236" s="110"/>
      <c r="BH236" s="110"/>
    </row>
    <row r="237" spans="1:60" s="99" customFormat="1" ht="12.75" customHeight="1" x14ac:dyDescent="0.2">
      <c r="A237" s="89">
        <v>29</v>
      </c>
      <c r="B237" s="90"/>
      <c r="C237" s="90"/>
      <c r="D237" s="92" t="s">
        <v>218</v>
      </c>
      <c r="E237" s="93"/>
      <c r="F237" s="93"/>
      <c r="G237" s="93"/>
      <c r="H237" s="93"/>
      <c r="I237" s="93"/>
      <c r="J237" s="93"/>
      <c r="K237" s="93"/>
      <c r="L237" s="93"/>
      <c r="M237" s="93"/>
      <c r="N237" s="93"/>
      <c r="O237" s="93"/>
      <c r="P237" s="93"/>
      <c r="Q237" s="93"/>
      <c r="R237" s="93"/>
      <c r="S237" s="93"/>
      <c r="T237" s="94"/>
      <c r="U237" s="96">
        <v>97385</v>
      </c>
      <c r="V237" s="97"/>
      <c r="W237" s="97"/>
      <c r="X237" s="97"/>
      <c r="Y237" s="98"/>
      <c r="Z237" s="96">
        <v>0</v>
      </c>
      <c r="AA237" s="97"/>
      <c r="AB237" s="97"/>
      <c r="AC237" s="97"/>
      <c r="AD237" s="98"/>
      <c r="AE237" s="95">
        <v>0</v>
      </c>
      <c r="AF237" s="95"/>
      <c r="AG237" s="95"/>
      <c r="AH237" s="95"/>
      <c r="AI237" s="95"/>
      <c r="AJ237" s="110">
        <f>IF(ISNUMBER(U237),U237,0)+IF(ISNUMBER(Z237),Z237,0)</f>
        <v>97385</v>
      </c>
      <c r="AK237" s="110"/>
      <c r="AL237" s="110"/>
      <c r="AM237" s="110"/>
      <c r="AN237" s="110"/>
      <c r="AO237" s="95">
        <v>103033</v>
      </c>
      <c r="AP237" s="95"/>
      <c r="AQ237" s="95"/>
      <c r="AR237" s="95"/>
      <c r="AS237" s="95"/>
      <c r="AT237" s="110">
        <v>0</v>
      </c>
      <c r="AU237" s="110"/>
      <c r="AV237" s="110"/>
      <c r="AW237" s="110"/>
      <c r="AX237" s="110"/>
      <c r="AY237" s="95">
        <v>0</v>
      </c>
      <c r="AZ237" s="95"/>
      <c r="BA237" s="95"/>
      <c r="BB237" s="95"/>
      <c r="BC237" s="95"/>
      <c r="BD237" s="110">
        <f>IF(ISNUMBER(AO237),AO237,0)+IF(ISNUMBER(AT237),AT237,0)</f>
        <v>103033</v>
      </c>
      <c r="BE237" s="110"/>
      <c r="BF237" s="110"/>
      <c r="BG237" s="110"/>
      <c r="BH237" s="110"/>
    </row>
    <row r="238" spans="1:60" s="99" customFormat="1" ht="25.5" customHeight="1" x14ac:dyDescent="0.2">
      <c r="A238" s="89">
        <v>30</v>
      </c>
      <c r="B238" s="90"/>
      <c r="C238" s="90"/>
      <c r="D238" s="92" t="s">
        <v>219</v>
      </c>
      <c r="E238" s="93"/>
      <c r="F238" s="93"/>
      <c r="G238" s="93"/>
      <c r="H238" s="93"/>
      <c r="I238" s="93"/>
      <c r="J238" s="93"/>
      <c r="K238" s="93"/>
      <c r="L238" s="93"/>
      <c r="M238" s="93"/>
      <c r="N238" s="93"/>
      <c r="O238" s="93"/>
      <c r="P238" s="93"/>
      <c r="Q238" s="93"/>
      <c r="R238" s="93"/>
      <c r="S238" s="93"/>
      <c r="T238" s="94"/>
      <c r="U238" s="96">
        <v>0</v>
      </c>
      <c r="V238" s="97"/>
      <c r="W238" s="97"/>
      <c r="X238" s="97"/>
      <c r="Y238" s="98"/>
      <c r="Z238" s="96">
        <v>0</v>
      </c>
      <c r="AA238" s="97"/>
      <c r="AB238" s="97"/>
      <c r="AC238" s="97"/>
      <c r="AD238" s="98"/>
      <c r="AE238" s="95">
        <v>0</v>
      </c>
      <c r="AF238" s="95"/>
      <c r="AG238" s="95"/>
      <c r="AH238" s="95"/>
      <c r="AI238" s="95"/>
      <c r="AJ238" s="110">
        <f>IF(ISNUMBER(U238),U238,0)+IF(ISNUMBER(Z238),Z238,0)</f>
        <v>0</v>
      </c>
      <c r="AK238" s="110"/>
      <c r="AL238" s="110"/>
      <c r="AM238" s="110"/>
      <c r="AN238" s="110"/>
      <c r="AO238" s="95">
        <v>0</v>
      </c>
      <c r="AP238" s="95"/>
      <c r="AQ238" s="95"/>
      <c r="AR238" s="95"/>
      <c r="AS238" s="95"/>
      <c r="AT238" s="110">
        <v>0</v>
      </c>
      <c r="AU238" s="110"/>
      <c r="AV238" s="110"/>
      <c r="AW238" s="110"/>
      <c r="AX238" s="110"/>
      <c r="AY238" s="95">
        <v>0</v>
      </c>
      <c r="AZ238" s="95"/>
      <c r="BA238" s="95"/>
      <c r="BB238" s="95"/>
      <c r="BC238" s="95"/>
      <c r="BD238" s="110">
        <f>IF(ISNUMBER(AO238),AO238,0)+IF(ISNUMBER(AT238),AT238,0)</f>
        <v>0</v>
      </c>
      <c r="BE238" s="110"/>
      <c r="BF238" s="110"/>
      <c r="BG238" s="110"/>
      <c r="BH238" s="110"/>
    </row>
    <row r="239" spans="1:60" s="99" customFormat="1" ht="12.75" customHeight="1" x14ac:dyDescent="0.2">
      <c r="A239" s="89">
        <v>31</v>
      </c>
      <c r="B239" s="90"/>
      <c r="C239" s="90"/>
      <c r="D239" s="92" t="s">
        <v>220</v>
      </c>
      <c r="E239" s="93"/>
      <c r="F239" s="93"/>
      <c r="G239" s="93"/>
      <c r="H239" s="93"/>
      <c r="I239" s="93"/>
      <c r="J239" s="93"/>
      <c r="K239" s="93"/>
      <c r="L239" s="93"/>
      <c r="M239" s="93"/>
      <c r="N239" s="93"/>
      <c r="O239" s="93"/>
      <c r="P239" s="93"/>
      <c r="Q239" s="93"/>
      <c r="R239" s="93"/>
      <c r="S239" s="93"/>
      <c r="T239" s="94"/>
      <c r="U239" s="96">
        <v>0</v>
      </c>
      <c r="V239" s="97"/>
      <c r="W239" s="97"/>
      <c r="X239" s="97"/>
      <c r="Y239" s="98"/>
      <c r="Z239" s="96">
        <v>0</v>
      </c>
      <c r="AA239" s="97"/>
      <c r="AB239" s="97"/>
      <c r="AC239" s="97"/>
      <c r="AD239" s="98"/>
      <c r="AE239" s="95">
        <v>0</v>
      </c>
      <c r="AF239" s="95"/>
      <c r="AG239" s="95"/>
      <c r="AH239" s="95"/>
      <c r="AI239" s="95"/>
      <c r="AJ239" s="110">
        <f>IF(ISNUMBER(U239),U239,0)+IF(ISNUMBER(Z239),Z239,0)</f>
        <v>0</v>
      </c>
      <c r="AK239" s="110"/>
      <c r="AL239" s="110"/>
      <c r="AM239" s="110"/>
      <c r="AN239" s="110"/>
      <c r="AO239" s="95">
        <v>0</v>
      </c>
      <c r="AP239" s="95"/>
      <c r="AQ239" s="95"/>
      <c r="AR239" s="95"/>
      <c r="AS239" s="95"/>
      <c r="AT239" s="110">
        <v>0</v>
      </c>
      <c r="AU239" s="110"/>
      <c r="AV239" s="110"/>
      <c r="AW239" s="110"/>
      <c r="AX239" s="110"/>
      <c r="AY239" s="95">
        <v>0</v>
      </c>
      <c r="AZ239" s="95"/>
      <c r="BA239" s="95"/>
      <c r="BB239" s="95"/>
      <c r="BC239" s="95"/>
      <c r="BD239" s="110">
        <f>IF(ISNUMBER(AO239),AO239,0)+IF(ISNUMBER(AT239),AT239,0)</f>
        <v>0</v>
      </c>
      <c r="BE239" s="110"/>
      <c r="BF239" s="110"/>
      <c r="BG239" s="110"/>
      <c r="BH239" s="110"/>
    </row>
    <row r="240" spans="1:60" s="99" customFormat="1" ht="12.75" customHeight="1" x14ac:dyDescent="0.2">
      <c r="A240" s="89">
        <v>32</v>
      </c>
      <c r="B240" s="90"/>
      <c r="C240" s="90"/>
      <c r="D240" s="92" t="s">
        <v>221</v>
      </c>
      <c r="E240" s="93"/>
      <c r="F240" s="93"/>
      <c r="G240" s="93"/>
      <c r="H240" s="93"/>
      <c r="I240" s="93"/>
      <c r="J240" s="93"/>
      <c r="K240" s="93"/>
      <c r="L240" s="93"/>
      <c r="M240" s="93"/>
      <c r="N240" s="93"/>
      <c r="O240" s="93"/>
      <c r="P240" s="93"/>
      <c r="Q240" s="93"/>
      <c r="R240" s="93"/>
      <c r="S240" s="93"/>
      <c r="T240" s="94"/>
      <c r="U240" s="96">
        <v>119708</v>
      </c>
      <c r="V240" s="97"/>
      <c r="W240" s="97"/>
      <c r="X240" s="97"/>
      <c r="Y240" s="98"/>
      <c r="Z240" s="96">
        <v>0</v>
      </c>
      <c r="AA240" s="97"/>
      <c r="AB240" s="97"/>
      <c r="AC240" s="97"/>
      <c r="AD240" s="98"/>
      <c r="AE240" s="95">
        <v>0</v>
      </c>
      <c r="AF240" s="95"/>
      <c r="AG240" s="95"/>
      <c r="AH240" s="95"/>
      <c r="AI240" s="95"/>
      <c r="AJ240" s="110">
        <f>IF(ISNUMBER(U240),U240,0)+IF(ISNUMBER(Z240),Z240,0)</f>
        <v>119708</v>
      </c>
      <c r="AK240" s="110"/>
      <c r="AL240" s="110"/>
      <c r="AM240" s="110"/>
      <c r="AN240" s="110"/>
      <c r="AO240" s="95">
        <v>126651</v>
      </c>
      <c r="AP240" s="95"/>
      <c r="AQ240" s="95"/>
      <c r="AR240" s="95"/>
      <c r="AS240" s="95"/>
      <c r="AT240" s="110">
        <v>0</v>
      </c>
      <c r="AU240" s="110"/>
      <c r="AV240" s="110"/>
      <c r="AW240" s="110"/>
      <c r="AX240" s="110"/>
      <c r="AY240" s="95">
        <v>0</v>
      </c>
      <c r="AZ240" s="95"/>
      <c r="BA240" s="95"/>
      <c r="BB240" s="95"/>
      <c r="BC240" s="95"/>
      <c r="BD240" s="110">
        <f>IF(ISNUMBER(AO240),AO240,0)+IF(ISNUMBER(AT240),AT240,0)</f>
        <v>126651</v>
      </c>
      <c r="BE240" s="110"/>
      <c r="BF240" s="110"/>
      <c r="BG240" s="110"/>
      <c r="BH240" s="110"/>
    </row>
    <row r="241" spans="1:60" s="99" customFormat="1" ht="12.75" customHeight="1" x14ac:dyDescent="0.2">
      <c r="A241" s="89">
        <v>33</v>
      </c>
      <c r="B241" s="90"/>
      <c r="C241" s="90"/>
      <c r="D241" s="92" t="s">
        <v>222</v>
      </c>
      <c r="E241" s="93"/>
      <c r="F241" s="93"/>
      <c r="G241" s="93"/>
      <c r="H241" s="93"/>
      <c r="I241" s="93"/>
      <c r="J241" s="93"/>
      <c r="K241" s="93"/>
      <c r="L241" s="93"/>
      <c r="M241" s="93"/>
      <c r="N241" s="93"/>
      <c r="O241" s="93"/>
      <c r="P241" s="93"/>
      <c r="Q241" s="93"/>
      <c r="R241" s="93"/>
      <c r="S241" s="93"/>
      <c r="T241" s="94"/>
      <c r="U241" s="96">
        <v>0</v>
      </c>
      <c r="V241" s="97"/>
      <c r="W241" s="97"/>
      <c r="X241" s="97"/>
      <c r="Y241" s="98"/>
      <c r="Z241" s="96">
        <v>0</v>
      </c>
      <c r="AA241" s="97"/>
      <c r="AB241" s="97"/>
      <c r="AC241" s="97"/>
      <c r="AD241" s="98"/>
      <c r="AE241" s="95">
        <v>0</v>
      </c>
      <c r="AF241" s="95"/>
      <c r="AG241" s="95"/>
      <c r="AH241" s="95"/>
      <c r="AI241" s="95"/>
      <c r="AJ241" s="110">
        <f>IF(ISNUMBER(U241),U241,0)+IF(ISNUMBER(Z241),Z241,0)</f>
        <v>0</v>
      </c>
      <c r="AK241" s="110"/>
      <c r="AL241" s="110"/>
      <c r="AM241" s="110"/>
      <c r="AN241" s="110"/>
      <c r="AO241" s="95">
        <v>0</v>
      </c>
      <c r="AP241" s="95"/>
      <c r="AQ241" s="95"/>
      <c r="AR241" s="95"/>
      <c r="AS241" s="95"/>
      <c r="AT241" s="110">
        <v>0</v>
      </c>
      <c r="AU241" s="110"/>
      <c r="AV241" s="110"/>
      <c r="AW241" s="110"/>
      <c r="AX241" s="110"/>
      <c r="AY241" s="95">
        <v>0</v>
      </c>
      <c r="AZ241" s="95"/>
      <c r="BA241" s="95"/>
      <c r="BB241" s="95"/>
      <c r="BC241" s="95"/>
      <c r="BD241" s="110">
        <f>IF(ISNUMBER(AO241),AO241,0)+IF(ISNUMBER(AT241),AT241,0)</f>
        <v>0</v>
      </c>
      <c r="BE241" s="110"/>
      <c r="BF241" s="110"/>
      <c r="BG241" s="110"/>
      <c r="BH241" s="110"/>
    </row>
    <row r="242" spans="1:60" s="99" customFormat="1" ht="25.5" customHeight="1" x14ac:dyDescent="0.2">
      <c r="A242" s="89">
        <v>34</v>
      </c>
      <c r="B242" s="90"/>
      <c r="C242" s="90"/>
      <c r="D242" s="92" t="s">
        <v>223</v>
      </c>
      <c r="E242" s="93"/>
      <c r="F242" s="93"/>
      <c r="G242" s="93"/>
      <c r="H242" s="93"/>
      <c r="I242" s="93"/>
      <c r="J242" s="93"/>
      <c r="K242" s="93"/>
      <c r="L242" s="93"/>
      <c r="M242" s="93"/>
      <c r="N242" s="93"/>
      <c r="O242" s="93"/>
      <c r="P242" s="93"/>
      <c r="Q242" s="93"/>
      <c r="R242" s="93"/>
      <c r="S242" s="93"/>
      <c r="T242" s="94"/>
      <c r="U242" s="96">
        <v>0</v>
      </c>
      <c r="V242" s="97"/>
      <c r="W242" s="97"/>
      <c r="X242" s="97"/>
      <c r="Y242" s="98"/>
      <c r="Z242" s="96">
        <v>0</v>
      </c>
      <c r="AA242" s="97"/>
      <c r="AB242" s="97"/>
      <c r="AC242" s="97"/>
      <c r="AD242" s="98"/>
      <c r="AE242" s="95">
        <v>0</v>
      </c>
      <c r="AF242" s="95"/>
      <c r="AG242" s="95"/>
      <c r="AH242" s="95"/>
      <c r="AI242" s="95"/>
      <c r="AJ242" s="110">
        <f>IF(ISNUMBER(U242),U242,0)+IF(ISNUMBER(Z242),Z242,0)</f>
        <v>0</v>
      </c>
      <c r="AK242" s="110"/>
      <c r="AL242" s="110"/>
      <c r="AM242" s="110"/>
      <c r="AN242" s="110"/>
      <c r="AO242" s="95">
        <v>0</v>
      </c>
      <c r="AP242" s="95"/>
      <c r="AQ242" s="95"/>
      <c r="AR242" s="95"/>
      <c r="AS242" s="95"/>
      <c r="AT242" s="110">
        <v>0</v>
      </c>
      <c r="AU242" s="110"/>
      <c r="AV242" s="110"/>
      <c r="AW242" s="110"/>
      <c r="AX242" s="110"/>
      <c r="AY242" s="95">
        <v>0</v>
      </c>
      <c r="AZ242" s="95"/>
      <c r="BA242" s="95"/>
      <c r="BB242" s="95"/>
      <c r="BC242" s="95"/>
      <c r="BD242" s="110">
        <f>IF(ISNUMBER(AO242),AO242,0)+IF(ISNUMBER(AT242),AT242,0)</f>
        <v>0</v>
      </c>
      <c r="BE242" s="110"/>
      <c r="BF242" s="110"/>
      <c r="BG242" s="110"/>
      <c r="BH242" s="110"/>
    </row>
    <row r="243" spans="1:60" s="99" customFormat="1" ht="12.75" customHeight="1" x14ac:dyDescent="0.2">
      <c r="A243" s="89">
        <v>35</v>
      </c>
      <c r="B243" s="90"/>
      <c r="C243" s="90"/>
      <c r="D243" s="92" t="s">
        <v>224</v>
      </c>
      <c r="E243" s="93"/>
      <c r="F243" s="93"/>
      <c r="G243" s="93"/>
      <c r="H243" s="93"/>
      <c r="I243" s="93"/>
      <c r="J243" s="93"/>
      <c r="K243" s="93"/>
      <c r="L243" s="93"/>
      <c r="M243" s="93"/>
      <c r="N243" s="93"/>
      <c r="O243" s="93"/>
      <c r="P243" s="93"/>
      <c r="Q243" s="93"/>
      <c r="R243" s="93"/>
      <c r="S243" s="93"/>
      <c r="T243" s="94"/>
      <c r="U243" s="96">
        <v>0</v>
      </c>
      <c r="V243" s="97"/>
      <c r="W243" s="97"/>
      <c r="X243" s="97"/>
      <c r="Y243" s="98"/>
      <c r="Z243" s="96">
        <v>0</v>
      </c>
      <c r="AA243" s="97"/>
      <c r="AB243" s="97"/>
      <c r="AC243" s="97"/>
      <c r="AD243" s="98"/>
      <c r="AE243" s="95">
        <v>0</v>
      </c>
      <c r="AF243" s="95"/>
      <c r="AG243" s="95"/>
      <c r="AH243" s="95"/>
      <c r="AI243" s="95"/>
      <c r="AJ243" s="110">
        <f>IF(ISNUMBER(U243),U243,0)+IF(ISNUMBER(Z243),Z243,0)</f>
        <v>0</v>
      </c>
      <c r="AK243" s="110"/>
      <c r="AL243" s="110"/>
      <c r="AM243" s="110"/>
      <c r="AN243" s="110"/>
      <c r="AO243" s="95">
        <v>0</v>
      </c>
      <c r="AP243" s="95"/>
      <c r="AQ243" s="95"/>
      <c r="AR243" s="95"/>
      <c r="AS243" s="95"/>
      <c r="AT243" s="110">
        <v>0</v>
      </c>
      <c r="AU243" s="110"/>
      <c r="AV243" s="110"/>
      <c r="AW243" s="110"/>
      <c r="AX243" s="110"/>
      <c r="AY243" s="95">
        <v>0</v>
      </c>
      <c r="AZ243" s="95"/>
      <c r="BA243" s="95"/>
      <c r="BB243" s="95"/>
      <c r="BC243" s="95"/>
      <c r="BD243" s="110">
        <f>IF(ISNUMBER(AO243),AO243,0)+IF(ISNUMBER(AT243),AT243,0)</f>
        <v>0</v>
      </c>
      <c r="BE243" s="110"/>
      <c r="BF243" s="110"/>
      <c r="BG243" s="110"/>
      <c r="BH243" s="110"/>
    </row>
    <row r="244" spans="1:60" s="99" customFormat="1" ht="12.75" customHeight="1" x14ac:dyDescent="0.2">
      <c r="A244" s="89">
        <v>36</v>
      </c>
      <c r="B244" s="90"/>
      <c r="C244" s="90"/>
      <c r="D244" s="92" t="s">
        <v>225</v>
      </c>
      <c r="E244" s="93"/>
      <c r="F244" s="93"/>
      <c r="G244" s="93"/>
      <c r="H244" s="93"/>
      <c r="I244" s="93"/>
      <c r="J244" s="93"/>
      <c r="K244" s="93"/>
      <c r="L244" s="93"/>
      <c r="M244" s="93"/>
      <c r="N244" s="93"/>
      <c r="O244" s="93"/>
      <c r="P244" s="93"/>
      <c r="Q244" s="93"/>
      <c r="R244" s="93"/>
      <c r="S244" s="93"/>
      <c r="T244" s="94"/>
      <c r="U244" s="96">
        <v>0</v>
      </c>
      <c r="V244" s="97"/>
      <c r="W244" s="97"/>
      <c r="X244" s="97"/>
      <c r="Y244" s="98"/>
      <c r="Z244" s="96">
        <v>0</v>
      </c>
      <c r="AA244" s="97"/>
      <c r="AB244" s="97"/>
      <c r="AC244" s="97"/>
      <c r="AD244" s="98"/>
      <c r="AE244" s="95">
        <v>0</v>
      </c>
      <c r="AF244" s="95"/>
      <c r="AG244" s="95"/>
      <c r="AH244" s="95"/>
      <c r="AI244" s="95"/>
      <c r="AJ244" s="110">
        <f>IF(ISNUMBER(U244),U244,0)+IF(ISNUMBER(Z244),Z244,0)</f>
        <v>0</v>
      </c>
      <c r="AK244" s="110"/>
      <c r="AL244" s="110"/>
      <c r="AM244" s="110"/>
      <c r="AN244" s="110"/>
      <c r="AO244" s="95">
        <v>0</v>
      </c>
      <c r="AP244" s="95"/>
      <c r="AQ244" s="95"/>
      <c r="AR244" s="95"/>
      <c r="AS244" s="95"/>
      <c r="AT244" s="110">
        <v>0</v>
      </c>
      <c r="AU244" s="110"/>
      <c r="AV244" s="110"/>
      <c r="AW244" s="110"/>
      <c r="AX244" s="110"/>
      <c r="AY244" s="95">
        <v>0</v>
      </c>
      <c r="AZ244" s="95"/>
      <c r="BA244" s="95"/>
      <c r="BB244" s="95"/>
      <c r="BC244" s="95"/>
      <c r="BD244" s="110">
        <f>IF(ISNUMBER(AO244),AO244,0)+IF(ISNUMBER(AT244),AT244,0)</f>
        <v>0</v>
      </c>
      <c r="BE244" s="110"/>
      <c r="BF244" s="110"/>
      <c r="BG244" s="110"/>
      <c r="BH244" s="110"/>
    </row>
    <row r="245" spans="1:60" s="99" customFormat="1" ht="12.75" customHeight="1" x14ac:dyDescent="0.2">
      <c r="A245" s="89">
        <v>37</v>
      </c>
      <c r="B245" s="90"/>
      <c r="C245" s="90"/>
      <c r="D245" s="92" t="s">
        <v>226</v>
      </c>
      <c r="E245" s="93"/>
      <c r="F245" s="93"/>
      <c r="G245" s="93"/>
      <c r="H245" s="93"/>
      <c r="I245" s="93"/>
      <c r="J245" s="93"/>
      <c r="K245" s="93"/>
      <c r="L245" s="93"/>
      <c r="M245" s="93"/>
      <c r="N245" s="93"/>
      <c r="O245" s="93"/>
      <c r="P245" s="93"/>
      <c r="Q245" s="93"/>
      <c r="R245" s="93"/>
      <c r="S245" s="93"/>
      <c r="T245" s="94"/>
      <c r="U245" s="96">
        <v>0</v>
      </c>
      <c r="V245" s="97"/>
      <c r="W245" s="97"/>
      <c r="X245" s="97"/>
      <c r="Y245" s="98"/>
      <c r="Z245" s="96">
        <v>0</v>
      </c>
      <c r="AA245" s="97"/>
      <c r="AB245" s="97"/>
      <c r="AC245" s="97"/>
      <c r="AD245" s="98"/>
      <c r="AE245" s="95">
        <v>0</v>
      </c>
      <c r="AF245" s="95"/>
      <c r="AG245" s="95"/>
      <c r="AH245" s="95"/>
      <c r="AI245" s="95"/>
      <c r="AJ245" s="110">
        <f>IF(ISNUMBER(U245),U245,0)+IF(ISNUMBER(Z245),Z245,0)</f>
        <v>0</v>
      </c>
      <c r="AK245" s="110"/>
      <c r="AL245" s="110"/>
      <c r="AM245" s="110"/>
      <c r="AN245" s="110"/>
      <c r="AO245" s="95">
        <v>0</v>
      </c>
      <c r="AP245" s="95"/>
      <c r="AQ245" s="95"/>
      <c r="AR245" s="95"/>
      <c r="AS245" s="95"/>
      <c r="AT245" s="110">
        <v>0</v>
      </c>
      <c r="AU245" s="110"/>
      <c r="AV245" s="110"/>
      <c r="AW245" s="110"/>
      <c r="AX245" s="110"/>
      <c r="AY245" s="95">
        <v>0</v>
      </c>
      <c r="AZ245" s="95"/>
      <c r="BA245" s="95"/>
      <c r="BB245" s="95"/>
      <c r="BC245" s="95"/>
      <c r="BD245" s="110">
        <f>IF(ISNUMBER(AO245),AO245,0)+IF(ISNUMBER(AT245),AT245,0)</f>
        <v>0</v>
      </c>
      <c r="BE245" s="110"/>
      <c r="BF245" s="110"/>
      <c r="BG245" s="110"/>
      <c r="BH245" s="110"/>
    </row>
    <row r="246" spans="1:60" s="99" customFormat="1" ht="12.75" customHeight="1" x14ac:dyDescent="0.2">
      <c r="A246" s="89">
        <v>38</v>
      </c>
      <c r="B246" s="90"/>
      <c r="C246" s="90"/>
      <c r="D246" s="92" t="s">
        <v>227</v>
      </c>
      <c r="E246" s="93"/>
      <c r="F246" s="93"/>
      <c r="G246" s="93"/>
      <c r="H246" s="93"/>
      <c r="I246" s="93"/>
      <c r="J246" s="93"/>
      <c r="K246" s="93"/>
      <c r="L246" s="93"/>
      <c r="M246" s="93"/>
      <c r="N246" s="93"/>
      <c r="O246" s="93"/>
      <c r="P246" s="93"/>
      <c r="Q246" s="93"/>
      <c r="R246" s="93"/>
      <c r="S246" s="93"/>
      <c r="T246" s="94"/>
      <c r="U246" s="96">
        <v>0</v>
      </c>
      <c r="V246" s="97"/>
      <c r="W246" s="97"/>
      <c r="X246" s="97"/>
      <c r="Y246" s="98"/>
      <c r="Z246" s="96">
        <v>0</v>
      </c>
      <c r="AA246" s="97"/>
      <c r="AB246" s="97"/>
      <c r="AC246" s="97"/>
      <c r="AD246" s="98"/>
      <c r="AE246" s="95">
        <v>0</v>
      </c>
      <c r="AF246" s="95"/>
      <c r="AG246" s="95"/>
      <c r="AH246" s="95"/>
      <c r="AI246" s="95"/>
      <c r="AJ246" s="110">
        <f>IF(ISNUMBER(U246),U246,0)+IF(ISNUMBER(Z246),Z246,0)</f>
        <v>0</v>
      </c>
      <c r="AK246" s="110"/>
      <c r="AL246" s="110"/>
      <c r="AM246" s="110"/>
      <c r="AN246" s="110"/>
      <c r="AO246" s="95">
        <v>0</v>
      </c>
      <c r="AP246" s="95"/>
      <c r="AQ246" s="95"/>
      <c r="AR246" s="95"/>
      <c r="AS246" s="95"/>
      <c r="AT246" s="110">
        <v>0</v>
      </c>
      <c r="AU246" s="110"/>
      <c r="AV246" s="110"/>
      <c r="AW246" s="110"/>
      <c r="AX246" s="110"/>
      <c r="AY246" s="95">
        <v>0</v>
      </c>
      <c r="AZ246" s="95"/>
      <c r="BA246" s="95"/>
      <c r="BB246" s="95"/>
      <c r="BC246" s="95"/>
      <c r="BD246" s="110">
        <f>IF(ISNUMBER(AO246),AO246,0)+IF(ISNUMBER(AT246),AT246,0)</f>
        <v>0</v>
      </c>
      <c r="BE246" s="110"/>
      <c r="BF246" s="110"/>
      <c r="BG246" s="110"/>
      <c r="BH246" s="110"/>
    </row>
    <row r="247" spans="1:60" s="99" customFormat="1" ht="25.5" customHeight="1" x14ac:dyDescent="0.2">
      <c r="A247" s="89">
        <v>39</v>
      </c>
      <c r="B247" s="90"/>
      <c r="C247" s="90"/>
      <c r="D247" s="92" t="s">
        <v>228</v>
      </c>
      <c r="E247" s="93"/>
      <c r="F247" s="93"/>
      <c r="G247" s="93"/>
      <c r="H247" s="93"/>
      <c r="I247" s="93"/>
      <c r="J247" s="93"/>
      <c r="K247" s="93"/>
      <c r="L247" s="93"/>
      <c r="M247" s="93"/>
      <c r="N247" s="93"/>
      <c r="O247" s="93"/>
      <c r="P247" s="93"/>
      <c r="Q247" s="93"/>
      <c r="R247" s="93"/>
      <c r="S247" s="93"/>
      <c r="T247" s="94"/>
      <c r="U247" s="96">
        <v>0</v>
      </c>
      <c r="V247" s="97"/>
      <c r="W247" s="97"/>
      <c r="X247" s="97"/>
      <c r="Y247" s="98"/>
      <c r="Z247" s="96">
        <v>0</v>
      </c>
      <c r="AA247" s="97"/>
      <c r="AB247" s="97"/>
      <c r="AC247" s="97"/>
      <c r="AD247" s="98"/>
      <c r="AE247" s="95">
        <v>0</v>
      </c>
      <c r="AF247" s="95"/>
      <c r="AG247" s="95"/>
      <c r="AH247" s="95"/>
      <c r="AI247" s="95"/>
      <c r="AJ247" s="110">
        <f>IF(ISNUMBER(U247),U247,0)+IF(ISNUMBER(Z247),Z247,0)</f>
        <v>0</v>
      </c>
      <c r="AK247" s="110"/>
      <c r="AL247" s="110"/>
      <c r="AM247" s="110"/>
      <c r="AN247" s="110"/>
      <c r="AO247" s="95">
        <v>0</v>
      </c>
      <c r="AP247" s="95"/>
      <c r="AQ247" s="95"/>
      <c r="AR247" s="95"/>
      <c r="AS247" s="95"/>
      <c r="AT247" s="110">
        <v>0</v>
      </c>
      <c r="AU247" s="110"/>
      <c r="AV247" s="110"/>
      <c r="AW247" s="110"/>
      <c r="AX247" s="110"/>
      <c r="AY247" s="95">
        <v>0</v>
      </c>
      <c r="AZ247" s="95"/>
      <c r="BA247" s="95"/>
      <c r="BB247" s="95"/>
      <c r="BC247" s="95"/>
      <c r="BD247" s="110">
        <f>IF(ISNUMBER(AO247),AO247,0)+IF(ISNUMBER(AT247),AT247,0)</f>
        <v>0</v>
      </c>
      <c r="BE247" s="110"/>
      <c r="BF247" s="110"/>
      <c r="BG247" s="110"/>
      <c r="BH247" s="110"/>
    </row>
    <row r="248" spans="1:60" s="99" customFormat="1" ht="12.75" customHeight="1" x14ac:dyDescent="0.2">
      <c r="A248" s="89">
        <v>40</v>
      </c>
      <c r="B248" s="90"/>
      <c r="C248" s="90"/>
      <c r="D248" s="92" t="s">
        <v>229</v>
      </c>
      <c r="E248" s="93"/>
      <c r="F248" s="93"/>
      <c r="G248" s="93"/>
      <c r="H248" s="93"/>
      <c r="I248" s="93"/>
      <c r="J248" s="93"/>
      <c r="K248" s="93"/>
      <c r="L248" s="93"/>
      <c r="M248" s="93"/>
      <c r="N248" s="93"/>
      <c r="O248" s="93"/>
      <c r="P248" s="93"/>
      <c r="Q248" s="93"/>
      <c r="R248" s="93"/>
      <c r="S248" s="93"/>
      <c r="T248" s="94"/>
      <c r="U248" s="96">
        <v>0</v>
      </c>
      <c r="V248" s="97"/>
      <c r="W248" s="97"/>
      <c r="X248" s="97"/>
      <c r="Y248" s="98"/>
      <c r="Z248" s="96">
        <v>0</v>
      </c>
      <c r="AA248" s="97"/>
      <c r="AB248" s="97"/>
      <c r="AC248" s="97"/>
      <c r="AD248" s="98"/>
      <c r="AE248" s="95">
        <v>0</v>
      </c>
      <c r="AF248" s="95"/>
      <c r="AG248" s="95"/>
      <c r="AH248" s="95"/>
      <c r="AI248" s="95"/>
      <c r="AJ248" s="110">
        <f>IF(ISNUMBER(U248),U248,0)+IF(ISNUMBER(Z248),Z248,0)</f>
        <v>0</v>
      </c>
      <c r="AK248" s="110"/>
      <c r="AL248" s="110"/>
      <c r="AM248" s="110"/>
      <c r="AN248" s="110"/>
      <c r="AO248" s="95">
        <v>0</v>
      </c>
      <c r="AP248" s="95"/>
      <c r="AQ248" s="95"/>
      <c r="AR248" s="95"/>
      <c r="AS248" s="95"/>
      <c r="AT248" s="110">
        <v>0</v>
      </c>
      <c r="AU248" s="110"/>
      <c r="AV248" s="110"/>
      <c r="AW248" s="110"/>
      <c r="AX248" s="110"/>
      <c r="AY248" s="95">
        <v>0</v>
      </c>
      <c r="AZ248" s="95"/>
      <c r="BA248" s="95"/>
      <c r="BB248" s="95"/>
      <c r="BC248" s="95"/>
      <c r="BD248" s="110">
        <f>IF(ISNUMBER(AO248),AO248,0)+IF(ISNUMBER(AT248),AT248,0)</f>
        <v>0</v>
      </c>
      <c r="BE248" s="110"/>
      <c r="BF248" s="110"/>
      <c r="BG248" s="110"/>
      <c r="BH248" s="110"/>
    </row>
    <row r="249" spans="1:60" s="99" customFormat="1" ht="12.75" customHeight="1" x14ac:dyDescent="0.2">
      <c r="A249" s="89">
        <v>41</v>
      </c>
      <c r="B249" s="90"/>
      <c r="C249" s="90"/>
      <c r="D249" s="92" t="s">
        <v>230</v>
      </c>
      <c r="E249" s="93"/>
      <c r="F249" s="93"/>
      <c r="G249" s="93"/>
      <c r="H249" s="93"/>
      <c r="I249" s="93"/>
      <c r="J249" s="93"/>
      <c r="K249" s="93"/>
      <c r="L249" s="93"/>
      <c r="M249" s="93"/>
      <c r="N249" s="93"/>
      <c r="O249" s="93"/>
      <c r="P249" s="93"/>
      <c r="Q249" s="93"/>
      <c r="R249" s="93"/>
      <c r="S249" s="93"/>
      <c r="T249" s="94"/>
      <c r="U249" s="96">
        <v>0</v>
      </c>
      <c r="V249" s="97"/>
      <c r="W249" s="97"/>
      <c r="X249" s="97"/>
      <c r="Y249" s="98"/>
      <c r="Z249" s="96">
        <v>0</v>
      </c>
      <c r="AA249" s="97"/>
      <c r="AB249" s="97"/>
      <c r="AC249" s="97"/>
      <c r="AD249" s="98"/>
      <c r="AE249" s="95">
        <v>0</v>
      </c>
      <c r="AF249" s="95"/>
      <c r="AG249" s="95"/>
      <c r="AH249" s="95"/>
      <c r="AI249" s="95"/>
      <c r="AJ249" s="110">
        <f>IF(ISNUMBER(U249),U249,0)+IF(ISNUMBER(Z249),Z249,0)</f>
        <v>0</v>
      </c>
      <c r="AK249" s="110"/>
      <c r="AL249" s="110"/>
      <c r="AM249" s="110"/>
      <c r="AN249" s="110"/>
      <c r="AO249" s="95">
        <v>0</v>
      </c>
      <c r="AP249" s="95"/>
      <c r="AQ249" s="95"/>
      <c r="AR249" s="95"/>
      <c r="AS249" s="95"/>
      <c r="AT249" s="110">
        <v>0</v>
      </c>
      <c r="AU249" s="110"/>
      <c r="AV249" s="110"/>
      <c r="AW249" s="110"/>
      <c r="AX249" s="110"/>
      <c r="AY249" s="95">
        <v>0</v>
      </c>
      <c r="AZ249" s="95"/>
      <c r="BA249" s="95"/>
      <c r="BB249" s="95"/>
      <c r="BC249" s="95"/>
      <c r="BD249" s="110">
        <f>IF(ISNUMBER(AO249),AO249,0)+IF(ISNUMBER(AT249),AT249,0)</f>
        <v>0</v>
      </c>
      <c r="BE249" s="110"/>
      <c r="BF249" s="110"/>
      <c r="BG249" s="110"/>
      <c r="BH249" s="110"/>
    </row>
    <row r="250" spans="1:60" s="99" customFormat="1" ht="12.75" customHeight="1" x14ac:dyDescent="0.2">
      <c r="A250" s="89">
        <v>42</v>
      </c>
      <c r="B250" s="90"/>
      <c r="C250" s="90"/>
      <c r="D250" s="92" t="s">
        <v>231</v>
      </c>
      <c r="E250" s="93"/>
      <c r="F250" s="93"/>
      <c r="G250" s="93"/>
      <c r="H250" s="93"/>
      <c r="I250" s="93"/>
      <c r="J250" s="93"/>
      <c r="K250" s="93"/>
      <c r="L250" s="93"/>
      <c r="M250" s="93"/>
      <c r="N250" s="93"/>
      <c r="O250" s="93"/>
      <c r="P250" s="93"/>
      <c r="Q250" s="93"/>
      <c r="R250" s="93"/>
      <c r="S250" s="93"/>
      <c r="T250" s="94"/>
      <c r="U250" s="96">
        <v>0</v>
      </c>
      <c r="V250" s="97"/>
      <c r="W250" s="97"/>
      <c r="X250" s="97"/>
      <c r="Y250" s="98"/>
      <c r="Z250" s="96">
        <v>0</v>
      </c>
      <c r="AA250" s="97"/>
      <c r="AB250" s="97"/>
      <c r="AC250" s="97"/>
      <c r="AD250" s="98"/>
      <c r="AE250" s="95">
        <v>0</v>
      </c>
      <c r="AF250" s="95"/>
      <c r="AG250" s="95"/>
      <c r="AH250" s="95"/>
      <c r="AI250" s="95"/>
      <c r="AJ250" s="110">
        <f>IF(ISNUMBER(U250),U250,0)+IF(ISNUMBER(Z250),Z250,0)</f>
        <v>0</v>
      </c>
      <c r="AK250" s="110"/>
      <c r="AL250" s="110"/>
      <c r="AM250" s="110"/>
      <c r="AN250" s="110"/>
      <c r="AO250" s="95">
        <v>0</v>
      </c>
      <c r="AP250" s="95"/>
      <c r="AQ250" s="95"/>
      <c r="AR250" s="95"/>
      <c r="AS250" s="95"/>
      <c r="AT250" s="110">
        <v>0</v>
      </c>
      <c r="AU250" s="110"/>
      <c r="AV250" s="110"/>
      <c r="AW250" s="110"/>
      <c r="AX250" s="110"/>
      <c r="AY250" s="95">
        <v>0</v>
      </c>
      <c r="AZ250" s="95"/>
      <c r="BA250" s="95"/>
      <c r="BB250" s="95"/>
      <c r="BC250" s="95"/>
      <c r="BD250" s="110">
        <f>IF(ISNUMBER(AO250),AO250,0)+IF(ISNUMBER(AT250),AT250,0)</f>
        <v>0</v>
      </c>
      <c r="BE250" s="110"/>
      <c r="BF250" s="110"/>
      <c r="BG250" s="110"/>
      <c r="BH250" s="110"/>
    </row>
    <row r="251" spans="1:60" s="99" customFormat="1" ht="12.75" customHeight="1" x14ac:dyDescent="0.2">
      <c r="A251" s="89">
        <v>43</v>
      </c>
      <c r="B251" s="90"/>
      <c r="C251" s="90"/>
      <c r="D251" s="92" t="s">
        <v>232</v>
      </c>
      <c r="E251" s="93"/>
      <c r="F251" s="93"/>
      <c r="G251" s="93"/>
      <c r="H251" s="93"/>
      <c r="I251" s="93"/>
      <c r="J251" s="93"/>
      <c r="K251" s="93"/>
      <c r="L251" s="93"/>
      <c r="M251" s="93"/>
      <c r="N251" s="93"/>
      <c r="O251" s="93"/>
      <c r="P251" s="93"/>
      <c r="Q251" s="93"/>
      <c r="R251" s="93"/>
      <c r="S251" s="93"/>
      <c r="T251" s="94"/>
      <c r="U251" s="96">
        <v>0</v>
      </c>
      <c r="V251" s="97"/>
      <c r="W251" s="97"/>
      <c r="X251" s="97"/>
      <c r="Y251" s="98"/>
      <c r="Z251" s="96">
        <v>0</v>
      </c>
      <c r="AA251" s="97"/>
      <c r="AB251" s="97"/>
      <c r="AC251" s="97"/>
      <c r="AD251" s="98"/>
      <c r="AE251" s="95">
        <v>0</v>
      </c>
      <c r="AF251" s="95"/>
      <c r="AG251" s="95"/>
      <c r="AH251" s="95"/>
      <c r="AI251" s="95"/>
      <c r="AJ251" s="110">
        <f>IF(ISNUMBER(U251),U251,0)+IF(ISNUMBER(Z251),Z251,0)</f>
        <v>0</v>
      </c>
      <c r="AK251" s="110"/>
      <c r="AL251" s="110"/>
      <c r="AM251" s="110"/>
      <c r="AN251" s="110"/>
      <c r="AO251" s="95">
        <v>0</v>
      </c>
      <c r="AP251" s="95"/>
      <c r="AQ251" s="95"/>
      <c r="AR251" s="95"/>
      <c r="AS251" s="95"/>
      <c r="AT251" s="110">
        <v>0</v>
      </c>
      <c r="AU251" s="110"/>
      <c r="AV251" s="110"/>
      <c r="AW251" s="110"/>
      <c r="AX251" s="110"/>
      <c r="AY251" s="95">
        <v>0</v>
      </c>
      <c r="AZ251" s="95"/>
      <c r="BA251" s="95"/>
      <c r="BB251" s="95"/>
      <c r="BC251" s="95"/>
      <c r="BD251" s="110">
        <f>IF(ISNUMBER(AO251),AO251,0)+IF(ISNUMBER(AT251),AT251,0)</f>
        <v>0</v>
      </c>
      <c r="BE251" s="110"/>
      <c r="BF251" s="110"/>
      <c r="BG251" s="110"/>
      <c r="BH251" s="110"/>
    </row>
    <row r="252" spans="1:60" s="99" customFormat="1" ht="12.75" customHeight="1" x14ac:dyDescent="0.2">
      <c r="A252" s="89">
        <v>44</v>
      </c>
      <c r="B252" s="90"/>
      <c r="C252" s="90"/>
      <c r="D252" s="92" t="s">
        <v>233</v>
      </c>
      <c r="E252" s="93"/>
      <c r="F252" s="93"/>
      <c r="G252" s="93"/>
      <c r="H252" s="93"/>
      <c r="I252" s="93"/>
      <c r="J252" s="93"/>
      <c r="K252" s="93"/>
      <c r="L252" s="93"/>
      <c r="M252" s="93"/>
      <c r="N252" s="93"/>
      <c r="O252" s="93"/>
      <c r="P252" s="93"/>
      <c r="Q252" s="93"/>
      <c r="R252" s="93"/>
      <c r="S252" s="93"/>
      <c r="T252" s="94"/>
      <c r="U252" s="96">
        <v>920628</v>
      </c>
      <c r="V252" s="97"/>
      <c r="W252" s="97"/>
      <c r="X252" s="97"/>
      <c r="Y252" s="98"/>
      <c r="Z252" s="96">
        <v>0</v>
      </c>
      <c r="AA252" s="97"/>
      <c r="AB252" s="97"/>
      <c r="AC252" s="97"/>
      <c r="AD252" s="98"/>
      <c r="AE252" s="95">
        <v>0</v>
      </c>
      <c r="AF252" s="95"/>
      <c r="AG252" s="95"/>
      <c r="AH252" s="95"/>
      <c r="AI252" s="95"/>
      <c r="AJ252" s="110">
        <f>IF(ISNUMBER(U252),U252,0)+IF(ISNUMBER(Z252),Z252,0)</f>
        <v>920628</v>
      </c>
      <c r="AK252" s="110"/>
      <c r="AL252" s="110"/>
      <c r="AM252" s="110"/>
      <c r="AN252" s="110"/>
      <c r="AO252" s="95">
        <v>974024</v>
      </c>
      <c r="AP252" s="95"/>
      <c r="AQ252" s="95"/>
      <c r="AR252" s="95"/>
      <c r="AS252" s="95"/>
      <c r="AT252" s="110">
        <v>0</v>
      </c>
      <c r="AU252" s="110"/>
      <c r="AV252" s="110"/>
      <c r="AW252" s="110"/>
      <c r="AX252" s="110"/>
      <c r="AY252" s="95">
        <v>0</v>
      </c>
      <c r="AZ252" s="95"/>
      <c r="BA252" s="95"/>
      <c r="BB252" s="95"/>
      <c r="BC252" s="95"/>
      <c r="BD252" s="110">
        <f>IF(ISNUMBER(AO252),AO252,0)+IF(ISNUMBER(AT252),AT252,0)</f>
        <v>974024</v>
      </c>
      <c r="BE252" s="110"/>
      <c r="BF252" s="110"/>
      <c r="BG252" s="110"/>
      <c r="BH252" s="110"/>
    </row>
    <row r="253" spans="1:60" s="99" customFormat="1" ht="51" customHeight="1" x14ac:dyDescent="0.2">
      <c r="A253" s="89">
        <v>45</v>
      </c>
      <c r="B253" s="90"/>
      <c r="C253" s="90"/>
      <c r="D253" s="92" t="s">
        <v>234</v>
      </c>
      <c r="E253" s="93"/>
      <c r="F253" s="93"/>
      <c r="G253" s="93"/>
      <c r="H253" s="93"/>
      <c r="I253" s="93"/>
      <c r="J253" s="93"/>
      <c r="K253" s="93"/>
      <c r="L253" s="93"/>
      <c r="M253" s="93"/>
      <c r="N253" s="93"/>
      <c r="O253" s="93"/>
      <c r="P253" s="93"/>
      <c r="Q253" s="93"/>
      <c r="R253" s="93"/>
      <c r="S253" s="93"/>
      <c r="T253" s="94"/>
      <c r="U253" s="96">
        <v>0</v>
      </c>
      <c r="V253" s="97"/>
      <c r="W253" s="97"/>
      <c r="X253" s="97"/>
      <c r="Y253" s="98"/>
      <c r="Z253" s="96">
        <v>0</v>
      </c>
      <c r="AA253" s="97"/>
      <c r="AB253" s="97"/>
      <c r="AC253" s="97"/>
      <c r="AD253" s="98"/>
      <c r="AE253" s="95">
        <v>0</v>
      </c>
      <c r="AF253" s="95"/>
      <c r="AG253" s="95"/>
      <c r="AH253" s="95"/>
      <c r="AI253" s="95"/>
      <c r="AJ253" s="110">
        <f>IF(ISNUMBER(U253),U253,0)+IF(ISNUMBER(Z253),Z253,0)</f>
        <v>0</v>
      </c>
      <c r="AK253" s="110"/>
      <c r="AL253" s="110"/>
      <c r="AM253" s="110"/>
      <c r="AN253" s="110"/>
      <c r="AO253" s="95">
        <v>0</v>
      </c>
      <c r="AP253" s="95"/>
      <c r="AQ253" s="95"/>
      <c r="AR253" s="95"/>
      <c r="AS253" s="95"/>
      <c r="AT253" s="110">
        <v>0</v>
      </c>
      <c r="AU253" s="110"/>
      <c r="AV253" s="110"/>
      <c r="AW253" s="110"/>
      <c r="AX253" s="110"/>
      <c r="AY253" s="95">
        <v>0</v>
      </c>
      <c r="AZ253" s="95"/>
      <c r="BA253" s="95"/>
      <c r="BB253" s="95"/>
      <c r="BC253" s="95"/>
      <c r="BD253" s="110">
        <f>IF(ISNUMBER(AO253),AO253,0)+IF(ISNUMBER(AT253),AT253,0)</f>
        <v>0</v>
      </c>
      <c r="BE253" s="110"/>
      <c r="BF253" s="110"/>
      <c r="BG253" s="110"/>
      <c r="BH253" s="110"/>
    </row>
    <row r="254" spans="1:60" s="99" customFormat="1" ht="12.75" customHeight="1" x14ac:dyDescent="0.2">
      <c r="A254" s="89">
        <v>46</v>
      </c>
      <c r="B254" s="90"/>
      <c r="C254" s="90"/>
      <c r="D254" s="92" t="s">
        <v>235</v>
      </c>
      <c r="E254" s="93"/>
      <c r="F254" s="93"/>
      <c r="G254" s="93"/>
      <c r="H254" s="93"/>
      <c r="I254" s="93"/>
      <c r="J254" s="93"/>
      <c r="K254" s="93"/>
      <c r="L254" s="93"/>
      <c r="M254" s="93"/>
      <c r="N254" s="93"/>
      <c r="O254" s="93"/>
      <c r="P254" s="93"/>
      <c r="Q254" s="93"/>
      <c r="R254" s="93"/>
      <c r="S254" s="93"/>
      <c r="T254" s="94"/>
      <c r="U254" s="96">
        <v>0</v>
      </c>
      <c r="V254" s="97"/>
      <c r="W254" s="97"/>
      <c r="X254" s="97"/>
      <c r="Y254" s="98"/>
      <c r="Z254" s="96">
        <v>0</v>
      </c>
      <c r="AA254" s="97"/>
      <c r="AB254" s="97"/>
      <c r="AC254" s="97"/>
      <c r="AD254" s="98"/>
      <c r="AE254" s="95">
        <v>0</v>
      </c>
      <c r="AF254" s="95"/>
      <c r="AG254" s="95"/>
      <c r="AH254" s="95"/>
      <c r="AI254" s="95"/>
      <c r="AJ254" s="110">
        <f>IF(ISNUMBER(U254),U254,0)+IF(ISNUMBER(Z254),Z254,0)</f>
        <v>0</v>
      </c>
      <c r="AK254" s="110"/>
      <c r="AL254" s="110"/>
      <c r="AM254" s="110"/>
      <c r="AN254" s="110"/>
      <c r="AO254" s="95">
        <v>0</v>
      </c>
      <c r="AP254" s="95"/>
      <c r="AQ254" s="95"/>
      <c r="AR254" s="95"/>
      <c r="AS254" s="95"/>
      <c r="AT254" s="110">
        <v>0</v>
      </c>
      <c r="AU254" s="110"/>
      <c r="AV254" s="110"/>
      <c r="AW254" s="110"/>
      <c r="AX254" s="110"/>
      <c r="AY254" s="95">
        <v>0</v>
      </c>
      <c r="AZ254" s="95"/>
      <c r="BA254" s="95"/>
      <c r="BB254" s="95"/>
      <c r="BC254" s="95"/>
      <c r="BD254" s="110">
        <f>IF(ISNUMBER(AO254),AO254,0)+IF(ISNUMBER(AT254),AT254,0)</f>
        <v>0</v>
      </c>
      <c r="BE254" s="110"/>
      <c r="BF254" s="110"/>
      <c r="BG254" s="110"/>
      <c r="BH254" s="110"/>
    </row>
    <row r="255" spans="1:60" s="99" customFormat="1" ht="12.75" customHeight="1" x14ac:dyDescent="0.2">
      <c r="A255" s="89">
        <v>47</v>
      </c>
      <c r="B255" s="90"/>
      <c r="C255" s="90"/>
      <c r="D255" s="92" t="s">
        <v>236</v>
      </c>
      <c r="E255" s="93"/>
      <c r="F255" s="93"/>
      <c r="G255" s="93"/>
      <c r="H255" s="93"/>
      <c r="I255" s="93"/>
      <c r="J255" s="93"/>
      <c r="K255" s="93"/>
      <c r="L255" s="93"/>
      <c r="M255" s="93"/>
      <c r="N255" s="93"/>
      <c r="O255" s="93"/>
      <c r="P255" s="93"/>
      <c r="Q255" s="93"/>
      <c r="R255" s="93"/>
      <c r="S255" s="93"/>
      <c r="T255" s="94"/>
      <c r="U255" s="96">
        <v>0</v>
      </c>
      <c r="V255" s="97"/>
      <c r="W255" s="97"/>
      <c r="X255" s="97"/>
      <c r="Y255" s="98"/>
      <c r="Z255" s="96">
        <v>0</v>
      </c>
      <c r="AA255" s="97"/>
      <c r="AB255" s="97"/>
      <c r="AC255" s="97"/>
      <c r="AD255" s="98"/>
      <c r="AE255" s="95">
        <v>0</v>
      </c>
      <c r="AF255" s="95"/>
      <c r="AG255" s="95"/>
      <c r="AH255" s="95"/>
      <c r="AI255" s="95"/>
      <c r="AJ255" s="110">
        <f>IF(ISNUMBER(U255),U255,0)+IF(ISNUMBER(Z255),Z255,0)</f>
        <v>0</v>
      </c>
      <c r="AK255" s="110"/>
      <c r="AL255" s="110"/>
      <c r="AM255" s="110"/>
      <c r="AN255" s="110"/>
      <c r="AO255" s="95">
        <v>0</v>
      </c>
      <c r="AP255" s="95"/>
      <c r="AQ255" s="95"/>
      <c r="AR255" s="95"/>
      <c r="AS255" s="95"/>
      <c r="AT255" s="110">
        <v>0</v>
      </c>
      <c r="AU255" s="110"/>
      <c r="AV255" s="110"/>
      <c r="AW255" s="110"/>
      <c r="AX255" s="110"/>
      <c r="AY255" s="95">
        <v>0</v>
      </c>
      <c r="AZ255" s="95"/>
      <c r="BA255" s="95"/>
      <c r="BB255" s="95"/>
      <c r="BC255" s="95"/>
      <c r="BD255" s="110">
        <f>IF(ISNUMBER(AO255),AO255,0)+IF(ISNUMBER(AT255),AT255,0)</f>
        <v>0</v>
      </c>
      <c r="BE255" s="110"/>
      <c r="BF255" s="110"/>
      <c r="BG255" s="110"/>
      <c r="BH255" s="110"/>
    </row>
    <row r="256" spans="1:60" s="99" customFormat="1" ht="12.75" customHeight="1" x14ac:dyDescent="0.2">
      <c r="A256" s="89">
        <v>48</v>
      </c>
      <c r="B256" s="90"/>
      <c r="C256" s="90"/>
      <c r="D256" s="92" t="s">
        <v>237</v>
      </c>
      <c r="E256" s="93"/>
      <c r="F256" s="93"/>
      <c r="G256" s="93"/>
      <c r="H256" s="93"/>
      <c r="I256" s="93"/>
      <c r="J256" s="93"/>
      <c r="K256" s="93"/>
      <c r="L256" s="93"/>
      <c r="M256" s="93"/>
      <c r="N256" s="93"/>
      <c r="O256" s="93"/>
      <c r="P256" s="93"/>
      <c r="Q256" s="93"/>
      <c r="R256" s="93"/>
      <c r="S256" s="93"/>
      <c r="T256" s="94"/>
      <c r="U256" s="96">
        <v>0</v>
      </c>
      <c r="V256" s="97"/>
      <c r="W256" s="97"/>
      <c r="X256" s="97"/>
      <c r="Y256" s="98"/>
      <c r="Z256" s="96">
        <v>0</v>
      </c>
      <c r="AA256" s="97"/>
      <c r="AB256" s="97"/>
      <c r="AC256" s="97"/>
      <c r="AD256" s="98"/>
      <c r="AE256" s="95">
        <v>0</v>
      </c>
      <c r="AF256" s="95"/>
      <c r="AG256" s="95"/>
      <c r="AH256" s="95"/>
      <c r="AI256" s="95"/>
      <c r="AJ256" s="110">
        <f>IF(ISNUMBER(U256),U256,0)+IF(ISNUMBER(Z256),Z256,0)</f>
        <v>0</v>
      </c>
      <c r="AK256" s="110"/>
      <c r="AL256" s="110"/>
      <c r="AM256" s="110"/>
      <c r="AN256" s="110"/>
      <c r="AO256" s="95">
        <v>0</v>
      </c>
      <c r="AP256" s="95"/>
      <c r="AQ256" s="95"/>
      <c r="AR256" s="95"/>
      <c r="AS256" s="95"/>
      <c r="AT256" s="110">
        <v>0</v>
      </c>
      <c r="AU256" s="110"/>
      <c r="AV256" s="110"/>
      <c r="AW256" s="110"/>
      <c r="AX256" s="110"/>
      <c r="AY256" s="95">
        <v>0</v>
      </c>
      <c r="AZ256" s="95"/>
      <c r="BA256" s="95"/>
      <c r="BB256" s="95"/>
      <c r="BC256" s="95"/>
      <c r="BD256" s="110">
        <f>IF(ISNUMBER(AO256),AO256,0)+IF(ISNUMBER(AT256),AT256,0)</f>
        <v>0</v>
      </c>
      <c r="BE256" s="110"/>
      <c r="BF256" s="110"/>
      <c r="BG256" s="110"/>
      <c r="BH256" s="110"/>
    </row>
    <row r="257" spans="1:60" s="99" customFormat="1" ht="25.5" customHeight="1" x14ac:dyDescent="0.2">
      <c r="A257" s="89">
        <v>49</v>
      </c>
      <c r="B257" s="90"/>
      <c r="C257" s="90"/>
      <c r="D257" s="92" t="s">
        <v>238</v>
      </c>
      <c r="E257" s="93"/>
      <c r="F257" s="93"/>
      <c r="G257" s="93"/>
      <c r="H257" s="93"/>
      <c r="I257" s="93"/>
      <c r="J257" s="93"/>
      <c r="K257" s="93"/>
      <c r="L257" s="93"/>
      <c r="M257" s="93"/>
      <c r="N257" s="93"/>
      <c r="O257" s="93"/>
      <c r="P257" s="93"/>
      <c r="Q257" s="93"/>
      <c r="R257" s="93"/>
      <c r="S257" s="93"/>
      <c r="T257" s="94"/>
      <c r="U257" s="96">
        <v>102720</v>
      </c>
      <c r="V257" s="97"/>
      <c r="W257" s="97"/>
      <c r="X257" s="97"/>
      <c r="Y257" s="98"/>
      <c r="Z257" s="96">
        <v>0</v>
      </c>
      <c r="AA257" s="97"/>
      <c r="AB257" s="97"/>
      <c r="AC257" s="97"/>
      <c r="AD257" s="98"/>
      <c r="AE257" s="95">
        <v>0</v>
      </c>
      <c r="AF257" s="95"/>
      <c r="AG257" s="95"/>
      <c r="AH257" s="95"/>
      <c r="AI257" s="95"/>
      <c r="AJ257" s="110">
        <f>IF(ISNUMBER(U257),U257,0)+IF(ISNUMBER(Z257),Z257,0)</f>
        <v>102720</v>
      </c>
      <c r="AK257" s="110"/>
      <c r="AL257" s="110"/>
      <c r="AM257" s="110"/>
      <c r="AN257" s="110"/>
      <c r="AO257" s="95">
        <v>108678</v>
      </c>
      <c r="AP257" s="95"/>
      <c r="AQ257" s="95"/>
      <c r="AR257" s="95"/>
      <c r="AS257" s="95"/>
      <c r="AT257" s="110">
        <v>0</v>
      </c>
      <c r="AU257" s="110"/>
      <c r="AV257" s="110"/>
      <c r="AW257" s="110"/>
      <c r="AX257" s="110"/>
      <c r="AY257" s="95">
        <v>0</v>
      </c>
      <c r="AZ257" s="95"/>
      <c r="BA257" s="95"/>
      <c r="BB257" s="95"/>
      <c r="BC257" s="95"/>
      <c r="BD257" s="110">
        <f>IF(ISNUMBER(AO257),AO257,0)+IF(ISNUMBER(AT257),AT257,0)</f>
        <v>108678</v>
      </c>
      <c r="BE257" s="110"/>
      <c r="BF257" s="110"/>
      <c r="BG257" s="110"/>
      <c r="BH257" s="110"/>
    </row>
    <row r="258" spans="1:60" s="99" customFormat="1" ht="12.75" customHeight="1" x14ac:dyDescent="0.2">
      <c r="A258" s="89">
        <v>50</v>
      </c>
      <c r="B258" s="90"/>
      <c r="C258" s="90"/>
      <c r="D258" s="92" t="s">
        <v>239</v>
      </c>
      <c r="E258" s="93"/>
      <c r="F258" s="93"/>
      <c r="G258" s="93"/>
      <c r="H258" s="93"/>
      <c r="I258" s="93"/>
      <c r="J258" s="93"/>
      <c r="K258" s="93"/>
      <c r="L258" s="93"/>
      <c r="M258" s="93"/>
      <c r="N258" s="93"/>
      <c r="O258" s="93"/>
      <c r="P258" s="93"/>
      <c r="Q258" s="93"/>
      <c r="R258" s="93"/>
      <c r="S258" s="93"/>
      <c r="T258" s="94"/>
      <c r="U258" s="96">
        <v>0</v>
      </c>
      <c r="V258" s="97"/>
      <c r="W258" s="97"/>
      <c r="X258" s="97"/>
      <c r="Y258" s="98"/>
      <c r="Z258" s="96">
        <v>0</v>
      </c>
      <c r="AA258" s="97"/>
      <c r="AB258" s="97"/>
      <c r="AC258" s="97"/>
      <c r="AD258" s="98"/>
      <c r="AE258" s="95">
        <v>0</v>
      </c>
      <c r="AF258" s="95"/>
      <c r="AG258" s="95"/>
      <c r="AH258" s="95"/>
      <c r="AI258" s="95"/>
      <c r="AJ258" s="110">
        <f>IF(ISNUMBER(U258),U258,0)+IF(ISNUMBER(Z258),Z258,0)</f>
        <v>0</v>
      </c>
      <c r="AK258" s="110"/>
      <c r="AL258" s="110"/>
      <c r="AM258" s="110"/>
      <c r="AN258" s="110"/>
      <c r="AO258" s="95">
        <v>0</v>
      </c>
      <c r="AP258" s="95"/>
      <c r="AQ258" s="95"/>
      <c r="AR258" s="95"/>
      <c r="AS258" s="95"/>
      <c r="AT258" s="110">
        <v>0</v>
      </c>
      <c r="AU258" s="110"/>
      <c r="AV258" s="110"/>
      <c r="AW258" s="110"/>
      <c r="AX258" s="110"/>
      <c r="AY258" s="95">
        <v>0</v>
      </c>
      <c r="AZ258" s="95"/>
      <c r="BA258" s="95"/>
      <c r="BB258" s="95"/>
      <c r="BC258" s="95"/>
      <c r="BD258" s="110">
        <f>IF(ISNUMBER(AO258),AO258,0)+IF(ISNUMBER(AT258),AT258,0)</f>
        <v>0</v>
      </c>
      <c r="BE258" s="110"/>
      <c r="BF258" s="110"/>
      <c r="BG258" s="110"/>
      <c r="BH258" s="110"/>
    </row>
    <row r="259" spans="1:60" s="99" customFormat="1" ht="12.75" customHeight="1" x14ac:dyDescent="0.2">
      <c r="A259" s="89">
        <v>51</v>
      </c>
      <c r="B259" s="90"/>
      <c r="C259" s="90"/>
      <c r="D259" s="92" t="s">
        <v>240</v>
      </c>
      <c r="E259" s="93"/>
      <c r="F259" s="93"/>
      <c r="G259" s="93"/>
      <c r="H259" s="93"/>
      <c r="I259" s="93"/>
      <c r="J259" s="93"/>
      <c r="K259" s="93"/>
      <c r="L259" s="93"/>
      <c r="M259" s="93"/>
      <c r="N259" s="93"/>
      <c r="O259" s="93"/>
      <c r="P259" s="93"/>
      <c r="Q259" s="93"/>
      <c r="R259" s="93"/>
      <c r="S259" s="93"/>
      <c r="T259" s="94"/>
      <c r="U259" s="96">
        <v>0</v>
      </c>
      <c r="V259" s="97"/>
      <c r="W259" s="97"/>
      <c r="X259" s="97"/>
      <c r="Y259" s="98"/>
      <c r="Z259" s="96">
        <v>0</v>
      </c>
      <c r="AA259" s="97"/>
      <c r="AB259" s="97"/>
      <c r="AC259" s="97"/>
      <c r="AD259" s="98"/>
      <c r="AE259" s="95">
        <v>0</v>
      </c>
      <c r="AF259" s="95"/>
      <c r="AG259" s="95"/>
      <c r="AH259" s="95"/>
      <c r="AI259" s="95"/>
      <c r="AJ259" s="110">
        <f>IF(ISNUMBER(U259),U259,0)+IF(ISNUMBER(Z259),Z259,0)</f>
        <v>0</v>
      </c>
      <c r="AK259" s="110"/>
      <c r="AL259" s="110"/>
      <c r="AM259" s="110"/>
      <c r="AN259" s="110"/>
      <c r="AO259" s="95">
        <v>0</v>
      </c>
      <c r="AP259" s="95"/>
      <c r="AQ259" s="95"/>
      <c r="AR259" s="95"/>
      <c r="AS259" s="95"/>
      <c r="AT259" s="110">
        <v>0</v>
      </c>
      <c r="AU259" s="110"/>
      <c r="AV259" s="110"/>
      <c r="AW259" s="110"/>
      <c r="AX259" s="110"/>
      <c r="AY259" s="95">
        <v>0</v>
      </c>
      <c r="AZ259" s="95"/>
      <c r="BA259" s="95"/>
      <c r="BB259" s="95"/>
      <c r="BC259" s="95"/>
      <c r="BD259" s="110">
        <f>IF(ISNUMBER(AO259),AO259,0)+IF(ISNUMBER(AT259),AT259,0)</f>
        <v>0</v>
      </c>
      <c r="BE259" s="110"/>
      <c r="BF259" s="110"/>
      <c r="BG259" s="110"/>
      <c r="BH259" s="110"/>
    </row>
    <row r="260" spans="1:60" s="99" customFormat="1" ht="12.75" customHeight="1" x14ac:dyDescent="0.2">
      <c r="A260" s="89">
        <v>52</v>
      </c>
      <c r="B260" s="90"/>
      <c r="C260" s="90"/>
      <c r="D260" s="92" t="s">
        <v>241</v>
      </c>
      <c r="E260" s="93"/>
      <c r="F260" s="93"/>
      <c r="G260" s="93"/>
      <c r="H260" s="93"/>
      <c r="I260" s="93"/>
      <c r="J260" s="93"/>
      <c r="K260" s="93"/>
      <c r="L260" s="93"/>
      <c r="M260" s="93"/>
      <c r="N260" s="93"/>
      <c r="O260" s="93"/>
      <c r="P260" s="93"/>
      <c r="Q260" s="93"/>
      <c r="R260" s="93"/>
      <c r="S260" s="93"/>
      <c r="T260" s="94"/>
      <c r="U260" s="96">
        <v>0</v>
      </c>
      <c r="V260" s="97"/>
      <c r="W260" s="97"/>
      <c r="X260" s="97"/>
      <c r="Y260" s="98"/>
      <c r="Z260" s="96">
        <v>0</v>
      </c>
      <c r="AA260" s="97"/>
      <c r="AB260" s="97"/>
      <c r="AC260" s="97"/>
      <c r="AD260" s="98"/>
      <c r="AE260" s="95">
        <v>0</v>
      </c>
      <c r="AF260" s="95"/>
      <c r="AG260" s="95"/>
      <c r="AH260" s="95"/>
      <c r="AI260" s="95"/>
      <c r="AJ260" s="110">
        <f>IF(ISNUMBER(U260),U260,0)+IF(ISNUMBER(Z260),Z260,0)</f>
        <v>0</v>
      </c>
      <c r="AK260" s="110"/>
      <c r="AL260" s="110"/>
      <c r="AM260" s="110"/>
      <c r="AN260" s="110"/>
      <c r="AO260" s="95">
        <v>0</v>
      </c>
      <c r="AP260" s="95"/>
      <c r="AQ260" s="95"/>
      <c r="AR260" s="95"/>
      <c r="AS260" s="95"/>
      <c r="AT260" s="110">
        <v>0</v>
      </c>
      <c r="AU260" s="110"/>
      <c r="AV260" s="110"/>
      <c r="AW260" s="110"/>
      <c r="AX260" s="110"/>
      <c r="AY260" s="95">
        <v>0</v>
      </c>
      <c r="AZ260" s="95"/>
      <c r="BA260" s="95"/>
      <c r="BB260" s="95"/>
      <c r="BC260" s="95"/>
      <c r="BD260" s="110">
        <f>IF(ISNUMBER(AO260),AO260,0)+IF(ISNUMBER(AT260),AT260,0)</f>
        <v>0</v>
      </c>
      <c r="BE260" s="110"/>
      <c r="BF260" s="110"/>
      <c r="BG260" s="110"/>
      <c r="BH260" s="110"/>
    </row>
    <row r="261" spans="1:60" s="99" customFormat="1" ht="38.25" customHeight="1" x14ac:dyDescent="0.2">
      <c r="A261" s="89">
        <v>53</v>
      </c>
      <c r="B261" s="90"/>
      <c r="C261" s="90"/>
      <c r="D261" s="92" t="s">
        <v>242</v>
      </c>
      <c r="E261" s="93"/>
      <c r="F261" s="93"/>
      <c r="G261" s="93"/>
      <c r="H261" s="93"/>
      <c r="I261" s="93"/>
      <c r="J261" s="93"/>
      <c r="K261" s="93"/>
      <c r="L261" s="93"/>
      <c r="M261" s="93"/>
      <c r="N261" s="93"/>
      <c r="O261" s="93"/>
      <c r="P261" s="93"/>
      <c r="Q261" s="93"/>
      <c r="R261" s="93"/>
      <c r="S261" s="93"/>
      <c r="T261" s="94"/>
      <c r="U261" s="96">
        <v>0</v>
      </c>
      <c r="V261" s="97"/>
      <c r="W261" s="97"/>
      <c r="X261" s="97"/>
      <c r="Y261" s="98"/>
      <c r="Z261" s="96">
        <v>0</v>
      </c>
      <c r="AA261" s="97"/>
      <c r="AB261" s="97"/>
      <c r="AC261" s="97"/>
      <c r="AD261" s="98"/>
      <c r="AE261" s="95">
        <v>0</v>
      </c>
      <c r="AF261" s="95"/>
      <c r="AG261" s="95"/>
      <c r="AH261" s="95"/>
      <c r="AI261" s="95"/>
      <c r="AJ261" s="110">
        <f>IF(ISNUMBER(U261),U261,0)+IF(ISNUMBER(Z261),Z261,0)</f>
        <v>0</v>
      </c>
      <c r="AK261" s="110"/>
      <c r="AL261" s="110"/>
      <c r="AM261" s="110"/>
      <c r="AN261" s="110"/>
      <c r="AO261" s="95">
        <v>0</v>
      </c>
      <c r="AP261" s="95"/>
      <c r="AQ261" s="95"/>
      <c r="AR261" s="95"/>
      <c r="AS261" s="95"/>
      <c r="AT261" s="110">
        <v>0</v>
      </c>
      <c r="AU261" s="110"/>
      <c r="AV261" s="110"/>
      <c r="AW261" s="110"/>
      <c r="AX261" s="110"/>
      <c r="AY261" s="95">
        <v>0</v>
      </c>
      <c r="AZ261" s="95"/>
      <c r="BA261" s="95"/>
      <c r="BB261" s="95"/>
      <c r="BC261" s="95"/>
      <c r="BD261" s="110">
        <f>IF(ISNUMBER(AO261),AO261,0)+IF(ISNUMBER(AT261),AT261,0)</f>
        <v>0</v>
      </c>
      <c r="BE261" s="110"/>
      <c r="BF261" s="110"/>
      <c r="BG261" s="110"/>
      <c r="BH261" s="110"/>
    </row>
    <row r="262" spans="1:60" s="99" customFormat="1" ht="38.25" customHeight="1" x14ac:dyDescent="0.2">
      <c r="A262" s="89">
        <v>54</v>
      </c>
      <c r="B262" s="90"/>
      <c r="C262" s="90"/>
      <c r="D262" s="92" t="s">
        <v>243</v>
      </c>
      <c r="E262" s="93"/>
      <c r="F262" s="93"/>
      <c r="G262" s="93"/>
      <c r="H262" s="93"/>
      <c r="I262" s="93"/>
      <c r="J262" s="93"/>
      <c r="K262" s="93"/>
      <c r="L262" s="93"/>
      <c r="M262" s="93"/>
      <c r="N262" s="93"/>
      <c r="O262" s="93"/>
      <c r="P262" s="93"/>
      <c r="Q262" s="93"/>
      <c r="R262" s="93"/>
      <c r="S262" s="93"/>
      <c r="T262" s="94"/>
      <c r="U262" s="96">
        <v>0</v>
      </c>
      <c r="V262" s="97"/>
      <c r="W262" s="97"/>
      <c r="X262" s="97"/>
      <c r="Y262" s="98"/>
      <c r="Z262" s="96">
        <v>0</v>
      </c>
      <c r="AA262" s="97"/>
      <c r="AB262" s="97"/>
      <c r="AC262" s="97"/>
      <c r="AD262" s="98"/>
      <c r="AE262" s="95">
        <v>0</v>
      </c>
      <c r="AF262" s="95"/>
      <c r="AG262" s="95"/>
      <c r="AH262" s="95"/>
      <c r="AI262" s="95"/>
      <c r="AJ262" s="110">
        <f>IF(ISNUMBER(U262),U262,0)+IF(ISNUMBER(Z262),Z262,0)</f>
        <v>0</v>
      </c>
      <c r="AK262" s="110"/>
      <c r="AL262" s="110"/>
      <c r="AM262" s="110"/>
      <c r="AN262" s="110"/>
      <c r="AO262" s="95">
        <v>0</v>
      </c>
      <c r="AP262" s="95"/>
      <c r="AQ262" s="95"/>
      <c r="AR262" s="95"/>
      <c r="AS262" s="95"/>
      <c r="AT262" s="110">
        <v>0</v>
      </c>
      <c r="AU262" s="110"/>
      <c r="AV262" s="110"/>
      <c r="AW262" s="110"/>
      <c r="AX262" s="110"/>
      <c r="AY262" s="95">
        <v>0</v>
      </c>
      <c r="AZ262" s="95"/>
      <c r="BA262" s="95"/>
      <c r="BB262" s="95"/>
      <c r="BC262" s="95"/>
      <c r="BD262" s="110">
        <f>IF(ISNUMBER(AO262),AO262,0)+IF(ISNUMBER(AT262),AT262,0)</f>
        <v>0</v>
      </c>
      <c r="BE262" s="110"/>
      <c r="BF262" s="110"/>
      <c r="BG262" s="110"/>
      <c r="BH262" s="110"/>
    </row>
    <row r="263" spans="1:60" s="99" customFormat="1" ht="38.25" customHeight="1" x14ac:dyDescent="0.2">
      <c r="A263" s="89">
        <v>55</v>
      </c>
      <c r="B263" s="90"/>
      <c r="C263" s="90"/>
      <c r="D263" s="92" t="s">
        <v>244</v>
      </c>
      <c r="E263" s="93"/>
      <c r="F263" s="93"/>
      <c r="G263" s="93"/>
      <c r="H263" s="93"/>
      <c r="I263" s="93"/>
      <c r="J263" s="93"/>
      <c r="K263" s="93"/>
      <c r="L263" s="93"/>
      <c r="M263" s="93"/>
      <c r="N263" s="93"/>
      <c r="O263" s="93"/>
      <c r="P263" s="93"/>
      <c r="Q263" s="93"/>
      <c r="R263" s="93"/>
      <c r="S263" s="93"/>
      <c r="T263" s="94"/>
      <c r="U263" s="96">
        <v>0</v>
      </c>
      <c r="V263" s="97"/>
      <c r="W263" s="97"/>
      <c r="X263" s="97"/>
      <c r="Y263" s="98"/>
      <c r="Z263" s="96">
        <v>0</v>
      </c>
      <c r="AA263" s="97"/>
      <c r="AB263" s="97"/>
      <c r="AC263" s="97"/>
      <c r="AD263" s="98"/>
      <c r="AE263" s="95">
        <v>0</v>
      </c>
      <c r="AF263" s="95"/>
      <c r="AG263" s="95"/>
      <c r="AH263" s="95"/>
      <c r="AI263" s="95"/>
      <c r="AJ263" s="110">
        <f>IF(ISNUMBER(U263),U263,0)+IF(ISNUMBER(Z263),Z263,0)</f>
        <v>0</v>
      </c>
      <c r="AK263" s="110"/>
      <c r="AL263" s="110"/>
      <c r="AM263" s="110"/>
      <c r="AN263" s="110"/>
      <c r="AO263" s="95">
        <v>0</v>
      </c>
      <c r="AP263" s="95"/>
      <c r="AQ263" s="95"/>
      <c r="AR263" s="95"/>
      <c r="AS263" s="95"/>
      <c r="AT263" s="110">
        <v>0</v>
      </c>
      <c r="AU263" s="110"/>
      <c r="AV263" s="110"/>
      <c r="AW263" s="110"/>
      <c r="AX263" s="110"/>
      <c r="AY263" s="95">
        <v>0</v>
      </c>
      <c r="AZ263" s="95"/>
      <c r="BA263" s="95"/>
      <c r="BB263" s="95"/>
      <c r="BC263" s="95"/>
      <c r="BD263" s="110">
        <f>IF(ISNUMBER(AO263),AO263,0)+IF(ISNUMBER(AT263),AT263,0)</f>
        <v>0</v>
      </c>
      <c r="BE263" s="110"/>
      <c r="BF263" s="110"/>
      <c r="BG263" s="110"/>
      <c r="BH263" s="110"/>
    </row>
    <row r="264" spans="1:60" s="99" customFormat="1" ht="38.25" customHeight="1" x14ac:dyDescent="0.2">
      <c r="A264" s="89">
        <v>56</v>
      </c>
      <c r="B264" s="90"/>
      <c r="C264" s="90"/>
      <c r="D264" s="92" t="s">
        <v>245</v>
      </c>
      <c r="E264" s="93"/>
      <c r="F264" s="93"/>
      <c r="G264" s="93"/>
      <c r="H264" s="93"/>
      <c r="I264" s="93"/>
      <c r="J264" s="93"/>
      <c r="K264" s="93"/>
      <c r="L264" s="93"/>
      <c r="M264" s="93"/>
      <c r="N264" s="93"/>
      <c r="O264" s="93"/>
      <c r="P264" s="93"/>
      <c r="Q264" s="93"/>
      <c r="R264" s="93"/>
      <c r="S264" s="93"/>
      <c r="T264" s="94"/>
      <c r="U264" s="96">
        <v>0</v>
      </c>
      <c r="V264" s="97"/>
      <c r="W264" s="97"/>
      <c r="X264" s="97"/>
      <c r="Y264" s="98"/>
      <c r="Z264" s="96">
        <v>0</v>
      </c>
      <c r="AA264" s="97"/>
      <c r="AB264" s="97"/>
      <c r="AC264" s="97"/>
      <c r="AD264" s="98"/>
      <c r="AE264" s="95">
        <v>0</v>
      </c>
      <c r="AF264" s="95"/>
      <c r="AG264" s="95"/>
      <c r="AH264" s="95"/>
      <c r="AI264" s="95"/>
      <c r="AJ264" s="110">
        <f>IF(ISNUMBER(U264),U264,0)+IF(ISNUMBER(Z264),Z264,0)</f>
        <v>0</v>
      </c>
      <c r="AK264" s="110"/>
      <c r="AL264" s="110"/>
      <c r="AM264" s="110"/>
      <c r="AN264" s="110"/>
      <c r="AO264" s="95">
        <v>0</v>
      </c>
      <c r="AP264" s="95"/>
      <c r="AQ264" s="95"/>
      <c r="AR264" s="95"/>
      <c r="AS264" s="95"/>
      <c r="AT264" s="110">
        <v>0</v>
      </c>
      <c r="AU264" s="110"/>
      <c r="AV264" s="110"/>
      <c r="AW264" s="110"/>
      <c r="AX264" s="110"/>
      <c r="AY264" s="95">
        <v>0</v>
      </c>
      <c r="AZ264" s="95"/>
      <c r="BA264" s="95"/>
      <c r="BB264" s="95"/>
      <c r="BC264" s="95"/>
      <c r="BD264" s="110">
        <f>IF(ISNUMBER(AO264),AO264,0)+IF(ISNUMBER(AT264),AT264,0)</f>
        <v>0</v>
      </c>
      <c r="BE264" s="110"/>
      <c r="BF264" s="110"/>
      <c r="BG264" s="110"/>
      <c r="BH264" s="110"/>
    </row>
    <row r="265" spans="1:60" s="99" customFormat="1" ht="12.75" customHeight="1" x14ac:dyDescent="0.2">
      <c r="A265" s="89">
        <v>57</v>
      </c>
      <c r="B265" s="90"/>
      <c r="C265" s="90"/>
      <c r="D265" s="92" t="s">
        <v>246</v>
      </c>
      <c r="E265" s="93"/>
      <c r="F265" s="93"/>
      <c r="G265" s="93"/>
      <c r="H265" s="93"/>
      <c r="I265" s="93"/>
      <c r="J265" s="93"/>
      <c r="K265" s="93"/>
      <c r="L265" s="93"/>
      <c r="M265" s="93"/>
      <c r="N265" s="93"/>
      <c r="O265" s="93"/>
      <c r="P265" s="93"/>
      <c r="Q265" s="93"/>
      <c r="R265" s="93"/>
      <c r="S265" s="93"/>
      <c r="T265" s="94"/>
      <c r="U265" s="96">
        <v>124291</v>
      </c>
      <c r="V265" s="97"/>
      <c r="W265" s="97"/>
      <c r="X265" s="97"/>
      <c r="Y265" s="98"/>
      <c r="Z265" s="96">
        <v>0</v>
      </c>
      <c r="AA265" s="97"/>
      <c r="AB265" s="97"/>
      <c r="AC265" s="97"/>
      <c r="AD265" s="98"/>
      <c r="AE265" s="95">
        <v>0</v>
      </c>
      <c r="AF265" s="95"/>
      <c r="AG265" s="95"/>
      <c r="AH265" s="95"/>
      <c r="AI265" s="95"/>
      <c r="AJ265" s="110">
        <f>IF(ISNUMBER(U265),U265,0)+IF(ISNUMBER(Z265),Z265,0)</f>
        <v>124291</v>
      </c>
      <c r="AK265" s="110"/>
      <c r="AL265" s="110"/>
      <c r="AM265" s="110"/>
      <c r="AN265" s="110"/>
      <c r="AO265" s="95">
        <v>131500</v>
      </c>
      <c r="AP265" s="95"/>
      <c r="AQ265" s="95"/>
      <c r="AR265" s="95"/>
      <c r="AS265" s="95"/>
      <c r="AT265" s="110">
        <v>0</v>
      </c>
      <c r="AU265" s="110"/>
      <c r="AV265" s="110"/>
      <c r="AW265" s="110"/>
      <c r="AX265" s="110"/>
      <c r="AY265" s="95">
        <v>0</v>
      </c>
      <c r="AZ265" s="95"/>
      <c r="BA265" s="95"/>
      <c r="BB265" s="95"/>
      <c r="BC265" s="95"/>
      <c r="BD265" s="110">
        <f>IF(ISNUMBER(AO265),AO265,0)+IF(ISNUMBER(AT265),AT265,0)</f>
        <v>131500</v>
      </c>
      <c r="BE265" s="110"/>
      <c r="BF265" s="110"/>
      <c r="BG265" s="110"/>
      <c r="BH265" s="110"/>
    </row>
    <row r="266" spans="1:60" s="99" customFormat="1" ht="12.75" customHeight="1" x14ac:dyDescent="0.2">
      <c r="A266" s="89">
        <v>58</v>
      </c>
      <c r="B266" s="90"/>
      <c r="C266" s="90"/>
      <c r="D266" s="92" t="s">
        <v>247</v>
      </c>
      <c r="E266" s="93"/>
      <c r="F266" s="93"/>
      <c r="G266" s="93"/>
      <c r="H266" s="93"/>
      <c r="I266" s="93"/>
      <c r="J266" s="93"/>
      <c r="K266" s="93"/>
      <c r="L266" s="93"/>
      <c r="M266" s="93"/>
      <c r="N266" s="93"/>
      <c r="O266" s="93"/>
      <c r="P266" s="93"/>
      <c r="Q266" s="93"/>
      <c r="R266" s="93"/>
      <c r="S266" s="93"/>
      <c r="T266" s="94"/>
      <c r="U266" s="96">
        <v>0</v>
      </c>
      <c r="V266" s="97"/>
      <c r="W266" s="97"/>
      <c r="X266" s="97"/>
      <c r="Y266" s="98"/>
      <c r="Z266" s="96">
        <v>0</v>
      </c>
      <c r="AA266" s="97"/>
      <c r="AB266" s="97"/>
      <c r="AC266" s="97"/>
      <c r="AD266" s="98"/>
      <c r="AE266" s="95">
        <v>0</v>
      </c>
      <c r="AF266" s="95"/>
      <c r="AG266" s="95"/>
      <c r="AH266" s="95"/>
      <c r="AI266" s="95"/>
      <c r="AJ266" s="110">
        <f>IF(ISNUMBER(U266),U266,0)+IF(ISNUMBER(Z266),Z266,0)</f>
        <v>0</v>
      </c>
      <c r="AK266" s="110"/>
      <c r="AL266" s="110"/>
      <c r="AM266" s="110"/>
      <c r="AN266" s="110"/>
      <c r="AO266" s="95">
        <v>0</v>
      </c>
      <c r="AP266" s="95"/>
      <c r="AQ266" s="95"/>
      <c r="AR266" s="95"/>
      <c r="AS266" s="95"/>
      <c r="AT266" s="110">
        <v>0</v>
      </c>
      <c r="AU266" s="110"/>
      <c r="AV266" s="110"/>
      <c r="AW266" s="110"/>
      <c r="AX266" s="110"/>
      <c r="AY266" s="95">
        <v>0</v>
      </c>
      <c r="AZ266" s="95"/>
      <c r="BA266" s="95"/>
      <c r="BB266" s="95"/>
      <c r="BC266" s="95"/>
      <c r="BD266" s="110">
        <f>IF(ISNUMBER(AO266),AO266,0)+IF(ISNUMBER(AT266),AT266,0)</f>
        <v>0</v>
      </c>
      <c r="BE266" s="110"/>
      <c r="BF266" s="110"/>
      <c r="BG266" s="110"/>
      <c r="BH266" s="110"/>
    </row>
    <row r="267" spans="1:60" s="99" customFormat="1" ht="12.75" customHeight="1" x14ac:dyDescent="0.2">
      <c r="A267" s="89">
        <v>59</v>
      </c>
      <c r="B267" s="90"/>
      <c r="C267" s="90"/>
      <c r="D267" s="92" t="s">
        <v>248</v>
      </c>
      <c r="E267" s="93"/>
      <c r="F267" s="93"/>
      <c r="G267" s="93"/>
      <c r="H267" s="93"/>
      <c r="I267" s="93"/>
      <c r="J267" s="93"/>
      <c r="K267" s="93"/>
      <c r="L267" s="93"/>
      <c r="M267" s="93"/>
      <c r="N267" s="93"/>
      <c r="O267" s="93"/>
      <c r="P267" s="93"/>
      <c r="Q267" s="93"/>
      <c r="R267" s="93"/>
      <c r="S267" s="93"/>
      <c r="T267" s="94"/>
      <c r="U267" s="96">
        <v>0</v>
      </c>
      <c r="V267" s="97"/>
      <c r="W267" s="97"/>
      <c r="X267" s="97"/>
      <c r="Y267" s="98"/>
      <c r="Z267" s="96">
        <v>0</v>
      </c>
      <c r="AA267" s="97"/>
      <c r="AB267" s="97"/>
      <c r="AC267" s="97"/>
      <c r="AD267" s="98"/>
      <c r="AE267" s="95">
        <v>0</v>
      </c>
      <c r="AF267" s="95"/>
      <c r="AG267" s="95"/>
      <c r="AH267" s="95"/>
      <c r="AI267" s="95"/>
      <c r="AJ267" s="110">
        <f>IF(ISNUMBER(U267),U267,0)+IF(ISNUMBER(Z267),Z267,0)</f>
        <v>0</v>
      </c>
      <c r="AK267" s="110"/>
      <c r="AL267" s="110"/>
      <c r="AM267" s="110"/>
      <c r="AN267" s="110"/>
      <c r="AO267" s="95">
        <v>0</v>
      </c>
      <c r="AP267" s="95"/>
      <c r="AQ267" s="95"/>
      <c r="AR267" s="95"/>
      <c r="AS267" s="95"/>
      <c r="AT267" s="110">
        <v>0</v>
      </c>
      <c r="AU267" s="110"/>
      <c r="AV267" s="110"/>
      <c r="AW267" s="110"/>
      <c r="AX267" s="110"/>
      <c r="AY267" s="95">
        <v>0</v>
      </c>
      <c r="AZ267" s="95"/>
      <c r="BA267" s="95"/>
      <c r="BB267" s="95"/>
      <c r="BC267" s="95"/>
      <c r="BD267" s="110">
        <f>IF(ISNUMBER(AO267),AO267,0)+IF(ISNUMBER(AT267),AT267,0)</f>
        <v>0</v>
      </c>
      <c r="BE267" s="110"/>
      <c r="BF267" s="110"/>
      <c r="BG267" s="110"/>
      <c r="BH267" s="110"/>
    </row>
    <row r="268" spans="1:60" s="99" customFormat="1" ht="25.5" customHeight="1" x14ac:dyDescent="0.2">
      <c r="A268" s="89">
        <v>60</v>
      </c>
      <c r="B268" s="90"/>
      <c r="C268" s="90"/>
      <c r="D268" s="92" t="s">
        <v>249</v>
      </c>
      <c r="E268" s="93"/>
      <c r="F268" s="93"/>
      <c r="G268" s="93"/>
      <c r="H268" s="93"/>
      <c r="I268" s="93"/>
      <c r="J268" s="93"/>
      <c r="K268" s="93"/>
      <c r="L268" s="93"/>
      <c r="M268" s="93"/>
      <c r="N268" s="93"/>
      <c r="O268" s="93"/>
      <c r="P268" s="93"/>
      <c r="Q268" s="93"/>
      <c r="R268" s="93"/>
      <c r="S268" s="93"/>
      <c r="T268" s="94"/>
      <c r="U268" s="96">
        <v>0</v>
      </c>
      <c r="V268" s="97"/>
      <c r="W268" s="97"/>
      <c r="X268" s="97"/>
      <c r="Y268" s="98"/>
      <c r="Z268" s="96">
        <v>0</v>
      </c>
      <c r="AA268" s="97"/>
      <c r="AB268" s="97"/>
      <c r="AC268" s="97"/>
      <c r="AD268" s="98"/>
      <c r="AE268" s="95">
        <v>0</v>
      </c>
      <c r="AF268" s="95"/>
      <c r="AG268" s="95"/>
      <c r="AH268" s="95"/>
      <c r="AI268" s="95"/>
      <c r="AJ268" s="110">
        <f>IF(ISNUMBER(U268),U268,0)+IF(ISNUMBER(Z268),Z268,0)</f>
        <v>0</v>
      </c>
      <c r="AK268" s="110"/>
      <c r="AL268" s="110"/>
      <c r="AM268" s="110"/>
      <c r="AN268" s="110"/>
      <c r="AO268" s="95">
        <v>0</v>
      </c>
      <c r="AP268" s="95"/>
      <c r="AQ268" s="95"/>
      <c r="AR268" s="95"/>
      <c r="AS268" s="95"/>
      <c r="AT268" s="110">
        <v>0</v>
      </c>
      <c r="AU268" s="110"/>
      <c r="AV268" s="110"/>
      <c r="AW268" s="110"/>
      <c r="AX268" s="110"/>
      <c r="AY268" s="95">
        <v>0</v>
      </c>
      <c r="AZ268" s="95"/>
      <c r="BA268" s="95"/>
      <c r="BB268" s="95"/>
      <c r="BC268" s="95"/>
      <c r="BD268" s="110">
        <f>IF(ISNUMBER(AO268),AO268,0)+IF(ISNUMBER(AT268),AT268,0)</f>
        <v>0</v>
      </c>
      <c r="BE268" s="110"/>
      <c r="BF268" s="110"/>
      <c r="BG268" s="110"/>
      <c r="BH268" s="110"/>
    </row>
    <row r="269" spans="1:60" s="99" customFormat="1" ht="12.75" customHeight="1" x14ac:dyDescent="0.2">
      <c r="A269" s="89">
        <v>61</v>
      </c>
      <c r="B269" s="90"/>
      <c r="C269" s="90"/>
      <c r="D269" s="92" t="s">
        <v>250</v>
      </c>
      <c r="E269" s="93"/>
      <c r="F269" s="93"/>
      <c r="G269" s="93"/>
      <c r="H269" s="93"/>
      <c r="I269" s="93"/>
      <c r="J269" s="93"/>
      <c r="K269" s="93"/>
      <c r="L269" s="93"/>
      <c r="M269" s="93"/>
      <c r="N269" s="93"/>
      <c r="O269" s="93"/>
      <c r="P269" s="93"/>
      <c r="Q269" s="93"/>
      <c r="R269" s="93"/>
      <c r="S269" s="93"/>
      <c r="T269" s="94"/>
      <c r="U269" s="96">
        <v>304077</v>
      </c>
      <c r="V269" s="97"/>
      <c r="W269" s="97"/>
      <c r="X269" s="97"/>
      <c r="Y269" s="98"/>
      <c r="Z269" s="96">
        <v>0</v>
      </c>
      <c r="AA269" s="97"/>
      <c r="AB269" s="97"/>
      <c r="AC269" s="97"/>
      <c r="AD269" s="98"/>
      <c r="AE269" s="95">
        <v>0</v>
      </c>
      <c r="AF269" s="95"/>
      <c r="AG269" s="95"/>
      <c r="AH269" s="95"/>
      <c r="AI269" s="95"/>
      <c r="AJ269" s="110">
        <f>IF(ISNUMBER(U269),U269,0)+IF(ISNUMBER(Z269),Z269,0)</f>
        <v>304077</v>
      </c>
      <c r="AK269" s="110"/>
      <c r="AL269" s="110"/>
      <c r="AM269" s="110"/>
      <c r="AN269" s="110"/>
      <c r="AO269" s="95">
        <v>321713</v>
      </c>
      <c r="AP269" s="95"/>
      <c r="AQ269" s="95"/>
      <c r="AR269" s="95"/>
      <c r="AS269" s="95"/>
      <c r="AT269" s="110">
        <v>0</v>
      </c>
      <c r="AU269" s="110"/>
      <c r="AV269" s="110"/>
      <c r="AW269" s="110"/>
      <c r="AX269" s="110"/>
      <c r="AY269" s="95">
        <v>0</v>
      </c>
      <c r="AZ269" s="95"/>
      <c r="BA269" s="95"/>
      <c r="BB269" s="95"/>
      <c r="BC269" s="95"/>
      <c r="BD269" s="110">
        <f>IF(ISNUMBER(AO269),AO269,0)+IF(ISNUMBER(AT269),AT269,0)</f>
        <v>321713</v>
      </c>
      <c r="BE269" s="110"/>
      <c r="BF269" s="110"/>
      <c r="BG269" s="110"/>
      <c r="BH269" s="110"/>
    </row>
    <row r="270" spans="1:60" s="99" customFormat="1" ht="12.75" customHeight="1" x14ac:dyDescent="0.2">
      <c r="A270" s="89">
        <v>62</v>
      </c>
      <c r="B270" s="90"/>
      <c r="C270" s="90"/>
      <c r="D270" s="92" t="s">
        <v>251</v>
      </c>
      <c r="E270" s="93"/>
      <c r="F270" s="93"/>
      <c r="G270" s="93"/>
      <c r="H270" s="93"/>
      <c r="I270" s="93"/>
      <c r="J270" s="93"/>
      <c r="K270" s="93"/>
      <c r="L270" s="93"/>
      <c r="M270" s="93"/>
      <c r="N270" s="93"/>
      <c r="O270" s="93"/>
      <c r="P270" s="93"/>
      <c r="Q270" s="93"/>
      <c r="R270" s="93"/>
      <c r="S270" s="93"/>
      <c r="T270" s="94"/>
      <c r="U270" s="96">
        <v>13236</v>
      </c>
      <c r="V270" s="97"/>
      <c r="W270" s="97"/>
      <c r="X270" s="97"/>
      <c r="Y270" s="98"/>
      <c r="Z270" s="96">
        <v>0</v>
      </c>
      <c r="AA270" s="97"/>
      <c r="AB270" s="97"/>
      <c r="AC270" s="97"/>
      <c r="AD270" s="98"/>
      <c r="AE270" s="95">
        <v>0</v>
      </c>
      <c r="AF270" s="95"/>
      <c r="AG270" s="95"/>
      <c r="AH270" s="95"/>
      <c r="AI270" s="95"/>
      <c r="AJ270" s="110">
        <f>IF(ISNUMBER(U270),U270,0)+IF(ISNUMBER(Z270),Z270,0)</f>
        <v>13236</v>
      </c>
      <c r="AK270" s="110"/>
      <c r="AL270" s="110"/>
      <c r="AM270" s="110"/>
      <c r="AN270" s="110"/>
      <c r="AO270" s="95">
        <v>14004</v>
      </c>
      <c r="AP270" s="95"/>
      <c r="AQ270" s="95"/>
      <c r="AR270" s="95"/>
      <c r="AS270" s="95"/>
      <c r="AT270" s="110">
        <v>0</v>
      </c>
      <c r="AU270" s="110"/>
      <c r="AV270" s="110"/>
      <c r="AW270" s="110"/>
      <c r="AX270" s="110"/>
      <c r="AY270" s="95">
        <v>0</v>
      </c>
      <c r="AZ270" s="95"/>
      <c r="BA270" s="95"/>
      <c r="BB270" s="95"/>
      <c r="BC270" s="95"/>
      <c r="BD270" s="110">
        <f>IF(ISNUMBER(AO270),AO270,0)+IF(ISNUMBER(AT270),AT270,0)</f>
        <v>14004</v>
      </c>
      <c r="BE270" s="110"/>
      <c r="BF270" s="110"/>
      <c r="BG270" s="110"/>
      <c r="BH270" s="110"/>
    </row>
    <row r="271" spans="1:60" s="99" customFormat="1" ht="38.25" customHeight="1" x14ac:dyDescent="0.2">
      <c r="A271" s="89">
        <v>63</v>
      </c>
      <c r="B271" s="90"/>
      <c r="C271" s="90"/>
      <c r="D271" s="92" t="s">
        <v>252</v>
      </c>
      <c r="E271" s="93"/>
      <c r="F271" s="93"/>
      <c r="G271" s="93"/>
      <c r="H271" s="93"/>
      <c r="I271" s="93"/>
      <c r="J271" s="93"/>
      <c r="K271" s="93"/>
      <c r="L271" s="93"/>
      <c r="M271" s="93"/>
      <c r="N271" s="93"/>
      <c r="O271" s="93"/>
      <c r="P271" s="93"/>
      <c r="Q271" s="93"/>
      <c r="R271" s="93"/>
      <c r="S271" s="93"/>
      <c r="T271" s="94"/>
      <c r="U271" s="96">
        <v>0</v>
      </c>
      <c r="V271" s="97"/>
      <c r="W271" s="97"/>
      <c r="X271" s="97"/>
      <c r="Y271" s="98"/>
      <c r="Z271" s="96">
        <v>0</v>
      </c>
      <c r="AA271" s="97"/>
      <c r="AB271" s="97"/>
      <c r="AC271" s="97"/>
      <c r="AD271" s="98"/>
      <c r="AE271" s="95">
        <v>0</v>
      </c>
      <c r="AF271" s="95"/>
      <c r="AG271" s="95"/>
      <c r="AH271" s="95"/>
      <c r="AI271" s="95"/>
      <c r="AJ271" s="110">
        <f>IF(ISNUMBER(U271),U271,0)+IF(ISNUMBER(Z271),Z271,0)</f>
        <v>0</v>
      </c>
      <c r="AK271" s="110"/>
      <c r="AL271" s="110"/>
      <c r="AM271" s="110"/>
      <c r="AN271" s="110"/>
      <c r="AO271" s="95">
        <v>0</v>
      </c>
      <c r="AP271" s="95"/>
      <c r="AQ271" s="95"/>
      <c r="AR271" s="95"/>
      <c r="AS271" s="95"/>
      <c r="AT271" s="110">
        <v>0</v>
      </c>
      <c r="AU271" s="110"/>
      <c r="AV271" s="110"/>
      <c r="AW271" s="110"/>
      <c r="AX271" s="110"/>
      <c r="AY271" s="95">
        <v>0</v>
      </c>
      <c r="AZ271" s="95"/>
      <c r="BA271" s="95"/>
      <c r="BB271" s="95"/>
      <c r="BC271" s="95"/>
      <c r="BD271" s="110">
        <f>IF(ISNUMBER(AO271),AO271,0)+IF(ISNUMBER(AT271),AT271,0)</f>
        <v>0</v>
      </c>
      <c r="BE271" s="110"/>
      <c r="BF271" s="110"/>
      <c r="BG271" s="110"/>
      <c r="BH271" s="110"/>
    </row>
    <row r="272" spans="1:60" s="99" customFormat="1" ht="12.75" customHeight="1" x14ac:dyDescent="0.2">
      <c r="A272" s="89">
        <v>64</v>
      </c>
      <c r="B272" s="90"/>
      <c r="C272" s="90"/>
      <c r="D272" s="92" t="s">
        <v>253</v>
      </c>
      <c r="E272" s="93"/>
      <c r="F272" s="93"/>
      <c r="G272" s="93"/>
      <c r="H272" s="93"/>
      <c r="I272" s="93"/>
      <c r="J272" s="93"/>
      <c r="K272" s="93"/>
      <c r="L272" s="93"/>
      <c r="M272" s="93"/>
      <c r="N272" s="93"/>
      <c r="O272" s="93"/>
      <c r="P272" s="93"/>
      <c r="Q272" s="93"/>
      <c r="R272" s="93"/>
      <c r="S272" s="93"/>
      <c r="T272" s="94"/>
      <c r="U272" s="96">
        <v>0</v>
      </c>
      <c r="V272" s="97"/>
      <c r="W272" s="97"/>
      <c r="X272" s="97"/>
      <c r="Y272" s="98"/>
      <c r="Z272" s="96">
        <v>0</v>
      </c>
      <c r="AA272" s="97"/>
      <c r="AB272" s="97"/>
      <c r="AC272" s="97"/>
      <c r="AD272" s="98"/>
      <c r="AE272" s="95">
        <v>0</v>
      </c>
      <c r="AF272" s="95"/>
      <c r="AG272" s="95"/>
      <c r="AH272" s="95"/>
      <c r="AI272" s="95"/>
      <c r="AJ272" s="110">
        <f>IF(ISNUMBER(U272),U272,0)+IF(ISNUMBER(Z272),Z272,0)</f>
        <v>0</v>
      </c>
      <c r="AK272" s="110"/>
      <c r="AL272" s="110"/>
      <c r="AM272" s="110"/>
      <c r="AN272" s="110"/>
      <c r="AO272" s="95">
        <v>0</v>
      </c>
      <c r="AP272" s="95"/>
      <c r="AQ272" s="95"/>
      <c r="AR272" s="95"/>
      <c r="AS272" s="95"/>
      <c r="AT272" s="110">
        <v>0</v>
      </c>
      <c r="AU272" s="110"/>
      <c r="AV272" s="110"/>
      <c r="AW272" s="110"/>
      <c r="AX272" s="110"/>
      <c r="AY272" s="95">
        <v>0</v>
      </c>
      <c r="AZ272" s="95"/>
      <c r="BA272" s="95"/>
      <c r="BB272" s="95"/>
      <c r="BC272" s="95"/>
      <c r="BD272" s="110">
        <f>IF(ISNUMBER(AO272),AO272,0)+IF(ISNUMBER(AT272),AT272,0)</f>
        <v>0</v>
      </c>
      <c r="BE272" s="110"/>
      <c r="BF272" s="110"/>
      <c r="BG272" s="110"/>
      <c r="BH272" s="110"/>
    </row>
    <row r="273" spans="1:60" s="99" customFormat="1" ht="12.75" customHeight="1" x14ac:dyDescent="0.2">
      <c r="A273" s="89">
        <v>65</v>
      </c>
      <c r="B273" s="90"/>
      <c r="C273" s="90"/>
      <c r="D273" s="92" t="s">
        <v>254</v>
      </c>
      <c r="E273" s="93"/>
      <c r="F273" s="93"/>
      <c r="G273" s="93"/>
      <c r="H273" s="93"/>
      <c r="I273" s="93"/>
      <c r="J273" s="93"/>
      <c r="K273" s="93"/>
      <c r="L273" s="93"/>
      <c r="M273" s="93"/>
      <c r="N273" s="93"/>
      <c r="O273" s="93"/>
      <c r="P273" s="93"/>
      <c r="Q273" s="93"/>
      <c r="R273" s="93"/>
      <c r="S273" s="93"/>
      <c r="T273" s="94"/>
      <c r="U273" s="96">
        <v>0</v>
      </c>
      <c r="V273" s="97"/>
      <c r="W273" s="97"/>
      <c r="X273" s="97"/>
      <c r="Y273" s="98"/>
      <c r="Z273" s="96">
        <v>0</v>
      </c>
      <c r="AA273" s="97"/>
      <c r="AB273" s="97"/>
      <c r="AC273" s="97"/>
      <c r="AD273" s="98"/>
      <c r="AE273" s="95">
        <v>0</v>
      </c>
      <c r="AF273" s="95"/>
      <c r="AG273" s="95"/>
      <c r="AH273" s="95"/>
      <c r="AI273" s="95"/>
      <c r="AJ273" s="110">
        <f>IF(ISNUMBER(U273),U273,0)+IF(ISNUMBER(Z273),Z273,0)</f>
        <v>0</v>
      </c>
      <c r="AK273" s="110"/>
      <c r="AL273" s="110"/>
      <c r="AM273" s="110"/>
      <c r="AN273" s="110"/>
      <c r="AO273" s="95">
        <v>0</v>
      </c>
      <c r="AP273" s="95"/>
      <c r="AQ273" s="95"/>
      <c r="AR273" s="95"/>
      <c r="AS273" s="95"/>
      <c r="AT273" s="110">
        <v>0</v>
      </c>
      <c r="AU273" s="110"/>
      <c r="AV273" s="110"/>
      <c r="AW273" s="110"/>
      <c r="AX273" s="110"/>
      <c r="AY273" s="95">
        <v>0</v>
      </c>
      <c r="AZ273" s="95"/>
      <c r="BA273" s="95"/>
      <c r="BB273" s="95"/>
      <c r="BC273" s="95"/>
      <c r="BD273" s="110">
        <f>IF(ISNUMBER(AO273),AO273,0)+IF(ISNUMBER(AT273),AT273,0)</f>
        <v>0</v>
      </c>
      <c r="BE273" s="110"/>
      <c r="BF273" s="110"/>
      <c r="BG273" s="110"/>
      <c r="BH273" s="110"/>
    </row>
    <row r="274" spans="1:60" s="99" customFormat="1" ht="12.75" customHeight="1" x14ac:dyDescent="0.2">
      <c r="A274" s="89">
        <v>66</v>
      </c>
      <c r="B274" s="90"/>
      <c r="C274" s="90"/>
      <c r="D274" s="92" t="s">
        <v>255</v>
      </c>
      <c r="E274" s="93"/>
      <c r="F274" s="93"/>
      <c r="G274" s="93"/>
      <c r="H274" s="93"/>
      <c r="I274" s="93"/>
      <c r="J274" s="93"/>
      <c r="K274" s="93"/>
      <c r="L274" s="93"/>
      <c r="M274" s="93"/>
      <c r="N274" s="93"/>
      <c r="O274" s="93"/>
      <c r="P274" s="93"/>
      <c r="Q274" s="93"/>
      <c r="R274" s="93"/>
      <c r="S274" s="93"/>
      <c r="T274" s="94"/>
      <c r="U274" s="96">
        <v>0</v>
      </c>
      <c r="V274" s="97"/>
      <c r="W274" s="97"/>
      <c r="X274" s="97"/>
      <c r="Y274" s="98"/>
      <c r="Z274" s="96">
        <v>0</v>
      </c>
      <c r="AA274" s="97"/>
      <c r="AB274" s="97"/>
      <c r="AC274" s="97"/>
      <c r="AD274" s="98"/>
      <c r="AE274" s="95">
        <v>0</v>
      </c>
      <c r="AF274" s="95"/>
      <c r="AG274" s="95"/>
      <c r="AH274" s="95"/>
      <c r="AI274" s="95"/>
      <c r="AJ274" s="110">
        <f>IF(ISNUMBER(U274),U274,0)+IF(ISNUMBER(Z274),Z274,0)</f>
        <v>0</v>
      </c>
      <c r="AK274" s="110"/>
      <c r="AL274" s="110"/>
      <c r="AM274" s="110"/>
      <c r="AN274" s="110"/>
      <c r="AO274" s="95">
        <v>0</v>
      </c>
      <c r="AP274" s="95"/>
      <c r="AQ274" s="95"/>
      <c r="AR274" s="95"/>
      <c r="AS274" s="95"/>
      <c r="AT274" s="110">
        <v>0</v>
      </c>
      <c r="AU274" s="110"/>
      <c r="AV274" s="110"/>
      <c r="AW274" s="110"/>
      <c r="AX274" s="110"/>
      <c r="AY274" s="95">
        <v>0</v>
      </c>
      <c r="AZ274" s="95"/>
      <c r="BA274" s="95"/>
      <c r="BB274" s="95"/>
      <c r="BC274" s="95"/>
      <c r="BD274" s="110">
        <f>IF(ISNUMBER(AO274),AO274,0)+IF(ISNUMBER(AT274),AT274,0)</f>
        <v>0</v>
      </c>
      <c r="BE274" s="110"/>
      <c r="BF274" s="110"/>
      <c r="BG274" s="110"/>
      <c r="BH274" s="110"/>
    </row>
    <row r="275" spans="1:60" s="99" customFormat="1" ht="12.75" customHeight="1" x14ac:dyDescent="0.2">
      <c r="A275" s="89">
        <v>67</v>
      </c>
      <c r="B275" s="90"/>
      <c r="C275" s="90"/>
      <c r="D275" s="92" t="s">
        <v>182</v>
      </c>
      <c r="E275" s="93"/>
      <c r="F275" s="93"/>
      <c r="G275" s="93"/>
      <c r="H275" s="93"/>
      <c r="I275" s="93"/>
      <c r="J275" s="93"/>
      <c r="K275" s="93"/>
      <c r="L275" s="93"/>
      <c r="M275" s="93"/>
      <c r="N275" s="93"/>
      <c r="O275" s="93"/>
      <c r="P275" s="93"/>
      <c r="Q275" s="93"/>
      <c r="R275" s="93"/>
      <c r="S275" s="93"/>
      <c r="T275" s="94"/>
      <c r="U275" s="96">
        <v>0</v>
      </c>
      <c r="V275" s="97"/>
      <c r="W275" s="97"/>
      <c r="X275" s="97"/>
      <c r="Y275" s="98"/>
      <c r="Z275" s="96">
        <v>0</v>
      </c>
      <c r="AA275" s="97"/>
      <c r="AB275" s="97"/>
      <c r="AC275" s="97"/>
      <c r="AD275" s="98"/>
      <c r="AE275" s="95">
        <v>0</v>
      </c>
      <c r="AF275" s="95"/>
      <c r="AG275" s="95"/>
      <c r="AH275" s="95"/>
      <c r="AI275" s="95"/>
      <c r="AJ275" s="110">
        <f>IF(ISNUMBER(U275),U275,0)+IF(ISNUMBER(Z275),Z275,0)</f>
        <v>0</v>
      </c>
      <c r="AK275" s="110"/>
      <c r="AL275" s="110"/>
      <c r="AM275" s="110"/>
      <c r="AN275" s="110"/>
      <c r="AO275" s="95">
        <v>0</v>
      </c>
      <c r="AP275" s="95"/>
      <c r="AQ275" s="95"/>
      <c r="AR275" s="95"/>
      <c r="AS275" s="95"/>
      <c r="AT275" s="110">
        <v>0</v>
      </c>
      <c r="AU275" s="110"/>
      <c r="AV275" s="110"/>
      <c r="AW275" s="110"/>
      <c r="AX275" s="110"/>
      <c r="AY275" s="95">
        <v>0</v>
      </c>
      <c r="AZ275" s="95"/>
      <c r="BA275" s="95"/>
      <c r="BB275" s="95"/>
      <c r="BC275" s="95"/>
      <c r="BD275" s="110">
        <f>IF(ISNUMBER(AO275),AO275,0)+IF(ISNUMBER(AT275),AT275,0)</f>
        <v>0</v>
      </c>
      <c r="BE275" s="110"/>
      <c r="BF275" s="110"/>
      <c r="BG275" s="110"/>
      <c r="BH275" s="110"/>
    </row>
    <row r="276" spans="1:60" s="99" customFormat="1" ht="25.5" customHeight="1" x14ac:dyDescent="0.2">
      <c r="A276" s="89">
        <v>68</v>
      </c>
      <c r="B276" s="90"/>
      <c r="C276" s="90"/>
      <c r="D276" s="92" t="s">
        <v>256</v>
      </c>
      <c r="E276" s="93"/>
      <c r="F276" s="93"/>
      <c r="G276" s="93"/>
      <c r="H276" s="93"/>
      <c r="I276" s="93"/>
      <c r="J276" s="93"/>
      <c r="K276" s="93"/>
      <c r="L276" s="93"/>
      <c r="M276" s="93"/>
      <c r="N276" s="93"/>
      <c r="O276" s="93"/>
      <c r="P276" s="93"/>
      <c r="Q276" s="93"/>
      <c r="R276" s="93"/>
      <c r="S276" s="93"/>
      <c r="T276" s="94"/>
      <c r="U276" s="96">
        <v>0</v>
      </c>
      <c r="V276" s="97"/>
      <c r="W276" s="97"/>
      <c r="X276" s="97"/>
      <c r="Y276" s="98"/>
      <c r="Z276" s="96">
        <v>0</v>
      </c>
      <c r="AA276" s="97"/>
      <c r="AB276" s="97"/>
      <c r="AC276" s="97"/>
      <c r="AD276" s="98"/>
      <c r="AE276" s="95">
        <v>0</v>
      </c>
      <c r="AF276" s="95"/>
      <c r="AG276" s="95"/>
      <c r="AH276" s="95"/>
      <c r="AI276" s="95"/>
      <c r="AJ276" s="110">
        <f>IF(ISNUMBER(U276),U276,0)+IF(ISNUMBER(Z276),Z276,0)</f>
        <v>0</v>
      </c>
      <c r="AK276" s="110"/>
      <c r="AL276" s="110"/>
      <c r="AM276" s="110"/>
      <c r="AN276" s="110"/>
      <c r="AO276" s="95">
        <v>0</v>
      </c>
      <c r="AP276" s="95"/>
      <c r="AQ276" s="95"/>
      <c r="AR276" s="95"/>
      <c r="AS276" s="95"/>
      <c r="AT276" s="110">
        <v>0</v>
      </c>
      <c r="AU276" s="110"/>
      <c r="AV276" s="110"/>
      <c r="AW276" s="110"/>
      <c r="AX276" s="110"/>
      <c r="AY276" s="95">
        <v>0</v>
      </c>
      <c r="AZ276" s="95"/>
      <c r="BA276" s="95"/>
      <c r="BB276" s="95"/>
      <c r="BC276" s="95"/>
      <c r="BD276" s="110">
        <f>IF(ISNUMBER(AO276),AO276,0)+IF(ISNUMBER(AT276),AT276,0)</f>
        <v>0</v>
      </c>
      <c r="BE276" s="110"/>
      <c r="BF276" s="110"/>
      <c r="BG276" s="110"/>
      <c r="BH276" s="110"/>
    </row>
    <row r="277" spans="1:60" s="99" customFormat="1" ht="25.5" customHeight="1" x14ac:dyDescent="0.2">
      <c r="A277" s="89">
        <v>69</v>
      </c>
      <c r="B277" s="90"/>
      <c r="C277" s="90"/>
      <c r="D277" s="92" t="s">
        <v>257</v>
      </c>
      <c r="E277" s="93"/>
      <c r="F277" s="93"/>
      <c r="G277" s="93"/>
      <c r="H277" s="93"/>
      <c r="I277" s="93"/>
      <c r="J277" s="93"/>
      <c r="K277" s="93"/>
      <c r="L277" s="93"/>
      <c r="M277" s="93"/>
      <c r="N277" s="93"/>
      <c r="O277" s="93"/>
      <c r="P277" s="93"/>
      <c r="Q277" s="93"/>
      <c r="R277" s="93"/>
      <c r="S277" s="93"/>
      <c r="T277" s="94"/>
      <c r="U277" s="96">
        <v>0</v>
      </c>
      <c r="V277" s="97"/>
      <c r="W277" s="97"/>
      <c r="X277" s="97"/>
      <c r="Y277" s="98"/>
      <c r="Z277" s="96">
        <v>0</v>
      </c>
      <c r="AA277" s="97"/>
      <c r="AB277" s="97"/>
      <c r="AC277" s="97"/>
      <c r="AD277" s="98"/>
      <c r="AE277" s="95">
        <v>0</v>
      </c>
      <c r="AF277" s="95"/>
      <c r="AG277" s="95"/>
      <c r="AH277" s="95"/>
      <c r="AI277" s="95"/>
      <c r="AJ277" s="110">
        <f>IF(ISNUMBER(U277),U277,0)+IF(ISNUMBER(Z277),Z277,0)</f>
        <v>0</v>
      </c>
      <c r="AK277" s="110"/>
      <c r="AL277" s="110"/>
      <c r="AM277" s="110"/>
      <c r="AN277" s="110"/>
      <c r="AO277" s="95">
        <v>0</v>
      </c>
      <c r="AP277" s="95"/>
      <c r="AQ277" s="95"/>
      <c r="AR277" s="95"/>
      <c r="AS277" s="95"/>
      <c r="AT277" s="110">
        <v>0</v>
      </c>
      <c r="AU277" s="110"/>
      <c r="AV277" s="110"/>
      <c r="AW277" s="110"/>
      <c r="AX277" s="110"/>
      <c r="AY277" s="95">
        <v>0</v>
      </c>
      <c r="AZ277" s="95"/>
      <c r="BA277" s="95"/>
      <c r="BB277" s="95"/>
      <c r="BC277" s="95"/>
      <c r="BD277" s="110">
        <f>IF(ISNUMBER(AO277),AO277,0)+IF(ISNUMBER(AT277),AT277,0)</f>
        <v>0</v>
      </c>
      <c r="BE277" s="110"/>
      <c r="BF277" s="110"/>
      <c r="BG277" s="110"/>
      <c r="BH277" s="110"/>
    </row>
    <row r="278" spans="1:60" s="99" customFormat="1" ht="12.75" customHeight="1" x14ac:dyDescent="0.2">
      <c r="A278" s="89">
        <v>70</v>
      </c>
      <c r="B278" s="90"/>
      <c r="C278" s="90"/>
      <c r="D278" s="92" t="s">
        <v>258</v>
      </c>
      <c r="E278" s="93"/>
      <c r="F278" s="93"/>
      <c r="G278" s="93"/>
      <c r="H278" s="93"/>
      <c r="I278" s="93"/>
      <c r="J278" s="93"/>
      <c r="K278" s="93"/>
      <c r="L278" s="93"/>
      <c r="M278" s="93"/>
      <c r="N278" s="93"/>
      <c r="O278" s="93"/>
      <c r="P278" s="93"/>
      <c r="Q278" s="93"/>
      <c r="R278" s="93"/>
      <c r="S278" s="93"/>
      <c r="T278" s="94"/>
      <c r="U278" s="96">
        <v>0</v>
      </c>
      <c r="V278" s="97"/>
      <c r="W278" s="97"/>
      <c r="X278" s="97"/>
      <c r="Y278" s="98"/>
      <c r="Z278" s="96">
        <v>0</v>
      </c>
      <c r="AA278" s="97"/>
      <c r="AB278" s="97"/>
      <c r="AC278" s="97"/>
      <c r="AD278" s="98"/>
      <c r="AE278" s="95">
        <v>0</v>
      </c>
      <c r="AF278" s="95"/>
      <c r="AG278" s="95"/>
      <c r="AH278" s="95"/>
      <c r="AI278" s="95"/>
      <c r="AJ278" s="110">
        <f>IF(ISNUMBER(U278),U278,0)+IF(ISNUMBER(Z278),Z278,0)</f>
        <v>0</v>
      </c>
      <c r="AK278" s="110"/>
      <c r="AL278" s="110"/>
      <c r="AM278" s="110"/>
      <c r="AN278" s="110"/>
      <c r="AO278" s="95">
        <v>0</v>
      </c>
      <c r="AP278" s="95"/>
      <c r="AQ278" s="95"/>
      <c r="AR278" s="95"/>
      <c r="AS278" s="95"/>
      <c r="AT278" s="110">
        <v>0</v>
      </c>
      <c r="AU278" s="110"/>
      <c r="AV278" s="110"/>
      <c r="AW278" s="110"/>
      <c r="AX278" s="110"/>
      <c r="AY278" s="95">
        <v>0</v>
      </c>
      <c r="AZ278" s="95"/>
      <c r="BA278" s="95"/>
      <c r="BB278" s="95"/>
      <c r="BC278" s="95"/>
      <c r="BD278" s="110">
        <f>IF(ISNUMBER(AO278),AO278,0)+IF(ISNUMBER(AT278),AT278,0)</f>
        <v>0</v>
      </c>
      <c r="BE278" s="110"/>
      <c r="BF278" s="110"/>
      <c r="BG278" s="110"/>
      <c r="BH278" s="110"/>
    </row>
    <row r="279" spans="1:60" s="99" customFormat="1" ht="12.75" customHeight="1" x14ac:dyDescent="0.2">
      <c r="A279" s="89">
        <v>71</v>
      </c>
      <c r="B279" s="90"/>
      <c r="C279" s="90"/>
      <c r="D279" s="92" t="s">
        <v>259</v>
      </c>
      <c r="E279" s="93"/>
      <c r="F279" s="93"/>
      <c r="G279" s="93"/>
      <c r="H279" s="93"/>
      <c r="I279" s="93"/>
      <c r="J279" s="93"/>
      <c r="K279" s="93"/>
      <c r="L279" s="93"/>
      <c r="M279" s="93"/>
      <c r="N279" s="93"/>
      <c r="O279" s="93"/>
      <c r="P279" s="93"/>
      <c r="Q279" s="93"/>
      <c r="R279" s="93"/>
      <c r="S279" s="93"/>
      <c r="T279" s="94"/>
      <c r="U279" s="96">
        <v>3210</v>
      </c>
      <c r="V279" s="97"/>
      <c r="W279" s="97"/>
      <c r="X279" s="97"/>
      <c r="Y279" s="98"/>
      <c r="Z279" s="96">
        <v>0</v>
      </c>
      <c r="AA279" s="97"/>
      <c r="AB279" s="97"/>
      <c r="AC279" s="97"/>
      <c r="AD279" s="98"/>
      <c r="AE279" s="95">
        <v>0</v>
      </c>
      <c r="AF279" s="95"/>
      <c r="AG279" s="95"/>
      <c r="AH279" s="95"/>
      <c r="AI279" s="95"/>
      <c r="AJ279" s="110">
        <f>IF(ISNUMBER(U279),U279,0)+IF(ISNUMBER(Z279),Z279,0)</f>
        <v>3210</v>
      </c>
      <c r="AK279" s="110"/>
      <c r="AL279" s="110"/>
      <c r="AM279" s="110"/>
      <c r="AN279" s="110"/>
      <c r="AO279" s="95">
        <v>3396</v>
      </c>
      <c r="AP279" s="95"/>
      <c r="AQ279" s="95"/>
      <c r="AR279" s="95"/>
      <c r="AS279" s="95"/>
      <c r="AT279" s="110">
        <v>0</v>
      </c>
      <c r="AU279" s="110"/>
      <c r="AV279" s="110"/>
      <c r="AW279" s="110"/>
      <c r="AX279" s="110"/>
      <c r="AY279" s="95">
        <v>0</v>
      </c>
      <c r="AZ279" s="95"/>
      <c r="BA279" s="95"/>
      <c r="BB279" s="95"/>
      <c r="BC279" s="95"/>
      <c r="BD279" s="110">
        <f>IF(ISNUMBER(AO279),AO279,0)+IF(ISNUMBER(AT279),AT279,0)</f>
        <v>3396</v>
      </c>
      <c r="BE279" s="110"/>
      <c r="BF279" s="110"/>
      <c r="BG279" s="110"/>
      <c r="BH279" s="110"/>
    </row>
    <row r="280" spans="1:60" s="99" customFormat="1" ht="25.5" customHeight="1" x14ac:dyDescent="0.2">
      <c r="A280" s="89">
        <v>72</v>
      </c>
      <c r="B280" s="90"/>
      <c r="C280" s="90"/>
      <c r="D280" s="92" t="s">
        <v>260</v>
      </c>
      <c r="E280" s="93"/>
      <c r="F280" s="93"/>
      <c r="G280" s="93"/>
      <c r="H280" s="93"/>
      <c r="I280" s="93"/>
      <c r="J280" s="93"/>
      <c r="K280" s="93"/>
      <c r="L280" s="93"/>
      <c r="M280" s="93"/>
      <c r="N280" s="93"/>
      <c r="O280" s="93"/>
      <c r="P280" s="93"/>
      <c r="Q280" s="93"/>
      <c r="R280" s="93"/>
      <c r="S280" s="93"/>
      <c r="T280" s="94"/>
      <c r="U280" s="96">
        <v>29960</v>
      </c>
      <c r="V280" s="97"/>
      <c r="W280" s="97"/>
      <c r="X280" s="97"/>
      <c r="Y280" s="98"/>
      <c r="Z280" s="96">
        <v>0</v>
      </c>
      <c r="AA280" s="97"/>
      <c r="AB280" s="97"/>
      <c r="AC280" s="97"/>
      <c r="AD280" s="98"/>
      <c r="AE280" s="95">
        <v>0</v>
      </c>
      <c r="AF280" s="95"/>
      <c r="AG280" s="95"/>
      <c r="AH280" s="95"/>
      <c r="AI280" s="95"/>
      <c r="AJ280" s="110">
        <f>IF(ISNUMBER(U280),U280,0)+IF(ISNUMBER(Z280),Z280,0)</f>
        <v>29960</v>
      </c>
      <c r="AK280" s="110"/>
      <c r="AL280" s="110"/>
      <c r="AM280" s="110"/>
      <c r="AN280" s="110"/>
      <c r="AO280" s="95">
        <v>31698</v>
      </c>
      <c r="AP280" s="95"/>
      <c r="AQ280" s="95"/>
      <c r="AR280" s="95"/>
      <c r="AS280" s="95"/>
      <c r="AT280" s="110">
        <v>0</v>
      </c>
      <c r="AU280" s="110"/>
      <c r="AV280" s="110"/>
      <c r="AW280" s="110"/>
      <c r="AX280" s="110"/>
      <c r="AY280" s="95">
        <v>0</v>
      </c>
      <c r="AZ280" s="95"/>
      <c r="BA280" s="95"/>
      <c r="BB280" s="95"/>
      <c r="BC280" s="95"/>
      <c r="BD280" s="110">
        <f>IF(ISNUMBER(AO280),AO280,0)+IF(ISNUMBER(AT280),AT280,0)</f>
        <v>31698</v>
      </c>
      <c r="BE280" s="110"/>
      <c r="BF280" s="110"/>
      <c r="BG280" s="110"/>
      <c r="BH280" s="110"/>
    </row>
    <row r="281" spans="1:60" s="99" customFormat="1" ht="25.5" customHeight="1" x14ac:dyDescent="0.2">
      <c r="A281" s="89">
        <v>73</v>
      </c>
      <c r="B281" s="90"/>
      <c r="C281" s="90"/>
      <c r="D281" s="92" t="s">
        <v>261</v>
      </c>
      <c r="E281" s="93"/>
      <c r="F281" s="93"/>
      <c r="G281" s="93"/>
      <c r="H281" s="93"/>
      <c r="I281" s="93"/>
      <c r="J281" s="93"/>
      <c r="K281" s="93"/>
      <c r="L281" s="93"/>
      <c r="M281" s="93"/>
      <c r="N281" s="93"/>
      <c r="O281" s="93"/>
      <c r="P281" s="93"/>
      <c r="Q281" s="93"/>
      <c r="R281" s="93"/>
      <c r="S281" s="93"/>
      <c r="T281" s="94"/>
      <c r="U281" s="96">
        <v>83995</v>
      </c>
      <c r="V281" s="97"/>
      <c r="W281" s="97"/>
      <c r="X281" s="97"/>
      <c r="Y281" s="98"/>
      <c r="Z281" s="96">
        <v>0</v>
      </c>
      <c r="AA281" s="97"/>
      <c r="AB281" s="97"/>
      <c r="AC281" s="97"/>
      <c r="AD281" s="98"/>
      <c r="AE281" s="95">
        <v>0</v>
      </c>
      <c r="AF281" s="95"/>
      <c r="AG281" s="95"/>
      <c r="AH281" s="95"/>
      <c r="AI281" s="95"/>
      <c r="AJ281" s="110">
        <f>IF(ISNUMBER(U281),U281,0)+IF(ISNUMBER(Z281),Z281,0)</f>
        <v>83995</v>
      </c>
      <c r="AK281" s="110"/>
      <c r="AL281" s="110"/>
      <c r="AM281" s="110"/>
      <c r="AN281" s="110"/>
      <c r="AO281" s="95">
        <v>88867</v>
      </c>
      <c r="AP281" s="95"/>
      <c r="AQ281" s="95"/>
      <c r="AR281" s="95"/>
      <c r="AS281" s="95"/>
      <c r="AT281" s="110">
        <v>0</v>
      </c>
      <c r="AU281" s="110"/>
      <c r="AV281" s="110"/>
      <c r="AW281" s="110"/>
      <c r="AX281" s="110"/>
      <c r="AY281" s="95">
        <v>0</v>
      </c>
      <c r="AZ281" s="95"/>
      <c r="BA281" s="95"/>
      <c r="BB281" s="95"/>
      <c r="BC281" s="95"/>
      <c r="BD281" s="110">
        <f>IF(ISNUMBER(AO281),AO281,0)+IF(ISNUMBER(AT281),AT281,0)</f>
        <v>88867</v>
      </c>
      <c r="BE281" s="110"/>
      <c r="BF281" s="110"/>
      <c r="BG281" s="110"/>
      <c r="BH281" s="110"/>
    </row>
    <row r="282" spans="1:60" s="99" customFormat="1" ht="25.5" customHeight="1" x14ac:dyDescent="0.2">
      <c r="A282" s="89">
        <v>74</v>
      </c>
      <c r="B282" s="90"/>
      <c r="C282" s="90"/>
      <c r="D282" s="92" t="s">
        <v>262</v>
      </c>
      <c r="E282" s="93"/>
      <c r="F282" s="93"/>
      <c r="G282" s="93"/>
      <c r="H282" s="93"/>
      <c r="I282" s="93"/>
      <c r="J282" s="93"/>
      <c r="K282" s="93"/>
      <c r="L282" s="93"/>
      <c r="M282" s="93"/>
      <c r="N282" s="93"/>
      <c r="O282" s="93"/>
      <c r="P282" s="93"/>
      <c r="Q282" s="93"/>
      <c r="R282" s="93"/>
      <c r="S282" s="93"/>
      <c r="T282" s="94"/>
      <c r="U282" s="96">
        <v>58910</v>
      </c>
      <c r="V282" s="97"/>
      <c r="W282" s="97"/>
      <c r="X282" s="97"/>
      <c r="Y282" s="98"/>
      <c r="Z282" s="96">
        <v>0</v>
      </c>
      <c r="AA282" s="97"/>
      <c r="AB282" s="97"/>
      <c r="AC282" s="97"/>
      <c r="AD282" s="98"/>
      <c r="AE282" s="95">
        <v>0</v>
      </c>
      <c r="AF282" s="95"/>
      <c r="AG282" s="95"/>
      <c r="AH282" s="95"/>
      <c r="AI282" s="95"/>
      <c r="AJ282" s="110">
        <f>IF(ISNUMBER(U282),U282,0)+IF(ISNUMBER(Z282),Z282,0)</f>
        <v>58910</v>
      </c>
      <c r="AK282" s="110"/>
      <c r="AL282" s="110"/>
      <c r="AM282" s="110"/>
      <c r="AN282" s="110"/>
      <c r="AO282" s="95">
        <v>62327</v>
      </c>
      <c r="AP282" s="95"/>
      <c r="AQ282" s="95"/>
      <c r="AR282" s="95"/>
      <c r="AS282" s="95"/>
      <c r="AT282" s="110">
        <v>0</v>
      </c>
      <c r="AU282" s="110"/>
      <c r="AV282" s="110"/>
      <c r="AW282" s="110"/>
      <c r="AX282" s="110"/>
      <c r="AY282" s="95">
        <v>0</v>
      </c>
      <c r="AZ282" s="95"/>
      <c r="BA282" s="95"/>
      <c r="BB282" s="95"/>
      <c r="BC282" s="95"/>
      <c r="BD282" s="110">
        <f>IF(ISNUMBER(AO282),AO282,0)+IF(ISNUMBER(AT282),AT282,0)</f>
        <v>62327</v>
      </c>
      <c r="BE282" s="110"/>
      <c r="BF282" s="110"/>
      <c r="BG282" s="110"/>
      <c r="BH282" s="110"/>
    </row>
    <row r="283" spans="1:60" s="99" customFormat="1" ht="25.5" customHeight="1" x14ac:dyDescent="0.2">
      <c r="A283" s="89">
        <v>75</v>
      </c>
      <c r="B283" s="90"/>
      <c r="C283" s="90"/>
      <c r="D283" s="92" t="s">
        <v>263</v>
      </c>
      <c r="E283" s="93"/>
      <c r="F283" s="93"/>
      <c r="G283" s="93"/>
      <c r="H283" s="93"/>
      <c r="I283" s="93"/>
      <c r="J283" s="93"/>
      <c r="K283" s="93"/>
      <c r="L283" s="93"/>
      <c r="M283" s="93"/>
      <c r="N283" s="93"/>
      <c r="O283" s="93"/>
      <c r="P283" s="93"/>
      <c r="Q283" s="93"/>
      <c r="R283" s="93"/>
      <c r="S283" s="93"/>
      <c r="T283" s="94"/>
      <c r="U283" s="96">
        <v>301740</v>
      </c>
      <c r="V283" s="97"/>
      <c r="W283" s="97"/>
      <c r="X283" s="97"/>
      <c r="Y283" s="98"/>
      <c r="Z283" s="96">
        <v>0</v>
      </c>
      <c r="AA283" s="97"/>
      <c r="AB283" s="97"/>
      <c r="AC283" s="97"/>
      <c r="AD283" s="98"/>
      <c r="AE283" s="95">
        <v>0</v>
      </c>
      <c r="AF283" s="95"/>
      <c r="AG283" s="95"/>
      <c r="AH283" s="95"/>
      <c r="AI283" s="95"/>
      <c r="AJ283" s="110">
        <f>IF(ISNUMBER(U283),U283,0)+IF(ISNUMBER(Z283),Z283,0)</f>
        <v>301740</v>
      </c>
      <c r="AK283" s="110"/>
      <c r="AL283" s="110"/>
      <c r="AM283" s="110"/>
      <c r="AN283" s="110"/>
      <c r="AO283" s="95">
        <v>319241</v>
      </c>
      <c r="AP283" s="95"/>
      <c r="AQ283" s="95"/>
      <c r="AR283" s="95"/>
      <c r="AS283" s="95"/>
      <c r="AT283" s="110">
        <v>0</v>
      </c>
      <c r="AU283" s="110"/>
      <c r="AV283" s="110"/>
      <c r="AW283" s="110"/>
      <c r="AX283" s="110"/>
      <c r="AY283" s="95">
        <v>0</v>
      </c>
      <c r="AZ283" s="95"/>
      <c r="BA283" s="95"/>
      <c r="BB283" s="95"/>
      <c r="BC283" s="95"/>
      <c r="BD283" s="110">
        <f>IF(ISNUMBER(AO283),AO283,0)+IF(ISNUMBER(AT283),AT283,0)</f>
        <v>319241</v>
      </c>
      <c r="BE283" s="110"/>
      <c r="BF283" s="110"/>
      <c r="BG283" s="110"/>
      <c r="BH283" s="110"/>
    </row>
    <row r="284" spans="1:60" s="99" customFormat="1" ht="25.5" customHeight="1" x14ac:dyDescent="0.2">
      <c r="A284" s="89">
        <v>76</v>
      </c>
      <c r="B284" s="90"/>
      <c r="C284" s="90"/>
      <c r="D284" s="92" t="s">
        <v>264</v>
      </c>
      <c r="E284" s="93"/>
      <c r="F284" s="93"/>
      <c r="G284" s="93"/>
      <c r="H284" s="93"/>
      <c r="I284" s="93"/>
      <c r="J284" s="93"/>
      <c r="K284" s="93"/>
      <c r="L284" s="93"/>
      <c r="M284" s="93"/>
      <c r="N284" s="93"/>
      <c r="O284" s="93"/>
      <c r="P284" s="93"/>
      <c r="Q284" s="93"/>
      <c r="R284" s="93"/>
      <c r="S284" s="93"/>
      <c r="T284" s="94"/>
      <c r="U284" s="96">
        <v>0</v>
      </c>
      <c r="V284" s="97"/>
      <c r="W284" s="97"/>
      <c r="X284" s="97"/>
      <c r="Y284" s="98"/>
      <c r="Z284" s="96">
        <v>0</v>
      </c>
      <c r="AA284" s="97"/>
      <c r="AB284" s="97"/>
      <c r="AC284" s="97"/>
      <c r="AD284" s="98"/>
      <c r="AE284" s="95">
        <v>0</v>
      </c>
      <c r="AF284" s="95"/>
      <c r="AG284" s="95"/>
      <c r="AH284" s="95"/>
      <c r="AI284" s="95"/>
      <c r="AJ284" s="110">
        <f>IF(ISNUMBER(U284),U284,0)+IF(ISNUMBER(Z284),Z284,0)</f>
        <v>0</v>
      </c>
      <c r="AK284" s="110"/>
      <c r="AL284" s="110"/>
      <c r="AM284" s="110"/>
      <c r="AN284" s="110"/>
      <c r="AO284" s="95">
        <v>0</v>
      </c>
      <c r="AP284" s="95"/>
      <c r="AQ284" s="95"/>
      <c r="AR284" s="95"/>
      <c r="AS284" s="95"/>
      <c r="AT284" s="110">
        <v>0</v>
      </c>
      <c r="AU284" s="110"/>
      <c r="AV284" s="110"/>
      <c r="AW284" s="110"/>
      <c r="AX284" s="110"/>
      <c r="AY284" s="95">
        <v>0</v>
      </c>
      <c r="AZ284" s="95"/>
      <c r="BA284" s="95"/>
      <c r="BB284" s="95"/>
      <c r="BC284" s="95"/>
      <c r="BD284" s="110">
        <f>IF(ISNUMBER(AO284),AO284,0)+IF(ISNUMBER(AT284),AT284,0)</f>
        <v>0</v>
      </c>
      <c r="BE284" s="110"/>
      <c r="BF284" s="110"/>
      <c r="BG284" s="110"/>
      <c r="BH284" s="110"/>
    </row>
    <row r="285" spans="1:60" s="99" customFormat="1" ht="12.75" customHeight="1" x14ac:dyDescent="0.2">
      <c r="A285" s="89">
        <v>77</v>
      </c>
      <c r="B285" s="90"/>
      <c r="C285" s="90"/>
      <c r="D285" s="92" t="s">
        <v>265</v>
      </c>
      <c r="E285" s="93"/>
      <c r="F285" s="93"/>
      <c r="G285" s="93"/>
      <c r="H285" s="93"/>
      <c r="I285" s="93"/>
      <c r="J285" s="93"/>
      <c r="K285" s="93"/>
      <c r="L285" s="93"/>
      <c r="M285" s="93"/>
      <c r="N285" s="93"/>
      <c r="O285" s="93"/>
      <c r="P285" s="93"/>
      <c r="Q285" s="93"/>
      <c r="R285" s="93"/>
      <c r="S285" s="93"/>
      <c r="T285" s="94"/>
      <c r="U285" s="96">
        <v>0</v>
      </c>
      <c r="V285" s="97"/>
      <c r="W285" s="97"/>
      <c r="X285" s="97"/>
      <c r="Y285" s="98"/>
      <c r="Z285" s="96">
        <v>0</v>
      </c>
      <c r="AA285" s="97"/>
      <c r="AB285" s="97"/>
      <c r="AC285" s="97"/>
      <c r="AD285" s="98"/>
      <c r="AE285" s="95">
        <v>0</v>
      </c>
      <c r="AF285" s="95"/>
      <c r="AG285" s="95"/>
      <c r="AH285" s="95"/>
      <c r="AI285" s="95"/>
      <c r="AJ285" s="110">
        <f>IF(ISNUMBER(U285),U285,0)+IF(ISNUMBER(Z285),Z285,0)</f>
        <v>0</v>
      </c>
      <c r="AK285" s="110"/>
      <c r="AL285" s="110"/>
      <c r="AM285" s="110"/>
      <c r="AN285" s="110"/>
      <c r="AO285" s="95">
        <v>0</v>
      </c>
      <c r="AP285" s="95"/>
      <c r="AQ285" s="95"/>
      <c r="AR285" s="95"/>
      <c r="AS285" s="95"/>
      <c r="AT285" s="110">
        <v>0</v>
      </c>
      <c r="AU285" s="110"/>
      <c r="AV285" s="110"/>
      <c r="AW285" s="110"/>
      <c r="AX285" s="110"/>
      <c r="AY285" s="95">
        <v>0</v>
      </c>
      <c r="AZ285" s="95"/>
      <c r="BA285" s="95"/>
      <c r="BB285" s="95"/>
      <c r="BC285" s="95"/>
      <c r="BD285" s="110">
        <f>IF(ISNUMBER(AO285),AO285,0)+IF(ISNUMBER(AT285),AT285,0)</f>
        <v>0</v>
      </c>
      <c r="BE285" s="110"/>
      <c r="BF285" s="110"/>
      <c r="BG285" s="110"/>
      <c r="BH285" s="110"/>
    </row>
    <row r="286" spans="1:60" s="99" customFormat="1" ht="25.5" customHeight="1" x14ac:dyDescent="0.2">
      <c r="A286" s="89">
        <v>78</v>
      </c>
      <c r="B286" s="90"/>
      <c r="C286" s="90"/>
      <c r="D286" s="92" t="s">
        <v>266</v>
      </c>
      <c r="E286" s="93"/>
      <c r="F286" s="93"/>
      <c r="G286" s="93"/>
      <c r="H286" s="93"/>
      <c r="I286" s="93"/>
      <c r="J286" s="93"/>
      <c r="K286" s="93"/>
      <c r="L286" s="93"/>
      <c r="M286" s="93"/>
      <c r="N286" s="93"/>
      <c r="O286" s="93"/>
      <c r="P286" s="93"/>
      <c r="Q286" s="93"/>
      <c r="R286" s="93"/>
      <c r="S286" s="93"/>
      <c r="T286" s="94"/>
      <c r="U286" s="96">
        <v>0</v>
      </c>
      <c r="V286" s="97"/>
      <c r="W286" s="97"/>
      <c r="X286" s="97"/>
      <c r="Y286" s="98"/>
      <c r="Z286" s="96">
        <v>0</v>
      </c>
      <c r="AA286" s="97"/>
      <c r="AB286" s="97"/>
      <c r="AC286" s="97"/>
      <c r="AD286" s="98"/>
      <c r="AE286" s="95">
        <v>0</v>
      </c>
      <c r="AF286" s="95"/>
      <c r="AG286" s="95"/>
      <c r="AH286" s="95"/>
      <c r="AI286" s="95"/>
      <c r="AJ286" s="110">
        <f>IF(ISNUMBER(U286),U286,0)+IF(ISNUMBER(Z286),Z286,0)</f>
        <v>0</v>
      </c>
      <c r="AK286" s="110"/>
      <c r="AL286" s="110"/>
      <c r="AM286" s="110"/>
      <c r="AN286" s="110"/>
      <c r="AO286" s="95">
        <v>0</v>
      </c>
      <c r="AP286" s="95"/>
      <c r="AQ286" s="95"/>
      <c r="AR286" s="95"/>
      <c r="AS286" s="95"/>
      <c r="AT286" s="110">
        <v>0</v>
      </c>
      <c r="AU286" s="110"/>
      <c r="AV286" s="110"/>
      <c r="AW286" s="110"/>
      <c r="AX286" s="110"/>
      <c r="AY286" s="95">
        <v>0</v>
      </c>
      <c r="AZ286" s="95"/>
      <c r="BA286" s="95"/>
      <c r="BB286" s="95"/>
      <c r="BC286" s="95"/>
      <c r="BD286" s="110">
        <f>IF(ISNUMBER(AO286),AO286,0)+IF(ISNUMBER(AT286),AT286,0)</f>
        <v>0</v>
      </c>
      <c r="BE286" s="110"/>
      <c r="BF286" s="110"/>
      <c r="BG286" s="110"/>
      <c r="BH286" s="110"/>
    </row>
    <row r="287" spans="1:60" s="99" customFormat="1" ht="12.75" customHeight="1" x14ac:dyDescent="0.2">
      <c r="A287" s="89">
        <v>79</v>
      </c>
      <c r="B287" s="90"/>
      <c r="C287" s="90"/>
      <c r="D287" s="92" t="s">
        <v>267</v>
      </c>
      <c r="E287" s="93"/>
      <c r="F287" s="93"/>
      <c r="G287" s="93"/>
      <c r="H287" s="93"/>
      <c r="I287" s="93"/>
      <c r="J287" s="93"/>
      <c r="K287" s="93"/>
      <c r="L287" s="93"/>
      <c r="M287" s="93"/>
      <c r="N287" s="93"/>
      <c r="O287" s="93"/>
      <c r="P287" s="93"/>
      <c r="Q287" s="93"/>
      <c r="R287" s="93"/>
      <c r="S287" s="93"/>
      <c r="T287" s="94"/>
      <c r="U287" s="96">
        <v>0</v>
      </c>
      <c r="V287" s="97"/>
      <c r="W287" s="97"/>
      <c r="X287" s="97"/>
      <c r="Y287" s="98"/>
      <c r="Z287" s="96">
        <v>0</v>
      </c>
      <c r="AA287" s="97"/>
      <c r="AB287" s="97"/>
      <c r="AC287" s="97"/>
      <c r="AD287" s="98"/>
      <c r="AE287" s="95">
        <v>0</v>
      </c>
      <c r="AF287" s="95"/>
      <c r="AG287" s="95"/>
      <c r="AH287" s="95"/>
      <c r="AI287" s="95"/>
      <c r="AJ287" s="110">
        <f>IF(ISNUMBER(U287),U287,0)+IF(ISNUMBER(Z287),Z287,0)</f>
        <v>0</v>
      </c>
      <c r="AK287" s="110"/>
      <c r="AL287" s="110"/>
      <c r="AM287" s="110"/>
      <c r="AN287" s="110"/>
      <c r="AO287" s="95">
        <v>0</v>
      </c>
      <c r="AP287" s="95"/>
      <c r="AQ287" s="95"/>
      <c r="AR287" s="95"/>
      <c r="AS287" s="95"/>
      <c r="AT287" s="110">
        <v>0</v>
      </c>
      <c r="AU287" s="110"/>
      <c r="AV287" s="110"/>
      <c r="AW287" s="110"/>
      <c r="AX287" s="110"/>
      <c r="AY287" s="95">
        <v>0</v>
      </c>
      <c r="AZ287" s="95"/>
      <c r="BA287" s="95"/>
      <c r="BB287" s="95"/>
      <c r="BC287" s="95"/>
      <c r="BD287" s="110">
        <f>IF(ISNUMBER(AO287),AO287,0)+IF(ISNUMBER(AT287),AT287,0)</f>
        <v>0</v>
      </c>
      <c r="BE287" s="110"/>
      <c r="BF287" s="110"/>
      <c r="BG287" s="110"/>
      <c r="BH287" s="110"/>
    </row>
    <row r="288" spans="1:60" s="6" customFormat="1" ht="12.75" customHeight="1" x14ac:dyDescent="0.2">
      <c r="A288" s="86"/>
      <c r="B288" s="87"/>
      <c r="C288" s="87"/>
      <c r="D288" s="100" t="s">
        <v>147</v>
      </c>
      <c r="E288" s="101"/>
      <c r="F288" s="101"/>
      <c r="G288" s="101"/>
      <c r="H288" s="101"/>
      <c r="I288" s="101"/>
      <c r="J288" s="101"/>
      <c r="K288" s="101"/>
      <c r="L288" s="101"/>
      <c r="M288" s="101"/>
      <c r="N288" s="101"/>
      <c r="O288" s="101"/>
      <c r="P288" s="101"/>
      <c r="Q288" s="101"/>
      <c r="R288" s="101"/>
      <c r="S288" s="101"/>
      <c r="T288" s="102"/>
      <c r="U288" s="104">
        <v>23318456</v>
      </c>
      <c r="V288" s="105"/>
      <c r="W288" s="105"/>
      <c r="X288" s="105"/>
      <c r="Y288" s="106"/>
      <c r="Z288" s="104">
        <v>0</v>
      </c>
      <c r="AA288" s="105"/>
      <c r="AB288" s="105"/>
      <c r="AC288" s="105"/>
      <c r="AD288" s="106"/>
      <c r="AE288" s="103">
        <v>0</v>
      </c>
      <c r="AF288" s="103"/>
      <c r="AG288" s="103"/>
      <c r="AH288" s="103"/>
      <c r="AI288" s="103"/>
      <c r="AJ288" s="85">
        <f>IF(ISNUMBER(U288),U288,0)+IF(ISNUMBER(Z288),Z288,0)</f>
        <v>23318456</v>
      </c>
      <c r="AK288" s="85"/>
      <c r="AL288" s="85"/>
      <c r="AM288" s="85"/>
      <c r="AN288" s="85"/>
      <c r="AO288" s="103">
        <v>24901125</v>
      </c>
      <c r="AP288" s="103"/>
      <c r="AQ288" s="103"/>
      <c r="AR288" s="103"/>
      <c r="AS288" s="103"/>
      <c r="AT288" s="85">
        <v>0</v>
      </c>
      <c r="AU288" s="85"/>
      <c r="AV288" s="85"/>
      <c r="AW288" s="85"/>
      <c r="AX288" s="85"/>
      <c r="AY288" s="103">
        <v>0</v>
      </c>
      <c r="AZ288" s="103"/>
      <c r="BA288" s="103"/>
      <c r="BB288" s="103"/>
      <c r="BC288" s="103"/>
      <c r="BD288" s="85">
        <f>IF(ISNUMBER(AO288),AO288,0)+IF(ISNUMBER(AT288),AT288,0)</f>
        <v>24901125</v>
      </c>
      <c r="BE288" s="85"/>
      <c r="BF288" s="85"/>
      <c r="BG288" s="85"/>
      <c r="BH288" s="85"/>
    </row>
    <row r="289" spans="1:79" s="5" customFormat="1" ht="12.75" customHeight="1" x14ac:dyDescent="0.2">
      <c r="A289" s="17"/>
      <c r="B289" s="17"/>
      <c r="C289" s="17"/>
      <c r="D289" s="17"/>
      <c r="E289" s="17"/>
      <c r="F289" s="17"/>
      <c r="G289" s="17"/>
      <c r="H289" s="17"/>
      <c r="I289" s="17"/>
      <c r="J289" s="17"/>
      <c r="K289" s="17"/>
      <c r="L289" s="17"/>
      <c r="M289" s="17"/>
      <c r="N289" s="17"/>
      <c r="O289" s="17"/>
      <c r="P289" s="17"/>
      <c r="Q289" s="17"/>
      <c r="R289" s="17"/>
      <c r="S289" s="17"/>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row>
    <row r="291" spans="1:79" ht="14.25" customHeight="1" x14ac:dyDescent="0.2">
      <c r="A291" s="29" t="s">
        <v>152</v>
      </c>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c r="AA291" s="29"/>
      <c r="AB291" s="29"/>
      <c r="AC291" s="29"/>
      <c r="AD291" s="29"/>
      <c r="AE291" s="29"/>
      <c r="AF291" s="29"/>
      <c r="AG291" s="29"/>
      <c r="AH291" s="29"/>
      <c r="AI291" s="29"/>
      <c r="AJ291" s="29"/>
      <c r="AK291" s="29"/>
      <c r="AL291" s="29"/>
      <c r="AM291" s="29"/>
      <c r="AN291" s="29"/>
      <c r="AO291" s="29"/>
      <c r="AP291" s="29"/>
      <c r="AQ291" s="29"/>
      <c r="AR291" s="29"/>
      <c r="AS291" s="29"/>
      <c r="AT291" s="29"/>
      <c r="AU291" s="29"/>
      <c r="AV291" s="29"/>
      <c r="AW291" s="29"/>
      <c r="AX291" s="29"/>
      <c r="AY291" s="29"/>
      <c r="AZ291" s="29"/>
      <c r="BA291" s="29"/>
      <c r="BB291" s="29"/>
      <c r="BC291" s="29"/>
      <c r="BD291" s="29"/>
      <c r="BE291" s="29"/>
      <c r="BF291" s="29"/>
      <c r="BG291" s="29"/>
      <c r="BH291" s="29"/>
      <c r="BI291" s="29"/>
      <c r="BJ291" s="29"/>
      <c r="BK291" s="29"/>
      <c r="BL291" s="29"/>
    </row>
    <row r="292" spans="1:79" ht="14.25" customHeight="1" x14ac:dyDescent="0.2">
      <c r="A292" s="29" t="s">
        <v>334</v>
      </c>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c r="AA292" s="29"/>
      <c r="AB292" s="29"/>
      <c r="AC292" s="29"/>
      <c r="AD292" s="29"/>
      <c r="AE292" s="29"/>
      <c r="AF292" s="29"/>
      <c r="AG292" s="29"/>
      <c r="AH292" s="29"/>
      <c r="AI292" s="29"/>
      <c r="AJ292" s="29"/>
      <c r="AK292" s="29"/>
      <c r="AL292" s="29"/>
      <c r="AM292" s="29"/>
      <c r="AN292" s="29"/>
      <c r="AO292" s="29"/>
      <c r="AP292" s="29"/>
      <c r="AQ292" s="29"/>
      <c r="AR292" s="29"/>
      <c r="AS292" s="29"/>
      <c r="AT292" s="29"/>
      <c r="AU292" s="29"/>
      <c r="AV292" s="29"/>
      <c r="AW292" s="29"/>
      <c r="AX292" s="29"/>
      <c r="AY292" s="29"/>
      <c r="AZ292" s="29"/>
      <c r="BA292" s="29"/>
      <c r="BB292" s="29"/>
      <c r="BC292" s="29"/>
      <c r="BD292" s="29"/>
      <c r="BE292" s="29"/>
      <c r="BF292" s="29"/>
      <c r="BG292" s="29"/>
      <c r="BH292" s="29"/>
      <c r="BI292" s="29"/>
      <c r="BJ292" s="29"/>
      <c r="BK292" s="29"/>
      <c r="BL292" s="29"/>
    </row>
    <row r="293" spans="1:79" ht="23.1" customHeight="1" x14ac:dyDescent="0.2">
      <c r="A293" s="51" t="s">
        <v>6</v>
      </c>
      <c r="B293" s="52"/>
      <c r="C293" s="52"/>
      <c r="D293" s="27" t="s">
        <v>9</v>
      </c>
      <c r="E293" s="27"/>
      <c r="F293" s="27"/>
      <c r="G293" s="27"/>
      <c r="H293" s="27"/>
      <c r="I293" s="27"/>
      <c r="J293" s="27"/>
      <c r="K293" s="27"/>
      <c r="L293" s="27"/>
      <c r="M293" s="27"/>
      <c r="N293" s="27"/>
      <c r="O293" s="27"/>
      <c r="P293" s="27"/>
      <c r="Q293" s="27" t="s">
        <v>8</v>
      </c>
      <c r="R293" s="27"/>
      <c r="S293" s="27"/>
      <c r="T293" s="27"/>
      <c r="U293" s="27"/>
      <c r="V293" s="27" t="s">
        <v>7</v>
      </c>
      <c r="W293" s="27"/>
      <c r="X293" s="27"/>
      <c r="Y293" s="27"/>
      <c r="Z293" s="27"/>
      <c r="AA293" s="27"/>
      <c r="AB293" s="27"/>
      <c r="AC293" s="27"/>
      <c r="AD293" s="27"/>
      <c r="AE293" s="27"/>
      <c r="AF293" s="36" t="s">
        <v>319</v>
      </c>
      <c r="AG293" s="37"/>
      <c r="AH293" s="37"/>
      <c r="AI293" s="37"/>
      <c r="AJ293" s="37"/>
      <c r="AK293" s="37"/>
      <c r="AL293" s="37"/>
      <c r="AM293" s="37"/>
      <c r="AN293" s="37"/>
      <c r="AO293" s="37"/>
      <c r="AP293" s="37"/>
      <c r="AQ293" s="37"/>
      <c r="AR293" s="37"/>
      <c r="AS293" s="37"/>
      <c r="AT293" s="38"/>
      <c r="AU293" s="36" t="s">
        <v>322</v>
      </c>
      <c r="AV293" s="37"/>
      <c r="AW293" s="37"/>
      <c r="AX293" s="37"/>
      <c r="AY293" s="37"/>
      <c r="AZ293" s="37"/>
      <c r="BA293" s="37"/>
      <c r="BB293" s="37"/>
      <c r="BC293" s="37"/>
      <c r="BD293" s="37"/>
      <c r="BE293" s="37"/>
      <c r="BF293" s="37"/>
      <c r="BG293" s="37"/>
      <c r="BH293" s="37"/>
      <c r="BI293" s="38"/>
      <c r="BJ293" s="36" t="s">
        <v>330</v>
      </c>
      <c r="BK293" s="37"/>
      <c r="BL293" s="37"/>
      <c r="BM293" s="37"/>
      <c r="BN293" s="37"/>
      <c r="BO293" s="37"/>
      <c r="BP293" s="37"/>
      <c r="BQ293" s="37"/>
      <c r="BR293" s="37"/>
      <c r="BS293" s="37"/>
      <c r="BT293" s="37"/>
      <c r="BU293" s="37"/>
      <c r="BV293" s="37"/>
      <c r="BW293" s="37"/>
      <c r="BX293" s="38"/>
    </row>
    <row r="294" spans="1:79" ht="32.25" customHeight="1" x14ac:dyDescent="0.2">
      <c r="A294" s="54"/>
      <c r="B294" s="55"/>
      <c r="C294" s="55"/>
      <c r="D294" s="27"/>
      <c r="E294" s="27"/>
      <c r="F294" s="27"/>
      <c r="G294" s="27"/>
      <c r="H294" s="27"/>
      <c r="I294" s="27"/>
      <c r="J294" s="27"/>
      <c r="K294" s="27"/>
      <c r="L294" s="27"/>
      <c r="M294" s="27"/>
      <c r="N294" s="27"/>
      <c r="O294" s="27"/>
      <c r="P294" s="27"/>
      <c r="Q294" s="27"/>
      <c r="R294" s="27"/>
      <c r="S294" s="27"/>
      <c r="T294" s="27"/>
      <c r="U294" s="27"/>
      <c r="V294" s="27"/>
      <c r="W294" s="27"/>
      <c r="X294" s="27"/>
      <c r="Y294" s="27"/>
      <c r="Z294" s="27"/>
      <c r="AA294" s="27"/>
      <c r="AB294" s="27"/>
      <c r="AC294" s="27"/>
      <c r="AD294" s="27"/>
      <c r="AE294" s="27"/>
      <c r="AF294" s="27" t="s">
        <v>4</v>
      </c>
      <c r="AG294" s="27"/>
      <c r="AH294" s="27"/>
      <c r="AI294" s="27"/>
      <c r="AJ294" s="27"/>
      <c r="AK294" s="27" t="s">
        <v>3</v>
      </c>
      <c r="AL294" s="27"/>
      <c r="AM294" s="27"/>
      <c r="AN294" s="27"/>
      <c r="AO294" s="27"/>
      <c r="AP294" s="27" t="s">
        <v>123</v>
      </c>
      <c r="AQ294" s="27"/>
      <c r="AR294" s="27"/>
      <c r="AS294" s="27"/>
      <c r="AT294" s="27"/>
      <c r="AU294" s="27" t="s">
        <v>4</v>
      </c>
      <c r="AV294" s="27"/>
      <c r="AW294" s="27"/>
      <c r="AX294" s="27"/>
      <c r="AY294" s="27"/>
      <c r="AZ294" s="27" t="s">
        <v>3</v>
      </c>
      <c r="BA294" s="27"/>
      <c r="BB294" s="27"/>
      <c r="BC294" s="27"/>
      <c r="BD294" s="27"/>
      <c r="BE294" s="27" t="s">
        <v>90</v>
      </c>
      <c r="BF294" s="27"/>
      <c r="BG294" s="27"/>
      <c r="BH294" s="27"/>
      <c r="BI294" s="27"/>
      <c r="BJ294" s="27" t="s">
        <v>4</v>
      </c>
      <c r="BK294" s="27"/>
      <c r="BL294" s="27"/>
      <c r="BM294" s="27"/>
      <c r="BN294" s="27"/>
      <c r="BO294" s="27" t="s">
        <v>3</v>
      </c>
      <c r="BP294" s="27"/>
      <c r="BQ294" s="27"/>
      <c r="BR294" s="27"/>
      <c r="BS294" s="27"/>
      <c r="BT294" s="27" t="s">
        <v>97</v>
      </c>
      <c r="BU294" s="27"/>
      <c r="BV294" s="27"/>
      <c r="BW294" s="27"/>
      <c r="BX294" s="27"/>
    </row>
    <row r="295" spans="1:79" ht="15" customHeight="1" x14ac:dyDescent="0.2">
      <c r="A295" s="36">
        <v>1</v>
      </c>
      <c r="B295" s="37"/>
      <c r="C295" s="37"/>
      <c r="D295" s="27">
        <v>2</v>
      </c>
      <c r="E295" s="27"/>
      <c r="F295" s="27"/>
      <c r="G295" s="27"/>
      <c r="H295" s="27"/>
      <c r="I295" s="27"/>
      <c r="J295" s="27"/>
      <c r="K295" s="27"/>
      <c r="L295" s="27"/>
      <c r="M295" s="27"/>
      <c r="N295" s="27"/>
      <c r="O295" s="27"/>
      <c r="P295" s="27"/>
      <c r="Q295" s="27">
        <v>3</v>
      </c>
      <c r="R295" s="27"/>
      <c r="S295" s="27"/>
      <c r="T295" s="27"/>
      <c r="U295" s="27"/>
      <c r="V295" s="27">
        <v>4</v>
      </c>
      <c r="W295" s="27"/>
      <c r="X295" s="27"/>
      <c r="Y295" s="27"/>
      <c r="Z295" s="27"/>
      <c r="AA295" s="27"/>
      <c r="AB295" s="27"/>
      <c r="AC295" s="27"/>
      <c r="AD295" s="27"/>
      <c r="AE295" s="27"/>
      <c r="AF295" s="27">
        <v>5</v>
      </c>
      <c r="AG295" s="27"/>
      <c r="AH295" s="27"/>
      <c r="AI295" s="27"/>
      <c r="AJ295" s="27"/>
      <c r="AK295" s="27">
        <v>6</v>
      </c>
      <c r="AL295" s="27"/>
      <c r="AM295" s="27"/>
      <c r="AN295" s="27"/>
      <c r="AO295" s="27"/>
      <c r="AP295" s="27">
        <v>7</v>
      </c>
      <c r="AQ295" s="27"/>
      <c r="AR295" s="27"/>
      <c r="AS295" s="27"/>
      <c r="AT295" s="27"/>
      <c r="AU295" s="27">
        <v>8</v>
      </c>
      <c r="AV295" s="27"/>
      <c r="AW295" s="27"/>
      <c r="AX295" s="27"/>
      <c r="AY295" s="27"/>
      <c r="AZ295" s="27">
        <v>9</v>
      </c>
      <c r="BA295" s="27"/>
      <c r="BB295" s="27"/>
      <c r="BC295" s="27"/>
      <c r="BD295" s="27"/>
      <c r="BE295" s="27">
        <v>10</v>
      </c>
      <c r="BF295" s="27"/>
      <c r="BG295" s="27"/>
      <c r="BH295" s="27"/>
      <c r="BI295" s="27"/>
      <c r="BJ295" s="27">
        <v>11</v>
      </c>
      <c r="BK295" s="27"/>
      <c r="BL295" s="27"/>
      <c r="BM295" s="27"/>
      <c r="BN295" s="27"/>
      <c r="BO295" s="27">
        <v>12</v>
      </c>
      <c r="BP295" s="27"/>
      <c r="BQ295" s="27"/>
      <c r="BR295" s="27"/>
      <c r="BS295" s="27"/>
      <c r="BT295" s="27">
        <v>13</v>
      </c>
      <c r="BU295" s="27"/>
      <c r="BV295" s="27"/>
      <c r="BW295" s="27"/>
      <c r="BX295" s="27"/>
    </row>
    <row r="296" spans="1:79" ht="10.5" hidden="1" customHeight="1" x14ac:dyDescent="0.2">
      <c r="A296" s="39" t="s">
        <v>154</v>
      </c>
      <c r="B296" s="40"/>
      <c r="C296" s="40"/>
      <c r="D296" s="27" t="s">
        <v>57</v>
      </c>
      <c r="E296" s="27"/>
      <c r="F296" s="27"/>
      <c r="G296" s="27"/>
      <c r="H296" s="27"/>
      <c r="I296" s="27"/>
      <c r="J296" s="27"/>
      <c r="K296" s="27"/>
      <c r="L296" s="27"/>
      <c r="M296" s="27"/>
      <c r="N296" s="27"/>
      <c r="O296" s="27"/>
      <c r="P296" s="27"/>
      <c r="Q296" s="27" t="s">
        <v>70</v>
      </c>
      <c r="R296" s="27"/>
      <c r="S296" s="27"/>
      <c r="T296" s="27"/>
      <c r="U296" s="27"/>
      <c r="V296" s="27" t="s">
        <v>71</v>
      </c>
      <c r="W296" s="27"/>
      <c r="X296" s="27"/>
      <c r="Y296" s="27"/>
      <c r="Z296" s="27"/>
      <c r="AA296" s="27"/>
      <c r="AB296" s="27"/>
      <c r="AC296" s="27"/>
      <c r="AD296" s="27"/>
      <c r="AE296" s="27"/>
      <c r="AF296" s="26" t="s">
        <v>111</v>
      </c>
      <c r="AG296" s="26"/>
      <c r="AH296" s="26"/>
      <c r="AI296" s="26"/>
      <c r="AJ296" s="26"/>
      <c r="AK296" s="30" t="s">
        <v>112</v>
      </c>
      <c r="AL296" s="30"/>
      <c r="AM296" s="30"/>
      <c r="AN296" s="30"/>
      <c r="AO296" s="30"/>
      <c r="AP296" s="50" t="s">
        <v>269</v>
      </c>
      <c r="AQ296" s="50"/>
      <c r="AR296" s="50"/>
      <c r="AS296" s="50"/>
      <c r="AT296" s="50"/>
      <c r="AU296" s="26" t="s">
        <v>113</v>
      </c>
      <c r="AV296" s="26"/>
      <c r="AW296" s="26"/>
      <c r="AX296" s="26"/>
      <c r="AY296" s="26"/>
      <c r="AZ296" s="30" t="s">
        <v>114</v>
      </c>
      <c r="BA296" s="30"/>
      <c r="BB296" s="30"/>
      <c r="BC296" s="30"/>
      <c r="BD296" s="30"/>
      <c r="BE296" s="50" t="s">
        <v>269</v>
      </c>
      <c r="BF296" s="50"/>
      <c r="BG296" s="50"/>
      <c r="BH296" s="50"/>
      <c r="BI296" s="50"/>
      <c r="BJ296" s="26" t="s">
        <v>105</v>
      </c>
      <c r="BK296" s="26"/>
      <c r="BL296" s="26"/>
      <c r="BM296" s="26"/>
      <c r="BN296" s="26"/>
      <c r="BO296" s="30" t="s">
        <v>106</v>
      </c>
      <c r="BP296" s="30"/>
      <c r="BQ296" s="30"/>
      <c r="BR296" s="30"/>
      <c r="BS296" s="30"/>
      <c r="BT296" s="50" t="s">
        <v>269</v>
      </c>
      <c r="BU296" s="50"/>
      <c r="BV296" s="50"/>
      <c r="BW296" s="50"/>
      <c r="BX296" s="50"/>
      <c r="CA296" t="s">
        <v>37</v>
      </c>
    </row>
    <row r="297" spans="1:79" s="6" customFormat="1" ht="15" customHeight="1" x14ac:dyDescent="0.2">
      <c r="A297" s="86">
        <v>0</v>
      </c>
      <c r="B297" s="87"/>
      <c r="C297" s="87"/>
      <c r="D297" s="111" t="s">
        <v>268</v>
      </c>
      <c r="E297" s="111"/>
      <c r="F297" s="111"/>
      <c r="G297" s="111"/>
      <c r="H297" s="111"/>
      <c r="I297" s="111"/>
      <c r="J297" s="111"/>
      <c r="K297" s="111"/>
      <c r="L297" s="111"/>
      <c r="M297" s="111"/>
      <c r="N297" s="111"/>
      <c r="O297" s="111"/>
      <c r="P297" s="111"/>
      <c r="Q297" s="111"/>
      <c r="R297" s="111"/>
      <c r="S297" s="111"/>
      <c r="T297" s="111"/>
      <c r="U297" s="111"/>
      <c r="V297" s="111"/>
      <c r="W297" s="111"/>
      <c r="X297" s="111"/>
      <c r="Y297" s="111"/>
      <c r="Z297" s="111"/>
      <c r="AA297" s="111"/>
      <c r="AB297" s="111"/>
      <c r="AC297" s="111"/>
      <c r="AD297" s="111"/>
      <c r="AE297" s="111"/>
      <c r="AF297" s="112"/>
      <c r="AG297" s="112"/>
      <c r="AH297" s="112"/>
      <c r="AI297" s="112"/>
      <c r="AJ297" s="112"/>
      <c r="AK297" s="112"/>
      <c r="AL297" s="112"/>
      <c r="AM297" s="112"/>
      <c r="AN297" s="112"/>
      <c r="AO297" s="112"/>
      <c r="AP297" s="112"/>
      <c r="AQ297" s="112"/>
      <c r="AR297" s="112"/>
      <c r="AS297" s="112"/>
      <c r="AT297" s="112"/>
      <c r="AU297" s="112"/>
      <c r="AV297" s="112"/>
      <c r="AW297" s="112"/>
      <c r="AX297" s="112"/>
      <c r="AY297" s="112"/>
      <c r="AZ297" s="112"/>
      <c r="BA297" s="112"/>
      <c r="BB297" s="112"/>
      <c r="BC297" s="112"/>
      <c r="BD297" s="112"/>
      <c r="BE297" s="112"/>
      <c r="BF297" s="112"/>
      <c r="BG297" s="112"/>
      <c r="BH297" s="112"/>
      <c r="BI297" s="112"/>
      <c r="BJ297" s="112"/>
      <c r="BK297" s="112"/>
      <c r="BL297" s="112"/>
      <c r="BM297" s="112"/>
      <c r="BN297" s="112"/>
      <c r="BO297" s="112"/>
      <c r="BP297" s="112"/>
      <c r="BQ297" s="112"/>
      <c r="BR297" s="112"/>
      <c r="BS297" s="112"/>
      <c r="BT297" s="112"/>
      <c r="BU297" s="112"/>
      <c r="BV297" s="112"/>
      <c r="BW297" s="112"/>
      <c r="BX297" s="112"/>
      <c r="CA297" s="6" t="s">
        <v>38</v>
      </c>
    </row>
    <row r="298" spans="1:79" s="99" customFormat="1" ht="28.5" customHeight="1" x14ac:dyDescent="0.2">
      <c r="A298" s="89">
        <v>1</v>
      </c>
      <c r="B298" s="90"/>
      <c r="C298" s="90"/>
      <c r="D298" s="114" t="s">
        <v>270</v>
      </c>
      <c r="E298" s="93"/>
      <c r="F298" s="93"/>
      <c r="G298" s="93"/>
      <c r="H298" s="93"/>
      <c r="I298" s="93"/>
      <c r="J298" s="93"/>
      <c r="K298" s="93"/>
      <c r="L298" s="93"/>
      <c r="M298" s="93"/>
      <c r="N298" s="93"/>
      <c r="O298" s="93"/>
      <c r="P298" s="94"/>
      <c r="Q298" s="27" t="s">
        <v>271</v>
      </c>
      <c r="R298" s="27"/>
      <c r="S298" s="27"/>
      <c r="T298" s="27"/>
      <c r="U298" s="27"/>
      <c r="V298" s="114" t="s">
        <v>272</v>
      </c>
      <c r="W298" s="93"/>
      <c r="X298" s="93"/>
      <c r="Y298" s="93"/>
      <c r="Z298" s="93"/>
      <c r="AA298" s="93"/>
      <c r="AB298" s="93"/>
      <c r="AC298" s="93"/>
      <c r="AD298" s="93"/>
      <c r="AE298" s="94"/>
      <c r="AF298" s="115">
        <v>8</v>
      </c>
      <c r="AG298" s="115"/>
      <c r="AH298" s="115"/>
      <c r="AI298" s="115"/>
      <c r="AJ298" s="115"/>
      <c r="AK298" s="115">
        <v>0</v>
      </c>
      <c r="AL298" s="115"/>
      <c r="AM298" s="115"/>
      <c r="AN298" s="115"/>
      <c r="AO298" s="115"/>
      <c r="AP298" s="115">
        <v>8</v>
      </c>
      <c r="AQ298" s="115"/>
      <c r="AR298" s="115"/>
      <c r="AS298" s="115"/>
      <c r="AT298" s="115"/>
      <c r="AU298" s="115">
        <v>6</v>
      </c>
      <c r="AV298" s="115"/>
      <c r="AW298" s="115"/>
      <c r="AX298" s="115"/>
      <c r="AY298" s="115"/>
      <c r="AZ298" s="115">
        <v>0</v>
      </c>
      <c r="BA298" s="115"/>
      <c r="BB298" s="115"/>
      <c r="BC298" s="115"/>
      <c r="BD298" s="115"/>
      <c r="BE298" s="115">
        <v>6</v>
      </c>
      <c r="BF298" s="115"/>
      <c r="BG298" s="115"/>
      <c r="BH298" s="115"/>
      <c r="BI298" s="115"/>
      <c r="BJ298" s="115">
        <v>6</v>
      </c>
      <c r="BK298" s="115"/>
      <c r="BL298" s="115"/>
      <c r="BM298" s="115"/>
      <c r="BN298" s="115"/>
      <c r="BO298" s="115">
        <v>0</v>
      </c>
      <c r="BP298" s="115"/>
      <c r="BQ298" s="115"/>
      <c r="BR298" s="115"/>
      <c r="BS298" s="115"/>
      <c r="BT298" s="115">
        <v>6</v>
      </c>
      <c r="BU298" s="115"/>
      <c r="BV298" s="115"/>
      <c r="BW298" s="115"/>
      <c r="BX298" s="115"/>
    </row>
    <row r="299" spans="1:79" s="99" customFormat="1" ht="15" customHeight="1" x14ac:dyDescent="0.2">
      <c r="A299" s="89">
        <v>2</v>
      </c>
      <c r="B299" s="90"/>
      <c r="C299" s="90"/>
      <c r="D299" s="114" t="s">
        <v>273</v>
      </c>
      <c r="E299" s="93"/>
      <c r="F299" s="93"/>
      <c r="G299" s="93"/>
      <c r="H299" s="93"/>
      <c r="I299" s="93"/>
      <c r="J299" s="93"/>
      <c r="K299" s="93"/>
      <c r="L299" s="93"/>
      <c r="M299" s="93"/>
      <c r="N299" s="93"/>
      <c r="O299" s="93"/>
      <c r="P299" s="94"/>
      <c r="Q299" s="27" t="s">
        <v>271</v>
      </c>
      <c r="R299" s="27"/>
      <c r="S299" s="27"/>
      <c r="T299" s="27"/>
      <c r="U299" s="27"/>
      <c r="V299" s="114" t="s">
        <v>274</v>
      </c>
      <c r="W299" s="93"/>
      <c r="X299" s="93"/>
      <c r="Y299" s="93"/>
      <c r="Z299" s="93"/>
      <c r="AA299" s="93"/>
      <c r="AB299" s="93"/>
      <c r="AC299" s="93"/>
      <c r="AD299" s="93"/>
      <c r="AE299" s="94"/>
      <c r="AF299" s="115">
        <v>146.88</v>
      </c>
      <c r="AG299" s="115"/>
      <c r="AH299" s="115"/>
      <c r="AI299" s="115"/>
      <c r="AJ299" s="115"/>
      <c r="AK299" s="115">
        <v>0</v>
      </c>
      <c r="AL299" s="115"/>
      <c r="AM299" s="115"/>
      <c r="AN299" s="115"/>
      <c r="AO299" s="115"/>
      <c r="AP299" s="115">
        <v>146.88</v>
      </c>
      <c r="AQ299" s="115"/>
      <c r="AR299" s="115"/>
      <c r="AS299" s="115"/>
      <c r="AT299" s="115"/>
      <c r="AU299" s="115">
        <v>112.95</v>
      </c>
      <c r="AV299" s="115"/>
      <c r="AW299" s="115"/>
      <c r="AX299" s="115"/>
      <c r="AY299" s="115"/>
      <c r="AZ299" s="115">
        <v>0</v>
      </c>
      <c r="BA299" s="115"/>
      <c r="BB299" s="115"/>
      <c r="BC299" s="115"/>
      <c r="BD299" s="115"/>
      <c r="BE299" s="115">
        <v>112.95</v>
      </c>
      <c r="BF299" s="115"/>
      <c r="BG299" s="115"/>
      <c r="BH299" s="115"/>
      <c r="BI299" s="115"/>
      <c r="BJ299" s="115">
        <v>112.95</v>
      </c>
      <c r="BK299" s="115"/>
      <c r="BL299" s="115"/>
      <c r="BM299" s="115"/>
      <c r="BN299" s="115"/>
      <c r="BO299" s="115">
        <v>0</v>
      </c>
      <c r="BP299" s="115"/>
      <c r="BQ299" s="115"/>
      <c r="BR299" s="115"/>
      <c r="BS299" s="115"/>
      <c r="BT299" s="115">
        <v>112.95</v>
      </c>
      <c r="BU299" s="115"/>
      <c r="BV299" s="115"/>
      <c r="BW299" s="115"/>
      <c r="BX299" s="115"/>
    </row>
    <row r="300" spans="1:79" s="6" customFormat="1" ht="15" customHeight="1" x14ac:dyDescent="0.2">
      <c r="A300" s="86">
        <v>0</v>
      </c>
      <c r="B300" s="87"/>
      <c r="C300" s="87"/>
      <c r="D300" s="113" t="s">
        <v>275</v>
      </c>
      <c r="E300" s="101"/>
      <c r="F300" s="101"/>
      <c r="G300" s="101"/>
      <c r="H300" s="101"/>
      <c r="I300" s="101"/>
      <c r="J300" s="101"/>
      <c r="K300" s="101"/>
      <c r="L300" s="101"/>
      <c r="M300" s="101"/>
      <c r="N300" s="101"/>
      <c r="O300" s="101"/>
      <c r="P300" s="102"/>
      <c r="Q300" s="111"/>
      <c r="R300" s="111"/>
      <c r="S300" s="111"/>
      <c r="T300" s="111"/>
      <c r="U300" s="111"/>
      <c r="V300" s="113"/>
      <c r="W300" s="101"/>
      <c r="X300" s="101"/>
      <c r="Y300" s="101"/>
      <c r="Z300" s="101"/>
      <c r="AA300" s="101"/>
      <c r="AB300" s="101"/>
      <c r="AC300" s="101"/>
      <c r="AD300" s="101"/>
      <c r="AE300" s="102"/>
      <c r="AF300" s="112"/>
      <c r="AG300" s="112"/>
      <c r="AH300" s="112"/>
      <c r="AI300" s="112"/>
      <c r="AJ300" s="112"/>
      <c r="AK300" s="112"/>
      <c r="AL300" s="112"/>
      <c r="AM300" s="112"/>
      <c r="AN300" s="112"/>
      <c r="AO300" s="112"/>
      <c r="AP300" s="112"/>
      <c r="AQ300" s="112"/>
      <c r="AR300" s="112"/>
      <c r="AS300" s="112"/>
      <c r="AT300" s="112"/>
      <c r="AU300" s="112"/>
      <c r="AV300" s="112"/>
      <c r="AW300" s="112"/>
      <c r="AX300" s="112"/>
      <c r="AY300" s="112"/>
      <c r="AZ300" s="112"/>
      <c r="BA300" s="112"/>
      <c r="BB300" s="112"/>
      <c r="BC300" s="112"/>
      <c r="BD300" s="112"/>
      <c r="BE300" s="112"/>
      <c r="BF300" s="112"/>
      <c r="BG300" s="112"/>
      <c r="BH300" s="112"/>
      <c r="BI300" s="112"/>
      <c r="BJ300" s="112"/>
      <c r="BK300" s="112"/>
      <c r="BL300" s="112"/>
      <c r="BM300" s="112"/>
      <c r="BN300" s="112"/>
      <c r="BO300" s="112"/>
      <c r="BP300" s="112"/>
      <c r="BQ300" s="112"/>
      <c r="BR300" s="112"/>
      <c r="BS300" s="112"/>
      <c r="BT300" s="112"/>
      <c r="BU300" s="112"/>
      <c r="BV300" s="112"/>
      <c r="BW300" s="112"/>
      <c r="BX300" s="112"/>
    </row>
    <row r="301" spans="1:79" s="99" customFormat="1" ht="15" customHeight="1" x14ac:dyDescent="0.2">
      <c r="A301" s="89">
        <v>1</v>
      </c>
      <c r="B301" s="90"/>
      <c r="C301" s="90"/>
      <c r="D301" s="114" t="s">
        <v>276</v>
      </c>
      <c r="E301" s="93"/>
      <c r="F301" s="93"/>
      <c r="G301" s="93"/>
      <c r="H301" s="93"/>
      <c r="I301" s="93"/>
      <c r="J301" s="93"/>
      <c r="K301" s="93"/>
      <c r="L301" s="93"/>
      <c r="M301" s="93"/>
      <c r="N301" s="93"/>
      <c r="O301" s="93"/>
      <c r="P301" s="94"/>
      <c r="Q301" s="27" t="s">
        <v>277</v>
      </c>
      <c r="R301" s="27"/>
      <c r="S301" s="27"/>
      <c r="T301" s="27"/>
      <c r="U301" s="27"/>
      <c r="V301" s="114" t="s">
        <v>278</v>
      </c>
      <c r="W301" s="93"/>
      <c r="X301" s="93"/>
      <c r="Y301" s="93"/>
      <c r="Z301" s="93"/>
      <c r="AA301" s="93"/>
      <c r="AB301" s="93"/>
      <c r="AC301" s="93"/>
      <c r="AD301" s="93"/>
      <c r="AE301" s="94"/>
      <c r="AF301" s="115">
        <v>318</v>
      </c>
      <c r="AG301" s="115"/>
      <c r="AH301" s="115"/>
      <c r="AI301" s="115"/>
      <c r="AJ301" s="115"/>
      <c r="AK301" s="115">
        <v>0</v>
      </c>
      <c r="AL301" s="115"/>
      <c r="AM301" s="115"/>
      <c r="AN301" s="115"/>
      <c r="AO301" s="115"/>
      <c r="AP301" s="115">
        <v>318</v>
      </c>
      <c r="AQ301" s="115"/>
      <c r="AR301" s="115"/>
      <c r="AS301" s="115"/>
      <c r="AT301" s="115"/>
      <c r="AU301" s="115">
        <v>274</v>
      </c>
      <c r="AV301" s="115"/>
      <c r="AW301" s="115"/>
      <c r="AX301" s="115"/>
      <c r="AY301" s="115"/>
      <c r="AZ301" s="115">
        <v>0</v>
      </c>
      <c r="BA301" s="115"/>
      <c r="BB301" s="115"/>
      <c r="BC301" s="115"/>
      <c r="BD301" s="115"/>
      <c r="BE301" s="115">
        <v>274</v>
      </c>
      <c r="BF301" s="115"/>
      <c r="BG301" s="115"/>
      <c r="BH301" s="115"/>
      <c r="BI301" s="115"/>
      <c r="BJ301" s="115">
        <v>274</v>
      </c>
      <c r="BK301" s="115"/>
      <c r="BL301" s="115"/>
      <c r="BM301" s="115"/>
      <c r="BN301" s="115"/>
      <c r="BO301" s="115">
        <v>0</v>
      </c>
      <c r="BP301" s="115"/>
      <c r="BQ301" s="115"/>
      <c r="BR301" s="115"/>
      <c r="BS301" s="115"/>
      <c r="BT301" s="115">
        <v>274</v>
      </c>
      <c r="BU301" s="115"/>
      <c r="BV301" s="115"/>
      <c r="BW301" s="115"/>
      <c r="BX301" s="115"/>
    </row>
    <row r="302" spans="1:79" s="99" customFormat="1" ht="15" customHeight="1" x14ac:dyDescent="0.2">
      <c r="A302" s="89">
        <v>2</v>
      </c>
      <c r="B302" s="90"/>
      <c r="C302" s="90"/>
      <c r="D302" s="114" t="s">
        <v>279</v>
      </c>
      <c r="E302" s="93"/>
      <c r="F302" s="93"/>
      <c r="G302" s="93"/>
      <c r="H302" s="93"/>
      <c r="I302" s="93"/>
      <c r="J302" s="93"/>
      <c r="K302" s="93"/>
      <c r="L302" s="93"/>
      <c r="M302" s="93"/>
      <c r="N302" s="93"/>
      <c r="O302" s="93"/>
      <c r="P302" s="94"/>
      <c r="Q302" s="27" t="s">
        <v>277</v>
      </c>
      <c r="R302" s="27"/>
      <c r="S302" s="27"/>
      <c r="T302" s="27"/>
      <c r="U302" s="27"/>
      <c r="V302" s="114" t="s">
        <v>278</v>
      </c>
      <c r="W302" s="93"/>
      <c r="X302" s="93"/>
      <c r="Y302" s="93"/>
      <c r="Z302" s="93"/>
      <c r="AA302" s="93"/>
      <c r="AB302" s="93"/>
      <c r="AC302" s="93"/>
      <c r="AD302" s="93"/>
      <c r="AE302" s="94"/>
      <c r="AF302" s="115">
        <v>1079</v>
      </c>
      <c r="AG302" s="115"/>
      <c r="AH302" s="115"/>
      <c r="AI302" s="115"/>
      <c r="AJ302" s="115"/>
      <c r="AK302" s="115">
        <v>0</v>
      </c>
      <c r="AL302" s="115"/>
      <c r="AM302" s="115"/>
      <c r="AN302" s="115"/>
      <c r="AO302" s="115"/>
      <c r="AP302" s="115">
        <v>1079</v>
      </c>
      <c r="AQ302" s="115"/>
      <c r="AR302" s="115"/>
      <c r="AS302" s="115"/>
      <c r="AT302" s="115"/>
      <c r="AU302" s="115">
        <v>1087</v>
      </c>
      <c r="AV302" s="115"/>
      <c r="AW302" s="115"/>
      <c r="AX302" s="115"/>
      <c r="AY302" s="115"/>
      <c r="AZ302" s="115">
        <v>0</v>
      </c>
      <c r="BA302" s="115"/>
      <c r="BB302" s="115"/>
      <c r="BC302" s="115"/>
      <c r="BD302" s="115"/>
      <c r="BE302" s="115">
        <v>1087</v>
      </c>
      <c r="BF302" s="115"/>
      <c r="BG302" s="115"/>
      <c r="BH302" s="115"/>
      <c r="BI302" s="115"/>
      <c r="BJ302" s="115">
        <v>1087</v>
      </c>
      <c r="BK302" s="115"/>
      <c r="BL302" s="115"/>
      <c r="BM302" s="115"/>
      <c r="BN302" s="115"/>
      <c r="BO302" s="115">
        <v>0</v>
      </c>
      <c r="BP302" s="115"/>
      <c r="BQ302" s="115"/>
      <c r="BR302" s="115"/>
      <c r="BS302" s="115"/>
      <c r="BT302" s="115">
        <v>1087</v>
      </c>
      <c r="BU302" s="115"/>
      <c r="BV302" s="115"/>
      <c r="BW302" s="115"/>
      <c r="BX302" s="115"/>
    </row>
    <row r="303" spans="1:79" s="6" customFormat="1" ht="15" customHeight="1" x14ac:dyDescent="0.2">
      <c r="A303" s="86">
        <v>0</v>
      </c>
      <c r="B303" s="87"/>
      <c r="C303" s="87"/>
      <c r="D303" s="113" t="s">
        <v>280</v>
      </c>
      <c r="E303" s="101"/>
      <c r="F303" s="101"/>
      <c r="G303" s="101"/>
      <c r="H303" s="101"/>
      <c r="I303" s="101"/>
      <c r="J303" s="101"/>
      <c r="K303" s="101"/>
      <c r="L303" s="101"/>
      <c r="M303" s="101"/>
      <c r="N303" s="101"/>
      <c r="O303" s="101"/>
      <c r="P303" s="102"/>
      <c r="Q303" s="111"/>
      <c r="R303" s="111"/>
      <c r="S303" s="111"/>
      <c r="T303" s="111"/>
      <c r="U303" s="111"/>
      <c r="V303" s="113"/>
      <c r="W303" s="101"/>
      <c r="X303" s="101"/>
      <c r="Y303" s="101"/>
      <c r="Z303" s="101"/>
      <c r="AA303" s="101"/>
      <c r="AB303" s="101"/>
      <c r="AC303" s="101"/>
      <c r="AD303" s="101"/>
      <c r="AE303" s="102"/>
      <c r="AF303" s="112"/>
      <c r="AG303" s="112"/>
      <c r="AH303" s="112"/>
      <c r="AI303" s="112"/>
      <c r="AJ303" s="112"/>
      <c r="AK303" s="112"/>
      <c r="AL303" s="112"/>
      <c r="AM303" s="112"/>
      <c r="AN303" s="112"/>
      <c r="AO303" s="112"/>
      <c r="AP303" s="112"/>
      <c r="AQ303" s="112"/>
      <c r="AR303" s="112"/>
      <c r="AS303" s="112"/>
      <c r="AT303" s="112"/>
      <c r="AU303" s="112"/>
      <c r="AV303" s="112"/>
      <c r="AW303" s="112"/>
      <c r="AX303" s="112"/>
      <c r="AY303" s="112"/>
      <c r="AZ303" s="112"/>
      <c r="BA303" s="112"/>
      <c r="BB303" s="112"/>
      <c r="BC303" s="112"/>
      <c r="BD303" s="112"/>
      <c r="BE303" s="112"/>
      <c r="BF303" s="112"/>
      <c r="BG303" s="112"/>
      <c r="BH303" s="112"/>
      <c r="BI303" s="112"/>
      <c r="BJ303" s="112"/>
      <c r="BK303" s="112"/>
      <c r="BL303" s="112"/>
      <c r="BM303" s="112"/>
      <c r="BN303" s="112"/>
      <c r="BO303" s="112"/>
      <c r="BP303" s="112"/>
      <c r="BQ303" s="112"/>
      <c r="BR303" s="112"/>
      <c r="BS303" s="112"/>
      <c r="BT303" s="112"/>
      <c r="BU303" s="112"/>
      <c r="BV303" s="112"/>
      <c r="BW303" s="112"/>
      <c r="BX303" s="112"/>
    </row>
    <row r="304" spans="1:79" s="99" customFormat="1" ht="28.5" customHeight="1" x14ac:dyDescent="0.2">
      <c r="A304" s="89">
        <v>1</v>
      </c>
      <c r="B304" s="90"/>
      <c r="C304" s="90"/>
      <c r="D304" s="114" t="s">
        <v>281</v>
      </c>
      <c r="E304" s="93"/>
      <c r="F304" s="93"/>
      <c r="G304" s="93"/>
      <c r="H304" s="93"/>
      <c r="I304" s="93"/>
      <c r="J304" s="93"/>
      <c r="K304" s="93"/>
      <c r="L304" s="93"/>
      <c r="M304" s="93"/>
      <c r="N304" s="93"/>
      <c r="O304" s="93"/>
      <c r="P304" s="94"/>
      <c r="Q304" s="27" t="s">
        <v>282</v>
      </c>
      <c r="R304" s="27"/>
      <c r="S304" s="27"/>
      <c r="T304" s="27"/>
      <c r="U304" s="27"/>
      <c r="V304" s="114" t="s">
        <v>283</v>
      </c>
      <c r="W304" s="93"/>
      <c r="X304" s="93"/>
      <c r="Y304" s="93"/>
      <c r="Z304" s="93"/>
      <c r="AA304" s="93"/>
      <c r="AB304" s="93"/>
      <c r="AC304" s="93"/>
      <c r="AD304" s="93"/>
      <c r="AE304" s="94"/>
      <c r="AF304" s="115">
        <v>54060</v>
      </c>
      <c r="AG304" s="115"/>
      <c r="AH304" s="115"/>
      <c r="AI304" s="115"/>
      <c r="AJ304" s="115"/>
      <c r="AK304" s="115">
        <v>0</v>
      </c>
      <c r="AL304" s="115"/>
      <c r="AM304" s="115"/>
      <c r="AN304" s="115"/>
      <c r="AO304" s="115"/>
      <c r="AP304" s="115">
        <v>54060</v>
      </c>
      <c r="AQ304" s="115"/>
      <c r="AR304" s="115"/>
      <c r="AS304" s="115"/>
      <c r="AT304" s="115"/>
      <c r="AU304" s="115">
        <v>46580</v>
      </c>
      <c r="AV304" s="115"/>
      <c r="AW304" s="115"/>
      <c r="AX304" s="115"/>
      <c r="AY304" s="115"/>
      <c r="AZ304" s="115">
        <v>0</v>
      </c>
      <c r="BA304" s="115"/>
      <c r="BB304" s="115"/>
      <c r="BC304" s="115"/>
      <c r="BD304" s="115"/>
      <c r="BE304" s="115">
        <v>46580</v>
      </c>
      <c r="BF304" s="115"/>
      <c r="BG304" s="115"/>
      <c r="BH304" s="115"/>
      <c r="BI304" s="115"/>
      <c r="BJ304" s="115">
        <v>46580</v>
      </c>
      <c r="BK304" s="115"/>
      <c r="BL304" s="115"/>
      <c r="BM304" s="115"/>
      <c r="BN304" s="115"/>
      <c r="BO304" s="115">
        <v>0</v>
      </c>
      <c r="BP304" s="115"/>
      <c r="BQ304" s="115"/>
      <c r="BR304" s="115"/>
      <c r="BS304" s="115"/>
      <c r="BT304" s="115">
        <v>46580</v>
      </c>
      <c r="BU304" s="115"/>
      <c r="BV304" s="115"/>
      <c r="BW304" s="115"/>
      <c r="BX304" s="115"/>
    </row>
    <row r="305" spans="1:79" s="99" customFormat="1" ht="15" customHeight="1" x14ac:dyDescent="0.2">
      <c r="A305" s="89">
        <v>2</v>
      </c>
      <c r="B305" s="90"/>
      <c r="C305" s="90"/>
      <c r="D305" s="114" t="s">
        <v>284</v>
      </c>
      <c r="E305" s="93"/>
      <c r="F305" s="93"/>
      <c r="G305" s="93"/>
      <c r="H305" s="93"/>
      <c r="I305" s="93"/>
      <c r="J305" s="93"/>
      <c r="K305" s="93"/>
      <c r="L305" s="93"/>
      <c r="M305" s="93"/>
      <c r="N305" s="93"/>
      <c r="O305" s="93"/>
      <c r="P305" s="94"/>
      <c r="Q305" s="27" t="s">
        <v>282</v>
      </c>
      <c r="R305" s="27"/>
      <c r="S305" s="27"/>
      <c r="T305" s="27"/>
      <c r="U305" s="27"/>
      <c r="V305" s="114" t="s">
        <v>283</v>
      </c>
      <c r="W305" s="93"/>
      <c r="X305" s="93"/>
      <c r="Y305" s="93"/>
      <c r="Z305" s="93"/>
      <c r="AA305" s="93"/>
      <c r="AB305" s="93"/>
      <c r="AC305" s="93"/>
      <c r="AD305" s="93"/>
      <c r="AE305" s="94"/>
      <c r="AF305" s="115">
        <v>172640</v>
      </c>
      <c r="AG305" s="115"/>
      <c r="AH305" s="115"/>
      <c r="AI305" s="115"/>
      <c r="AJ305" s="115"/>
      <c r="AK305" s="115">
        <v>0</v>
      </c>
      <c r="AL305" s="115"/>
      <c r="AM305" s="115"/>
      <c r="AN305" s="115"/>
      <c r="AO305" s="115"/>
      <c r="AP305" s="115">
        <v>172640</v>
      </c>
      <c r="AQ305" s="115"/>
      <c r="AR305" s="115"/>
      <c r="AS305" s="115"/>
      <c r="AT305" s="115"/>
      <c r="AU305" s="115">
        <v>173920</v>
      </c>
      <c r="AV305" s="115"/>
      <c r="AW305" s="115"/>
      <c r="AX305" s="115"/>
      <c r="AY305" s="115"/>
      <c r="AZ305" s="115">
        <v>0</v>
      </c>
      <c r="BA305" s="115"/>
      <c r="BB305" s="115"/>
      <c r="BC305" s="115"/>
      <c r="BD305" s="115"/>
      <c r="BE305" s="115">
        <v>173920</v>
      </c>
      <c r="BF305" s="115"/>
      <c r="BG305" s="115"/>
      <c r="BH305" s="115"/>
      <c r="BI305" s="115"/>
      <c r="BJ305" s="115">
        <v>173920</v>
      </c>
      <c r="BK305" s="115"/>
      <c r="BL305" s="115"/>
      <c r="BM305" s="115"/>
      <c r="BN305" s="115"/>
      <c r="BO305" s="115">
        <v>0</v>
      </c>
      <c r="BP305" s="115"/>
      <c r="BQ305" s="115"/>
      <c r="BR305" s="115"/>
      <c r="BS305" s="115"/>
      <c r="BT305" s="115">
        <v>173920</v>
      </c>
      <c r="BU305" s="115"/>
      <c r="BV305" s="115"/>
      <c r="BW305" s="115"/>
      <c r="BX305" s="115"/>
    </row>
    <row r="306" spans="1:79" s="6" customFormat="1" ht="15" customHeight="1" x14ac:dyDescent="0.2">
      <c r="A306" s="86">
        <v>0</v>
      </c>
      <c r="B306" s="87"/>
      <c r="C306" s="87"/>
      <c r="D306" s="113" t="s">
        <v>285</v>
      </c>
      <c r="E306" s="101"/>
      <c r="F306" s="101"/>
      <c r="G306" s="101"/>
      <c r="H306" s="101"/>
      <c r="I306" s="101"/>
      <c r="J306" s="101"/>
      <c r="K306" s="101"/>
      <c r="L306" s="101"/>
      <c r="M306" s="101"/>
      <c r="N306" s="101"/>
      <c r="O306" s="101"/>
      <c r="P306" s="102"/>
      <c r="Q306" s="111"/>
      <c r="R306" s="111"/>
      <c r="S306" s="111"/>
      <c r="T306" s="111"/>
      <c r="U306" s="111"/>
      <c r="V306" s="113"/>
      <c r="W306" s="101"/>
      <c r="X306" s="101"/>
      <c r="Y306" s="101"/>
      <c r="Z306" s="101"/>
      <c r="AA306" s="101"/>
      <c r="AB306" s="101"/>
      <c r="AC306" s="101"/>
      <c r="AD306" s="101"/>
      <c r="AE306" s="102"/>
      <c r="AF306" s="112"/>
      <c r="AG306" s="112"/>
      <c r="AH306" s="112"/>
      <c r="AI306" s="112"/>
      <c r="AJ306" s="112"/>
      <c r="AK306" s="112"/>
      <c r="AL306" s="112"/>
      <c r="AM306" s="112"/>
      <c r="AN306" s="112"/>
      <c r="AO306" s="112"/>
      <c r="AP306" s="112"/>
      <c r="AQ306" s="112"/>
      <c r="AR306" s="112"/>
      <c r="AS306" s="112"/>
      <c r="AT306" s="112"/>
      <c r="AU306" s="112"/>
      <c r="AV306" s="112"/>
      <c r="AW306" s="112"/>
      <c r="AX306" s="112"/>
      <c r="AY306" s="112"/>
      <c r="AZ306" s="112"/>
      <c r="BA306" s="112"/>
      <c r="BB306" s="112"/>
      <c r="BC306" s="112"/>
      <c r="BD306" s="112"/>
      <c r="BE306" s="112"/>
      <c r="BF306" s="112"/>
      <c r="BG306" s="112"/>
      <c r="BH306" s="112"/>
      <c r="BI306" s="112"/>
      <c r="BJ306" s="112"/>
      <c r="BK306" s="112"/>
      <c r="BL306" s="112"/>
      <c r="BM306" s="112"/>
      <c r="BN306" s="112"/>
      <c r="BO306" s="112"/>
      <c r="BP306" s="112"/>
      <c r="BQ306" s="112"/>
      <c r="BR306" s="112"/>
      <c r="BS306" s="112"/>
      <c r="BT306" s="112"/>
      <c r="BU306" s="112"/>
      <c r="BV306" s="112"/>
      <c r="BW306" s="112"/>
      <c r="BX306" s="112"/>
    </row>
    <row r="307" spans="1:79" s="99" customFormat="1" ht="28.5" customHeight="1" x14ac:dyDescent="0.2">
      <c r="A307" s="89">
        <v>1</v>
      </c>
      <c r="B307" s="90"/>
      <c r="C307" s="90"/>
      <c r="D307" s="114" t="s">
        <v>286</v>
      </c>
      <c r="E307" s="93"/>
      <c r="F307" s="93"/>
      <c r="G307" s="93"/>
      <c r="H307" s="93"/>
      <c r="I307" s="93"/>
      <c r="J307" s="93"/>
      <c r="K307" s="93"/>
      <c r="L307" s="93"/>
      <c r="M307" s="93"/>
      <c r="N307" s="93"/>
      <c r="O307" s="93"/>
      <c r="P307" s="94"/>
      <c r="Q307" s="27" t="s">
        <v>282</v>
      </c>
      <c r="R307" s="27"/>
      <c r="S307" s="27"/>
      <c r="T307" s="27"/>
      <c r="U307" s="27"/>
      <c r="V307" s="114" t="s">
        <v>287</v>
      </c>
      <c r="W307" s="93"/>
      <c r="X307" s="93"/>
      <c r="Y307" s="93"/>
      <c r="Z307" s="93"/>
      <c r="AA307" s="93"/>
      <c r="AB307" s="93"/>
      <c r="AC307" s="93"/>
      <c r="AD307" s="93"/>
      <c r="AE307" s="94"/>
      <c r="AF307" s="115">
        <v>170</v>
      </c>
      <c r="AG307" s="115"/>
      <c r="AH307" s="115"/>
      <c r="AI307" s="115"/>
      <c r="AJ307" s="115"/>
      <c r="AK307" s="115">
        <v>0</v>
      </c>
      <c r="AL307" s="115"/>
      <c r="AM307" s="115"/>
      <c r="AN307" s="115"/>
      <c r="AO307" s="115"/>
      <c r="AP307" s="115">
        <v>170</v>
      </c>
      <c r="AQ307" s="115"/>
      <c r="AR307" s="115"/>
      <c r="AS307" s="115"/>
      <c r="AT307" s="115"/>
      <c r="AU307" s="115">
        <v>170</v>
      </c>
      <c r="AV307" s="115"/>
      <c r="AW307" s="115"/>
      <c r="AX307" s="115"/>
      <c r="AY307" s="115"/>
      <c r="AZ307" s="115">
        <v>0</v>
      </c>
      <c r="BA307" s="115"/>
      <c r="BB307" s="115"/>
      <c r="BC307" s="115"/>
      <c r="BD307" s="115"/>
      <c r="BE307" s="115">
        <v>170</v>
      </c>
      <c r="BF307" s="115"/>
      <c r="BG307" s="115"/>
      <c r="BH307" s="115"/>
      <c r="BI307" s="115"/>
      <c r="BJ307" s="115">
        <v>170</v>
      </c>
      <c r="BK307" s="115"/>
      <c r="BL307" s="115"/>
      <c r="BM307" s="115"/>
      <c r="BN307" s="115"/>
      <c r="BO307" s="115">
        <v>0</v>
      </c>
      <c r="BP307" s="115"/>
      <c r="BQ307" s="115"/>
      <c r="BR307" s="115"/>
      <c r="BS307" s="115"/>
      <c r="BT307" s="115">
        <v>170</v>
      </c>
      <c r="BU307" s="115"/>
      <c r="BV307" s="115"/>
      <c r="BW307" s="115"/>
      <c r="BX307" s="115"/>
    </row>
    <row r="308" spans="1:79" s="99" customFormat="1" ht="30" customHeight="1" x14ac:dyDescent="0.2">
      <c r="A308" s="89">
        <v>2</v>
      </c>
      <c r="B308" s="90"/>
      <c r="C308" s="90"/>
      <c r="D308" s="114" t="s">
        <v>288</v>
      </c>
      <c r="E308" s="93"/>
      <c r="F308" s="93"/>
      <c r="G308" s="93"/>
      <c r="H308" s="93"/>
      <c r="I308" s="93"/>
      <c r="J308" s="93"/>
      <c r="K308" s="93"/>
      <c r="L308" s="93"/>
      <c r="M308" s="93"/>
      <c r="N308" s="93"/>
      <c r="O308" s="93"/>
      <c r="P308" s="94"/>
      <c r="Q308" s="27" t="s">
        <v>282</v>
      </c>
      <c r="R308" s="27"/>
      <c r="S308" s="27"/>
      <c r="T308" s="27"/>
      <c r="U308" s="27"/>
      <c r="V308" s="114" t="s">
        <v>287</v>
      </c>
      <c r="W308" s="93"/>
      <c r="X308" s="93"/>
      <c r="Y308" s="93"/>
      <c r="Z308" s="93"/>
      <c r="AA308" s="93"/>
      <c r="AB308" s="93"/>
      <c r="AC308" s="93"/>
      <c r="AD308" s="93"/>
      <c r="AE308" s="94"/>
      <c r="AF308" s="115">
        <v>160</v>
      </c>
      <c r="AG308" s="115"/>
      <c r="AH308" s="115"/>
      <c r="AI308" s="115"/>
      <c r="AJ308" s="115"/>
      <c r="AK308" s="115">
        <v>0</v>
      </c>
      <c r="AL308" s="115"/>
      <c r="AM308" s="115"/>
      <c r="AN308" s="115"/>
      <c r="AO308" s="115"/>
      <c r="AP308" s="115">
        <v>160</v>
      </c>
      <c r="AQ308" s="115"/>
      <c r="AR308" s="115"/>
      <c r="AS308" s="115"/>
      <c r="AT308" s="115"/>
      <c r="AU308" s="115">
        <v>160</v>
      </c>
      <c r="AV308" s="115"/>
      <c r="AW308" s="115"/>
      <c r="AX308" s="115"/>
      <c r="AY308" s="115"/>
      <c r="AZ308" s="115">
        <v>0</v>
      </c>
      <c r="BA308" s="115"/>
      <c r="BB308" s="115"/>
      <c r="BC308" s="115"/>
      <c r="BD308" s="115"/>
      <c r="BE308" s="115">
        <v>160</v>
      </c>
      <c r="BF308" s="115"/>
      <c r="BG308" s="115"/>
      <c r="BH308" s="115"/>
      <c r="BI308" s="115"/>
      <c r="BJ308" s="115">
        <v>160</v>
      </c>
      <c r="BK308" s="115"/>
      <c r="BL308" s="115"/>
      <c r="BM308" s="115"/>
      <c r="BN308" s="115"/>
      <c r="BO308" s="115">
        <v>0</v>
      </c>
      <c r="BP308" s="115"/>
      <c r="BQ308" s="115"/>
      <c r="BR308" s="115"/>
      <c r="BS308" s="115"/>
      <c r="BT308" s="115">
        <v>160</v>
      </c>
      <c r="BU308" s="115"/>
      <c r="BV308" s="115"/>
      <c r="BW308" s="115"/>
      <c r="BX308" s="115"/>
    </row>
    <row r="310" spans="1:79" ht="14.25" customHeight="1" x14ac:dyDescent="0.2">
      <c r="A310" s="29" t="s">
        <v>349</v>
      </c>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c r="AA310" s="29"/>
      <c r="AB310" s="29"/>
      <c r="AC310" s="29"/>
      <c r="AD310" s="29"/>
      <c r="AE310" s="29"/>
      <c r="AF310" s="29"/>
      <c r="AG310" s="29"/>
      <c r="AH310" s="29"/>
      <c r="AI310" s="29"/>
      <c r="AJ310" s="29"/>
      <c r="AK310" s="29"/>
      <c r="AL310" s="29"/>
      <c r="AM310" s="29"/>
      <c r="AN310" s="29"/>
      <c r="AO310" s="29"/>
      <c r="AP310" s="29"/>
      <c r="AQ310" s="29"/>
      <c r="AR310" s="29"/>
      <c r="AS310" s="29"/>
      <c r="AT310" s="29"/>
      <c r="AU310" s="29"/>
      <c r="AV310" s="29"/>
      <c r="AW310" s="29"/>
      <c r="AX310" s="29"/>
      <c r="AY310" s="29"/>
      <c r="AZ310" s="29"/>
      <c r="BA310" s="29"/>
      <c r="BB310" s="29"/>
      <c r="BC310" s="29"/>
      <c r="BD310" s="29"/>
      <c r="BE310" s="29"/>
      <c r="BF310" s="29"/>
      <c r="BG310" s="29"/>
      <c r="BH310" s="29"/>
      <c r="BI310" s="29"/>
      <c r="BJ310" s="29"/>
      <c r="BK310" s="29"/>
      <c r="BL310" s="29"/>
    </row>
    <row r="311" spans="1:79" ht="23.1" customHeight="1" x14ac:dyDescent="0.2">
      <c r="A311" s="51" t="s">
        <v>6</v>
      </c>
      <c r="B311" s="52"/>
      <c r="C311" s="52"/>
      <c r="D311" s="27" t="s">
        <v>9</v>
      </c>
      <c r="E311" s="27"/>
      <c r="F311" s="27"/>
      <c r="G311" s="27"/>
      <c r="H311" s="27"/>
      <c r="I311" s="27"/>
      <c r="J311" s="27"/>
      <c r="K311" s="27"/>
      <c r="L311" s="27"/>
      <c r="M311" s="27"/>
      <c r="N311" s="27"/>
      <c r="O311" s="27"/>
      <c r="P311" s="27"/>
      <c r="Q311" s="27" t="s">
        <v>8</v>
      </c>
      <c r="R311" s="27"/>
      <c r="S311" s="27"/>
      <c r="T311" s="27"/>
      <c r="U311" s="27"/>
      <c r="V311" s="27" t="s">
        <v>7</v>
      </c>
      <c r="W311" s="27"/>
      <c r="X311" s="27"/>
      <c r="Y311" s="27"/>
      <c r="Z311" s="27"/>
      <c r="AA311" s="27"/>
      <c r="AB311" s="27"/>
      <c r="AC311" s="27"/>
      <c r="AD311" s="27"/>
      <c r="AE311" s="27"/>
      <c r="AF311" s="36" t="s">
        <v>340</v>
      </c>
      <c r="AG311" s="37"/>
      <c r="AH311" s="37"/>
      <c r="AI311" s="37"/>
      <c r="AJ311" s="37"/>
      <c r="AK311" s="37"/>
      <c r="AL311" s="37"/>
      <c r="AM311" s="37"/>
      <c r="AN311" s="37"/>
      <c r="AO311" s="37"/>
      <c r="AP311" s="37"/>
      <c r="AQ311" s="37"/>
      <c r="AR311" s="37"/>
      <c r="AS311" s="37"/>
      <c r="AT311" s="38"/>
      <c r="AU311" s="36" t="s">
        <v>345</v>
      </c>
      <c r="AV311" s="37"/>
      <c r="AW311" s="37"/>
      <c r="AX311" s="37"/>
      <c r="AY311" s="37"/>
      <c r="AZ311" s="37"/>
      <c r="BA311" s="37"/>
      <c r="BB311" s="37"/>
      <c r="BC311" s="37"/>
      <c r="BD311" s="37"/>
      <c r="BE311" s="37"/>
      <c r="BF311" s="37"/>
      <c r="BG311" s="37"/>
      <c r="BH311" s="37"/>
      <c r="BI311" s="38"/>
    </row>
    <row r="312" spans="1:79" ht="28.5" customHeight="1" x14ac:dyDescent="0.2">
      <c r="A312" s="54"/>
      <c r="B312" s="55"/>
      <c r="C312" s="55"/>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c r="AB312" s="27"/>
      <c r="AC312" s="27"/>
      <c r="AD312" s="27"/>
      <c r="AE312" s="27"/>
      <c r="AF312" s="27" t="s">
        <v>4</v>
      </c>
      <c r="AG312" s="27"/>
      <c r="AH312" s="27"/>
      <c r="AI312" s="27"/>
      <c r="AJ312" s="27"/>
      <c r="AK312" s="27" t="s">
        <v>3</v>
      </c>
      <c r="AL312" s="27"/>
      <c r="AM312" s="27"/>
      <c r="AN312" s="27"/>
      <c r="AO312" s="27"/>
      <c r="AP312" s="27" t="s">
        <v>123</v>
      </c>
      <c r="AQ312" s="27"/>
      <c r="AR312" s="27"/>
      <c r="AS312" s="27"/>
      <c r="AT312" s="27"/>
      <c r="AU312" s="27" t="s">
        <v>4</v>
      </c>
      <c r="AV312" s="27"/>
      <c r="AW312" s="27"/>
      <c r="AX312" s="27"/>
      <c r="AY312" s="27"/>
      <c r="AZ312" s="27" t="s">
        <v>3</v>
      </c>
      <c r="BA312" s="27"/>
      <c r="BB312" s="27"/>
      <c r="BC312" s="27"/>
      <c r="BD312" s="27"/>
      <c r="BE312" s="27" t="s">
        <v>90</v>
      </c>
      <c r="BF312" s="27"/>
      <c r="BG312" s="27"/>
      <c r="BH312" s="27"/>
      <c r="BI312" s="27"/>
    </row>
    <row r="313" spans="1:79" ht="15" customHeight="1" x14ac:dyDescent="0.2">
      <c r="A313" s="36">
        <v>1</v>
      </c>
      <c r="B313" s="37"/>
      <c r="C313" s="37"/>
      <c r="D313" s="27">
        <v>2</v>
      </c>
      <c r="E313" s="27"/>
      <c r="F313" s="27"/>
      <c r="G313" s="27"/>
      <c r="H313" s="27"/>
      <c r="I313" s="27"/>
      <c r="J313" s="27"/>
      <c r="K313" s="27"/>
      <c r="L313" s="27"/>
      <c r="M313" s="27"/>
      <c r="N313" s="27"/>
      <c r="O313" s="27"/>
      <c r="P313" s="27"/>
      <c r="Q313" s="27">
        <v>3</v>
      </c>
      <c r="R313" s="27"/>
      <c r="S313" s="27"/>
      <c r="T313" s="27"/>
      <c r="U313" s="27"/>
      <c r="V313" s="27">
        <v>4</v>
      </c>
      <c r="W313" s="27"/>
      <c r="X313" s="27"/>
      <c r="Y313" s="27"/>
      <c r="Z313" s="27"/>
      <c r="AA313" s="27"/>
      <c r="AB313" s="27"/>
      <c r="AC313" s="27"/>
      <c r="AD313" s="27"/>
      <c r="AE313" s="27"/>
      <c r="AF313" s="27">
        <v>5</v>
      </c>
      <c r="AG313" s="27"/>
      <c r="AH313" s="27"/>
      <c r="AI313" s="27"/>
      <c r="AJ313" s="27"/>
      <c r="AK313" s="27">
        <v>6</v>
      </c>
      <c r="AL313" s="27"/>
      <c r="AM313" s="27"/>
      <c r="AN313" s="27"/>
      <c r="AO313" s="27"/>
      <c r="AP313" s="27">
        <v>7</v>
      </c>
      <c r="AQ313" s="27"/>
      <c r="AR313" s="27"/>
      <c r="AS313" s="27"/>
      <c r="AT313" s="27"/>
      <c r="AU313" s="27">
        <v>8</v>
      </c>
      <c r="AV313" s="27"/>
      <c r="AW313" s="27"/>
      <c r="AX313" s="27"/>
      <c r="AY313" s="27"/>
      <c r="AZ313" s="27">
        <v>9</v>
      </c>
      <c r="BA313" s="27"/>
      <c r="BB313" s="27"/>
      <c r="BC313" s="27"/>
      <c r="BD313" s="27"/>
      <c r="BE313" s="27">
        <v>10</v>
      </c>
      <c r="BF313" s="27"/>
      <c r="BG313" s="27"/>
      <c r="BH313" s="27"/>
      <c r="BI313" s="27"/>
    </row>
    <row r="314" spans="1:79" ht="15.75" hidden="1" customHeight="1" x14ac:dyDescent="0.2">
      <c r="A314" s="39" t="s">
        <v>154</v>
      </c>
      <c r="B314" s="40"/>
      <c r="C314" s="40"/>
      <c r="D314" s="27" t="s">
        <v>57</v>
      </c>
      <c r="E314" s="27"/>
      <c r="F314" s="27"/>
      <c r="G314" s="27"/>
      <c r="H314" s="27"/>
      <c r="I314" s="27"/>
      <c r="J314" s="27"/>
      <c r="K314" s="27"/>
      <c r="L314" s="27"/>
      <c r="M314" s="27"/>
      <c r="N314" s="27"/>
      <c r="O314" s="27"/>
      <c r="P314" s="27"/>
      <c r="Q314" s="27" t="s">
        <v>70</v>
      </c>
      <c r="R314" s="27"/>
      <c r="S314" s="27"/>
      <c r="T314" s="27"/>
      <c r="U314" s="27"/>
      <c r="V314" s="27" t="s">
        <v>71</v>
      </c>
      <c r="W314" s="27"/>
      <c r="X314" s="27"/>
      <c r="Y314" s="27"/>
      <c r="Z314" s="27"/>
      <c r="AA314" s="27"/>
      <c r="AB314" s="27"/>
      <c r="AC314" s="27"/>
      <c r="AD314" s="27"/>
      <c r="AE314" s="27"/>
      <c r="AF314" s="26" t="s">
        <v>107</v>
      </c>
      <c r="AG314" s="26"/>
      <c r="AH314" s="26"/>
      <c r="AI314" s="26"/>
      <c r="AJ314" s="26"/>
      <c r="AK314" s="30" t="s">
        <v>108</v>
      </c>
      <c r="AL314" s="30"/>
      <c r="AM314" s="30"/>
      <c r="AN314" s="30"/>
      <c r="AO314" s="30"/>
      <c r="AP314" s="50" t="s">
        <v>269</v>
      </c>
      <c r="AQ314" s="50"/>
      <c r="AR314" s="50"/>
      <c r="AS314" s="50"/>
      <c r="AT314" s="50"/>
      <c r="AU314" s="26" t="s">
        <v>109</v>
      </c>
      <c r="AV314" s="26"/>
      <c r="AW314" s="26"/>
      <c r="AX314" s="26"/>
      <c r="AY314" s="26"/>
      <c r="AZ314" s="30" t="s">
        <v>110</v>
      </c>
      <c r="BA314" s="30"/>
      <c r="BB314" s="30"/>
      <c r="BC314" s="30"/>
      <c r="BD314" s="30"/>
      <c r="BE314" s="50" t="s">
        <v>269</v>
      </c>
      <c r="BF314" s="50"/>
      <c r="BG314" s="50"/>
      <c r="BH314" s="50"/>
      <c r="BI314" s="50"/>
      <c r="CA314" t="s">
        <v>39</v>
      </c>
    </row>
    <row r="315" spans="1:79" s="6" customFormat="1" ht="14.25" x14ac:dyDescent="0.2">
      <c r="A315" s="86">
        <v>0</v>
      </c>
      <c r="B315" s="87"/>
      <c r="C315" s="87"/>
      <c r="D315" s="111" t="s">
        <v>268</v>
      </c>
      <c r="E315" s="111"/>
      <c r="F315" s="111"/>
      <c r="G315" s="111"/>
      <c r="H315" s="111"/>
      <c r="I315" s="111"/>
      <c r="J315" s="111"/>
      <c r="K315" s="111"/>
      <c r="L315" s="111"/>
      <c r="M315" s="111"/>
      <c r="N315" s="111"/>
      <c r="O315" s="111"/>
      <c r="P315" s="111"/>
      <c r="Q315" s="111"/>
      <c r="R315" s="111"/>
      <c r="S315" s="111"/>
      <c r="T315" s="111"/>
      <c r="U315" s="111"/>
      <c r="V315" s="111"/>
      <c r="W315" s="111"/>
      <c r="X315" s="111"/>
      <c r="Y315" s="111"/>
      <c r="Z315" s="111"/>
      <c r="AA315" s="111"/>
      <c r="AB315" s="111"/>
      <c r="AC315" s="111"/>
      <c r="AD315" s="111"/>
      <c r="AE315" s="111"/>
      <c r="AF315" s="112"/>
      <c r="AG315" s="112"/>
      <c r="AH315" s="112"/>
      <c r="AI315" s="112"/>
      <c r="AJ315" s="112"/>
      <c r="AK315" s="112"/>
      <c r="AL315" s="112"/>
      <c r="AM315" s="112"/>
      <c r="AN315" s="112"/>
      <c r="AO315" s="112"/>
      <c r="AP315" s="112"/>
      <c r="AQ315" s="112"/>
      <c r="AR315" s="112"/>
      <c r="AS315" s="112"/>
      <c r="AT315" s="112"/>
      <c r="AU315" s="112"/>
      <c r="AV315" s="112"/>
      <c r="AW315" s="112"/>
      <c r="AX315" s="112"/>
      <c r="AY315" s="112"/>
      <c r="AZ315" s="112"/>
      <c r="BA315" s="112"/>
      <c r="BB315" s="112"/>
      <c r="BC315" s="112"/>
      <c r="BD315" s="112"/>
      <c r="BE315" s="112"/>
      <c r="BF315" s="112"/>
      <c r="BG315" s="112"/>
      <c r="BH315" s="112"/>
      <c r="BI315" s="112"/>
      <c r="CA315" s="6" t="s">
        <v>40</v>
      </c>
    </row>
    <row r="316" spans="1:79" s="99" customFormat="1" ht="28.5" customHeight="1" x14ac:dyDescent="0.2">
      <c r="A316" s="89">
        <v>1</v>
      </c>
      <c r="B316" s="90"/>
      <c r="C316" s="90"/>
      <c r="D316" s="114" t="s">
        <v>270</v>
      </c>
      <c r="E316" s="93"/>
      <c r="F316" s="93"/>
      <c r="G316" s="93"/>
      <c r="H316" s="93"/>
      <c r="I316" s="93"/>
      <c r="J316" s="93"/>
      <c r="K316" s="93"/>
      <c r="L316" s="93"/>
      <c r="M316" s="93"/>
      <c r="N316" s="93"/>
      <c r="O316" s="93"/>
      <c r="P316" s="94"/>
      <c r="Q316" s="27" t="s">
        <v>271</v>
      </c>
      <c r="R316" s="27"/>
      <c r="S316" s="27"/>
      <c r="T316" s="27"/>
      <c r="U316" s="27"/>
      <c r="V316" s="114" t="s">
        <v>272</v>
      </c>
      <c r="W316" s="93"/>
      <c r="X316" s="93"/>
      <c r="Y316" s="93"/>
      <c r="Z316" s="93"/>
      <c r="AA316" s="93"/>
      <c r="AB316" s="93"/>
      <c r="AC316" s="93"/>
      <c r="AD316" s="93"/>
      <c r="AE316" s="94"/>
      <c r="AF316" s="115">
        <v>6</v>
      </c>
      <c r="AG316" s="115"/>
      <c r="AH316" s="115"/>
      <c r="AI316" s="115"/>
      <c r="AJ316" s="115"/>
      <c r="AK316" s="115">
        <v>0</v>
      </c>
      <c r="AL316" s="115"/>
      <c r="AM316" s="115"/>
      <c r="AN316" s="115"/>
      <c r="AO316" s="115"/>
      <c r="AP316" s="115">
        <v>6</v>
      </c>
      <c r="AQ316" s="115"/>
      <c r="AR316" s="115"/>
      <c r="AS316" s="115"/>
      <c r="AT316" s="115"/>
      <c r="AU316" s="115">
        <v>6</v>
      </c>
      <c r="AV316" s="115"/>
      <c r="AW316" s="115"/>
      <c r="AX316" s="115"/>
      <c r="AY316" s="115"/>
      <c r="AZ316" s="115">
        <v>0</v>
      </c>
      <c r="BA316" s="115"/>
      <c r="BB316" s="115"/>
      <c r="BC316" s="115"/>
      <c r="BD316" s="115"/>
      <c r="BE316" s="115">
        <v>6</v>
      </c>
      <c r="BF316" s="115"/>
      <c r="BG316" s="115"/>
      <c r="BH316" s="115"/>
      <c r="BI316" s="115"/>
    </row>
    <row r="317" spans="1:79" s="99" customFormat="1" ht="15" customHeight="1" x14ac:dyDescent="0.2">
      <c r="A317" s="89">
        <v>2</v>
      </c>
      <c r="B317" s="90"/>
      <c r="C317" s="90"/>
      <c r="D317" s="114" t="s">
        <v>273</v>
      </c>
      <c r="E317" s="93"/>
      <c r="F317" s="93"/>
      <c r="G317" s="93"/>
      <c r="H317" s="93"/>
      <c r="I317" s="93"/>
      <c r="J317" s="93"/>
      <c r="K317" s="93"/>
      <c r="L317" s="93"/>
      <c r="M317" s="93"/>
      <c r="N317" s="93"/>
      <c r="O317" s="93"/>
      <c r="P317" s="94"/>
      <c r="Q317" s="27" t="s">
        <v>271</v>
      </c>
      <c r="R317" s="27"/>
      <c r="S317" s="27"/>
      <c r="T317" s="27"/>
      <c r="U317" s="27"/>
      <c r="V317" s="114" t="s">
        <v>274</v>
      </c>
      <c r="W317" s="93"/>
      <c r="X317" s="93"/>
      <c r="Y317" s="93"/>
      <c r="Z317" s="93"/>
      <c r="AA317" s="93"/>
      <c r="AB317" s="93"/>
      <c r="AC317" s="93"/>
      <c r="AD317" s="93"/>
      <c r="AE317" s="94"/>
      <c r="AF317" s="115">
        <v>112.95</v>
      </c>
      <c r="AG317" s="115"/>
      <c r="AH317" s="115"/>
      <c r="AI317" s="115"/>
      <c r="AJ317" s="115"/>
      <c r="AK317" s="115">
        <v>0</v>
      </c>
      <c r="AL317" s="115"/>
      <c r="AM317" s="115"/>
      <c r="AN317" s="115"/>
      <c r="AO317" s="115"/>
      <c r="AP317" s="115">
        <v>112.95</v>
      </c>
      <c r="AQ317" s="115"/>
      <c r="AR317" s="115"/>
      <c r="AS317" s="115"/>
      <c r="AT317" s="115"/>
      <c r="AU317" s="115">
        <v>112.95</v>
      </c>
      <c r="AV317" s="115"/>
      <c r="AW317" s="115"/>
      <c r="AX317" s="115"/>
      <c r="AY317" s="115"/>
      <c r="AZ317" s="115">
        <v>0</v>
      </c>
      <c r="BA317" s="115"/>
      <c r="BB317" s="115"/>
      <c r="BC317" s="115"/>
      <c r="BD317" s="115"/>
      <c r="BE317" s="115">
        <v>112.95</v>
      </c>
      <c r="BF317" s="115"/>
      <c r="BG317" s="115"/>
      <c r="BH317" s="115"/>
      <c r="BI317" s="115"/>
    </row>
    <row r="318" spans="1:79" s="6" customFormat="1" ht="14.25" x14ac:dyDescent="0.2">
      <c r="A318" s="86">
        <v>0</v>
      </c>
      <c r="B318" s="87"/>
      <c r="C318" s="87"/>
      <c r="D318" s="113" t="s">
        <v>275</v>
      </c>
      <c r="E318" s="101"/>
      <c r="F318" s="101"/>
      <c r="G318" s="101"/>
      <c r="H318" s="101"/>
      <c r="I318" s="101"/>
      <c r="J318" s="101"/>
      <c r="K318" s="101"/>
      <c r="L318" s="101"/>
      <c r="M318" s="101"/>
      <c r="N318" s="101"/>
      <c r="O318" s="101"/>
      <c r="P318" s="102"/>
      <c r="Q318" s="111"/>
      <c r="R318" s="111"/>
      <c r="S318" s="111"/>
      <c r="T318" s="111"/>
      <c r="U318" s="111"/>
      <c r="V318" s="113"/>
      <c r="W318" s="101"/>
      <c r="X318" s="101"/>
      <c r="Y318" s="101"/>
      <c r="Z318" s="101"/>
      <c r="AA318" s="101"/>
      <c r="AB318" s="101"/>
      <c r="AC318" s="101"/>
      <c r="AD318" s="101"/>
      <c r="AE318" s="102"/>
      <c r="AF318" s="112"/>
      <c r="AG318" s="112"/>
      <c r="AH318" s="112"/>
      <c r="AI318" s="112"/>
      <c r="AJ318" s="112"/>
      <c r="AK318" s="112"/>
      <c r="AL318" s="112"/>
      <c r="AM318" s="112"/>
      <c r="AN318" s="112"/>
      <c r="AO318" s="112"/>
      <c r="AP318" s="112"/>
      <c r="AQ318" s="112"/>
      <c r="AR318" s="112"/>
      <c r="AS318" s="112"/>
      <c r="AT318" s="112"/>
      <c r="AU318" s="112"/>
      <c r="AV318" s="112"/>
      <c r="AW318" s="112"/>
      <c r="AX318" s="112"/>
      <c r="AY318" s="112"/>
      <c r="AZ318" s="112"/>
      <c r="BA318" s="112"/>
      <c r="BB318" s="112"/>
      <c r="BC318" s="112"/>
      <c r="BD318" s="112"/>
      <c r="BE318" s="112"/>
      <c r="BF318" s="112"/>
      <c r="BG318" s="112"/>
      <c r="BH318" s="112"/>
      <c r="BI318" s="112"/>
    </row>
    <row r="319" spans="1:79" s="99" customFormat="1" ht="14.25" customHeight="1" x14ac:dyDescent="0.2">
      <c r="A319" s="89">
        <v>1</v>
      </c>
      <c r="B319" s="90"/>
      <c r="C319" s="90"/>
      <c r="D319" s="114" t="s">
        <v>276</v>
      </c>
      <c r="E319" s="93"/>
      <c r="F319" s="93"/>
      <c r="G319" s="93"/>
      <c r="H319" s="93"/>
      <c r="I319" s="93"/>
      <c r="J319" s="93"/>
      <c r="K319" s="93"/>
      <c r="L319" s="93"/>
      <c r="M319" s="93"/>
      <c r="N319" s="93"/>
      <c r="O319" s="93"/>
      <c r="P319" s="94"/>
      <c r="Q319" s="27" t="s">
        <v>277</v>
      </c>
      <c r="R319" s="27"/>
      <c r="S319" s="27"/>
      <c r="T319" s="27"/>
      <c r="U319" s="27"/>
      <c r="V319" s="114" t="s">
        <v>278</v>
      </c>
      <c r="W319" s="93"/>
      <c r="X319" s="93"/>
      <c r="Y319" s="93"/>
      <c r="Z319" s="93"/>
      <c r="AA319" s="93"/>
      <c r="AB319" s="93"/>
      <c r="AC319" s="93"/>
      <c r="AD319" s="93"/>
      <c r="AE319" s="94"/>
      <c r="AF319" s="115">
        <v>274</v>
      </c>
      <c r="AG319" s="115"/>
      <c r="AH319" s="115"/>
      <c r="AI319" s="115"/>
      <c r="AJ319" s="115"/>
      <c r="AK319" s="115">
        <v>0</v>
      </c>
      <c r="AL319" s="115"/>
      <c r="AM319" s="115"/>
      <c r="AN319" s="115"/>
      <c r="AO319" s="115"/>
      <c r="AP319" s="115">
        <v>274</v>
      </c>
      <c r="AQ319" s="115"/>
      <c r="AR319" s="115"/>
      <c r="AS319" s="115"/>
      <c r="AT319" s="115"/>
      <c r="AU319" s="115">
        <v>274</v>
      </c>
      <c r="AV319" s="115"/>
      <c r="AW319" s="115"/>
      <c r="AX319" s="115"/>
      <c r="AY319" s="115"/>
      <c r="AZ319" s="115">
        <v>0</v>
      </c>
      <c r="BA319" s="115"/>
      <c r="BB319" s="115"/>
      <c r="BC319" s="115"/>
      <c r="BD319" s="115"/>
      <c r="BE319" s="115">
        <v>274</v>
      </c>
      <c r="BF319" s="115"/>
      <c r="BG319" s="115"/>
      <c r="BH319" s="115"/>
      <c r="BI319" s="115"/>
    </row>
    <row r="320" spans="1:79" s="99" customFormat="1" ht="15" customHeight="1" x14ac:dyDescent="0.2">
      <c r="A320" s="89">
        <v>2</v>
      </c>
      <c r="B320" s="90"/>
      <c r="C320" s="90"/>
      <c r="D320" s="114" t="s">
        <v>279</v>
      </c>
      <c r="E320" s="93"/>
      <c r="F320" s="93"/>
      <c r="G320" s="93"/>
      <c r="H320" s="93"/>
      <c r="I320" s="93"/>
      <c r="J320" s="93"/>
      <c r="K320" s="93"/>
      <c r="L320" s="93"/>
      <c r="M320" s="93"/>
      <c r="N320" s="93"/>
      <c r="O320" s="93"/>
      <c r="P320" s="94"/>
      <c r="Q320" s="27" t="s">
        <v>277</v>
      </c>
      <c r="R320" s="27"/>
      <c r="S320" s="27"/>
      <c r="T320" s="27"/>
      <c r="U320" s="27"/>
      <c r="V320" s="114" t="s">
        <v>278</v>
      </c>
      <c r="W320" s="93"/>
      <c r="X320" s="93"/>
      <c r="Y320" s="93"/>
      <c r="Z320" s="93"/>
      <c r="AA320" s="93"/>
      <c r="AB320" s="93"/>
      <c r="AC320" s="93"/>
      <c r="AD320" s="93"/>
      <c r="AE320" s="94"/>
      <c r="AF320" s="115">
        <v>1087</v>
      </c>
      <c r="AG320" s="115"/>
      <c r="AH320" s="115"/>
      <c r="AI320" s="115"/>
      <c r="AJ320" s="115"/>
      <c r="AK320" s="115">
        <v>0</v>
      </c>
      <c r="AL320" s="115"/>
      <c r="AM320" s="115"/>
      <c r="AN320" s="115"/>
      <c r="AO320" s="115"/>
      <c r="AP320" s="115">
        <v>1087</v>
      </c>
      <c r="AQ320" s="115"/>
      <c r="AR320" s="115"/>
      <c r="AS320" s="115"/>
      <c r="AT320" s="115"/>
      <c r="AU320" s="115">
        <v>1087</v>
      </c>
      <c r="AV320" s="115"/>
      <c r="AW320" s="115"/>
      <c r="AX320" s="115"/>
      <c r="AY320" s="115"/>
      <c r="AZ320" s="115">
        <v>0</v>
      </c>
      <c r="BA320" s="115"/>
      <c r="BB320" s="115"/>
      <c r="BC320" s="115"/>
      <c r="BD320" s="115"/>
      <c r="BE320" s="115">
        <v>1087</v>
      </c>
      <c r="BF320" s="115"/>
      <c r="BG320" s="115"/>
      <c r="BH320" s="115"/>
      <c r="BI320" s="115"/>
    </row>
    <row r="321" spans="1:79" s="6" customFormat="1" ht="14.25" x14ac:dyDescent="0.2">
      <c r="A321" s="86">
        <v>0</v>
      </c>
      <c r="B321" s="87"/>
      <c r="C321" s="87"/>
      <c r="D321" s="113" t="s">
        <v>280</v>
      </c>
      <c r="E321" s="101"/>
      <c r="F321" s="101"/>
      <c r="G321" s="101"/>
      <c r="H321" s="101"/>
      <c r="I321" s="101"/>
      <c r="J321" s="101"/>
      <c r="K321" s="101"/>
      <c r="L321" s="101"/>
      <c r="M321" s="101"/>
      <c r="N321" s="101"/>
      <c r="O321" s="101"/>
      <c r="P321" s="102"/>
      <c r="Q321" s="111"/>
      <c r="R321" s="111"/>
      <c r="S321" s="111"/>
      <c r="T321" s="111"/>
      <c r="U321" s="111"/>
      <c r="V321" s="113"/>
      <c r="W321" s="101"/>
      <c r="X321" s="101"/>
      <c r="Y321" s="101"/>
      <c r="Z321" s="101"/>
      <c r="AA321" s="101"/>
      <c r="AB321" s="101"/>
      <c r="AC321" s="101"/>
      <c r="AD321" s="101"/>
      <c r="AE321" s="102"/>
      <c r="AF321" s="112"/>
      <c r="AG321" s="112"/>
      <c r="AH321" s="112"/>
      <c r="AI321" s="112"/>
      <c r="AJ321" s="112"/>
      <c r="AK321" s="112"/>
      <c r="AL321" s="112"/>
      <c r="AM321" s="112"/>
      <c r="AN321" s="112"/>
      <c r="AO321" s="112"/>
      <c r="AP321" s="112"/>
      <c r="AQ321" s="112"/>
      <c r="AR321" s="112"/>
      <c r="AS321" s="112"/>
      <c r="AT321" s="112"/>
      <c r="AU321" s="112"/>
      <c r="AV321" s="112"/>
      <c r="AW321" s="112"/>
      <c r="AX321" s="112"/>
      <c r="AY321" s="112"/>
      <c r="AZ321" s="112"/>
      <c r="BA321" s="112"/>
      <c r="BB321" s="112"/>
      <c r="BC321" s="112"/>
      <c r="BD321" s="112"/>
      <c r="BE321" s="112"/>
      <c r="BF321" s="112"/>
      <c r="BG321" s="112"/>
      <c r="BH321" s="112"/>
      <c r="BI321" s="112"/>
    </row>
    <row r="322" spans="1:79" s="99" customFormat="1" ht="28.5" customHeight="1" x14ac:dyDescent="0.2">
      <c r="A322" s="89">
        <v>1</v>
      </c>
      <c r="B322" s="90"/>
      <c r="C322" s="90"/>
      <c r="D322" s="114" t="s">
        <v>281</v>
      </c>
      <c r="E322" s="93"/>
      <c r="F322" s="93"/>
      <c r="G322" s="93"/>
      <c r="H322" s="93"/>
      <c r="I322" s="93"/>
      <c r="J322" s="93"/>
      <c r="K322" s="93"/>
      <c r="L322" s="93"/>
      <c r="M322" s="93"/>
      <c r="N322" s="93"/>
      <c r="O322" s="93"/>
      <c r="P322" s="94"/>
      <c r="Q322" s="27" t="s">
        <v>282</v>
      </c>
      <c r="R322" s="27"/>
      <c r="S322" s="27"/>
      <c r="T322" s="27"/>
      <c r="U322" s="27"/>
      <c r="V322" s="114" t="s">
        <v>283</v>
      </c>
      <c r="W322" s="93"/>
      <c r="X322" s="93"/>
      <c r="Y322" s="93"/>
      <c r="Z322" s="93"/>
      <c r="AA322" s="93"/>
      <c r="AB322" s="93"/>
      <c r="AC322" s="93"/>
      <c r="AD322" s="93"/>
      <c r="AE322" s="94"/>
      <c r="AF322" s="115">
        <v>46580</v>
      </c>
      <c r="AG322" s="115"/>
      <c r="AH322" s="115"/>
      <c r="AI322" s="115"/>
      <c r="AJ322" s="115"/>
      <c r="AK322" s="115">
        <v>0</v>
      </c>
      <c r="AL322" s="115"/>
      <c r="AM322" s="115"/>
      <c r="AN322" s="115"/>
      <c r="AO322" s="115"/>
      <c r="AP322" s="115">
        <v>46580</v>
      </c>
      <c r="AQ322" s="115"/>
      <c r="AR322" s="115"/>
      <c r="AS322" s="115"/>
      <c r="AT322" s="115"/>
      <c r="AU322" s="115">
        <v>46580</v>
      </c>
      <c r="AV322" s="115"/>
      <c r="AW322" s="115"/>
      <c r="AX322" s="115"/>
      <c r="AY322" s="115"/>
      <c r="AZ322" s="115">
        <v>0</v>
      </c>
      <c r="BA322" s="115"/>
      <c r="BB322" s="115"/>
      <c r="BC322" s="115"/>
      <c r="BD322" s="115"/>
      <c r="BE322" s="115">
        <v>46580</v>
      </c>
      <c r="BF322" s="115"/>
      <c r="BG322" s="115"/>
      <c r="BH322" s="115"/>
      <c r="BI322" s="115"/>
    </row>
    <row r="323" spans="1:79" s="99" customFormat="1" ht="15" customHeight="1" x14ac:dyDescent="0.2">
      <c r="A323" s="89">
        <v>2</v>
      </c>
      <c r="B323" s="90"/>
      <c r="C323" s="90"/>
      <c r="D323" s="114" t="s">
        <v>284</v>
      </c>
      <c r="E323" s="93"/>
      <c r="F323" s="93"/>
      <c r="G323" s="93"/>
      <c r="H323" s="93"/>
      <c r="I323" s="93"/>
      <c r="J323" s="93"/>
      <c r="K323" s="93"/>
      <c r="L323" s="93"/>
      <c r="M323" s="93"/>
      <c r="N323" s="93"/>
      <c r="O323" s="93"/>
      <c r="P323" s="94"/>
      <c r="Q323" s="27" t="s">
        <v>282</v>
      </c>
      <c r="R323" s="27"/>
      <c r="S323" s="27"/>
      <c r="T323" s="27"/>
      <c r="U323" s="27"/>
      <c r="V323" s="114" t="s">
        <v>283</v>
      </c>
      <c r="W323" s="93"/>
      <c r="X323" s="93"/>
      <c r="Y323" s="93"/>
      <c r="Z323" s="93"/>
      <c r="AA323" s="93"/>
      <c r="AB323" s="93"/>
      <c r="AC323" s="93"/>
      <c r="AD323" s="93"/>
      <c r="AE323" s="94"/>
      <c r="AF323" s="115">
        <v>173920</v>
      </c>
      <c r="AG323" s="115"/>
      <c r="AH323" s="115"/>
      <c r="AI323" s="115"/>
      <c r="AJ323" s="115"/>
      <c r="AK323" s="115">
        <v>0</v>
      </c>
      <c r="AL323" s="115"/>
      <c r="AM323" s="115"/>
      <c r="AN323" s="115"/>
      <c r="AO323" s="115"/>
      <c r="AP323" s="115">
        <v>173920</v>
      </c>
      <c r="AQ323" s="115"/>
      <c r="AR323" s="115"/>
      <c r="AS323" s="115"/>
      <c r="AT323" s="115"/>
      <c r="AU323" s="115">
        <v>173920</v>
      </c>
      <c r="AV323" s="115"/>
      <c r="AW323" s="115"/>
      <c r="AX323" s="115"/>
      <c r="AY323" s="115"/>
      <c r="AZ323" s="115">
        <v>0</v>
      </c>
      <c r="BA323" s="115"/>
      <c r="BB323" s="115"/>
      <c r="BC323" s="115"/>
      <c r="BD323" s="115"/>
      <c r="BE323" s="115">
        <v>173920</v>
      </c>
      <c r="BF323" s="115"/>
      <c r="BG323" s="115"/>
      <c r="BH323" s="115"/>
      <c r="BI323" s="115"/>
    </row>
    <row r="324" spans="1:79" s="6" customFormat="1" ht="14.25" x14ac:dyDescent="0.2">
      <c r="A324" s="86">
        <v>0</v>
      </c>
      <c r="B324" s="87"/>
      <c r="C324" s="87"/>
      <c r="D324" s="113" t="s">
        <v>285</v>
      </c>
      <c r="E324" s="101"/>
      <c r="F324" s="101"/>
      <c r="G324" s="101"/>
      <c r="H324" s="101"/>
      <c r="I324" s="101"/>
      <c r="J324" s="101"/>
      <c r="K324" s="101"/>
      <c r="L324" s="101"/>
      <c r="M324" s="101"/>
      <c r="N324" s="101"/>
      <c r="O324" s="101"/>
      <c r="P324" s="102"/>
      <c r="Q324" s="111"/>
      <c r="R324" s="111"/>
      <c r="S324" s="111"/>
      <c r="T324" s="111"/>
      <c r="U324" s="111"/>
      <c r="V324" s="113"/>
      <c r="W324" s="101"/>
      <c r="X324" s="101"/>
      <c r="Y324" s="101"/>
      <c r="Z324" s="101"/>
      <c r="AA324" s="101"/>
      <c r="AB324" s="101"/>
      <c r="AC324" s="101"/>
      <c r="AD324" s="101"/>
      <c r="AE324" s="102"/>
      <c r="AF324" s="112"/>
      <c r="AG324" s="112"/>
      <c r="AH324" s="112"/>
      <c r="AI324" s="112"/>
      <c r="AJ324" s="112"/>
      <c r="AK324" s="112"/>
      <c r="AL324" s="112"/>
      <c r="AM324" s="112"/>
      <c r="AN324" s="112"/>
      <c r="AO324" s="112"/>
      <c r="AP324" s="112"/>
      <c r="AQ324" s="112"/>
      <c r="AR324" s="112"/>
      <c r="AS324" s="112"/>
      <c r="AT324" s="112"/>
      <c r="AU324" s="112"/>
      <c r="AV324" s="112"/>
      <c r="AW324" s="112"/>
      <c r="AX324" s="112"/>
      <c r="AY324" s="112"/>
      <c r="AZ324" s="112"/>
      <c r="BA324" s="112"/>
      <c r="BB324" s="112"/>
      <c r="BC324" s="112"/>
      <c r="BD324" s="112"/>
      <c r="BE324" s="112"/>
      <c r="BF324" s="112"/>
      <c r="BG324" s="112"/>
      <c r="BH324" s="112"/>
      <c r="BI324" s="112"/>
    </row>
    <row r="325" spans="1:79" s="99" customFormat="1" ht="28.5" customHeight="1" x14ac:dyDescent="0.2">
      <c r="A325" s="89">
        <v>1</v>
      </c>
      <c r="B325" s="90"/>
      <c r="C325" s="90"/>
      <c r="D325" s="114" t="s">
        <v>286</v>
      </c>
      <c r="E325" s="93"/>
      <c r="F325" s="93"/>
      <c r="G325" s="93"/>
      <c r="H325" s="93"/>
      <c r="I325" s="93"/>
      <c r="J325" s="93"/>
      <c r="K325" s="93"/>
      <c r="L325" s="93"/>
      <c r="M325" s="93"/>
      <c r="N325" s="93"/>
      <c r="O325" s="93"/>
      <c r="P325" s="94"/>
      <c r="Q325" s="27" t="s">
        <v>282</v>
      </c>
      <c r="R325" s="27"/>
      <c r="S325" s="27"/>
      <c r="T325" s="27"/>
      <c r="U325" s="27"/>
      <c r="V325" s="114" t="s">
        <v>287</v>
      </c>
      <c r="W325" s="93"/>
      <c r="X325" s="93"/>
      <c r="Y325" s="93"/>
      <c r="Z325" s="93"/>
      <c r="AA325" s="93"/>
      <c r="AB325" s="93"/>
      <c r="AC325" s="93"/>
      <c r="AD325" s="93"/>
      <c r="AE325" s="94"/>
      <c r="AF325" s="115">
        <v>170</v>
      </c>
      <c r="AG325" s="115"/>
      <c r="AH325" s="115"/>
      <c r="AI325" s="115"/>
      <c r="AJ325" s="115"/>
      <c r="AK325" s="115">
        <v>0</v>
      </c>
      <c r="AL325" s="115"/>
      <c r="AM325" s="115"/>
      <c r="AN325" s="115"/>
      <c r="AO325" s="115"/>
      <c r="AP325" s="115">
        <v>170</v>
      </c>
      <c r="AQ325" s="115"/>
      <c r="AR325" s="115"/>
      <c r="AS325" s="115"/>
      <c r="AT325" s="115"/>
      <c r="AU325" s="115">
        <v>170</v>
      </c>
      <c r="AV325" s="115"/>
      <c r="AW325" s="115"/>
      <c r="AX325" s="115"/>
      <c r="AY325" s="115"/>
      <c r="AZ325" s="115">
        <v>0</v>
      </c>
      <c r="BA325" s="115"/>
      <c r="BB325" s="115"/>
      <c r="BC325" s="115"/>
      <c r="BD325" s="115"/>
      <c r="BE325" s="115">
        <v>170</v>
      </c>
      <c r="BF325" s="115"/>
      <c r="BG325" s="115"/>
      <c r="BH325" s="115"/>
      <c r="BI325" s="115"/>
    </row>
    <row r="326" spans="1:79" s="99" customFormat="1" ht="30" customHeight="1" x14ac:dyDescent="0.2">
      <c r="A326" s="89">
        <v>2</v>
      </c>
      <c r="B326" s="90"/>
      <c r="C326" s="90"/>
      <c r="D326" s="114" t="s">
        <v>288</v>
      </c>
      <c r="E326" s="93"/>
      <c r="F326" s="93"/>
      <c r="G326" s="93"/>
      <c r="H326" s="93"/>
      <c r="I326" s="93"/>
      <c r="J326" s="93"/>
      <c r="K326" s="93"/>
      <c r="L326" s="93"/>
      <c r="M326" s="93"/>
      <c r="N326" s="93"/>
      <c r="O326" s="93"/>
      <c r="P326" s="94"/>
      <c r="Q326" s="27" t="s">
        <v>282</v>
      </c>
      <c r="R326" s="27"/>
      <c r="S326" s="27"/>
      <c r="T326" s="27"/>
      <c r="U326" s="27"/>
      <c r="V326" s="114" t="s">
        <v>287</v>
      </c>
      <c r="W326" s="93"/>
      <c r="X326" s="93"/>
      <c r="Y326" s="93"/>
      <c r="Z326" s="93"/>
      <c r="AA326" s="93"/>
      <c r="AB326" s="93"/>
      <c r="AC326" s="93"/>
      <c r="AD326" s="93"/>
      <c r="AE326" s="94"/>
      <c r="AF326" s="115">
        <v>160</v>
      </c>
      <c r="AG326" s="115"/>
      <c r="AH326" s="115"/>
      <c r="AI326" s="115"/>
      <c r="AJ326" s="115"/>
      <c r="AK326" s="115">
        <v>0</v>
      </c>
      <c r="AL326" s="115"/>
      <c r="AM326" s="115"/>
      <c r="AN326" s="115"/>
      <c r="AO326" s="115"/>
      <c r="AP326" s="115">
        <v>160</v>
      </c>
      <c r="AQ326" s="115"/>
      <c r="AR326" s="115"/>
      <c r="AS326" s="115"/>
      <c r="AT326" s="115"/>
      <c r="AU326" s="115">
        <v>160</v>
      </c>
      <c r="AV326" s="115"/>
      <c r="AW326" s="115"/>
      <c r="AX326" s="115"/>
      <c r="AY326" s="115"/>
      <c r="AZ326" s="115">
        <v>0</v>
      </c>
      <c r="BA326" s="115"/>
      <c r="BB326" s="115"/>
      <c r="BC326" s="115"/>
      <c r="BD326" s="115"/>
      <c r="BE326" s="115">
        <v>160</v>
      </c>
      <c r="BF326" s="115"/>
      <c r="BG326" s="115"/>
      <c r="BH326" s="115"/>
      <c r="BI326" s="115"/>
    </row>
    <row r="328" spans="1:79" ht="14.25" customHeight="1" x14ac:dyDescent="0.2">
      <c r="A328" s="29" t="s">
        <v>124</v>
      </c>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c r="AA328" s="29"/>
      <c r="AB328" s="29"/>
      <c r="AC328" s="29"/>
      <c r="AD328" s="29"/>
      <c r="AE328" s="29"/>
      <c r="AF328" s="29"/>
      <c r="AG328" s="29"/>
      <c r="AH328" s="29"/>
      <c r="AI328" s="29"/>
      <c r="AJ328" s="29"/>
      <c r="AK328" s="29"/>
      <c r="AL328" s="29"/>
      <c r="AM328" s="29"/>
      <c r="AN328" s="29"/>
      <c r="AO328" s="29"/>
      <c r="AP328" s="29"/>
      <c r="AQ328" s="29"/>
      <c r="AR328" s="29"/>
      <c r="AS328" s="29"/>
      <c r="AT328" s="29"/>
      <c r="AU328" s="29"/>
      <c r="AV328" s="29"/>
      <c r="AW328" s="29"/>
      <c r="AX328" s="29"/>
      <c r="AY328" s="29"/>
      <c r="AZ328" s="29"/>
      <c r="BA328" s="29"/>
      <c r="BB328" s="29"/>
      <c r="BC328" s="29"/>
      <c r="BD328" s="29"/>
      <c r="BE328" s="29"/>
      <c r="BF328" s="29"/>
      <c r="BG328" s="29"/>
      <c r="BH328" s="29"/>
      <c r="BI328" s="29"/>
      <c r="BJ328" s="29"/>
      <c r="BK328" s="29"/>
      <c r="BL328" s="29"/>
    </row>
    <row r="329" spans="1:79" ht="15" customHeight="1" x14ac:dyDescent="0.2">
      <c r="A329" s="44" t="s">
        <v>318</v>
      </c>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c r="AA329" s="44"/>
      <c r="AB329" s="44"/>
      <c r="AC329" s="44"/>
      <c r="AD329" s="44"/>
      <c r="AE329" s="44"/>
      <c r="AF329" s="44"/>
      <c r="AG329" s="44"/>
      <c r="AH329" s="44"/>
      <c r="AI329" s="44"/>
      <c r="AJ329" s="44"/>
      <c r="AK329" s="44"/>
      <c r="AL329" s="44"/>
      <c r="AM329" s="44"/>
      <c r="AN329" s="44"/>
      <c r="AO329" s="44"/>
      <c r="AP329" s="44"/>
      <c r="AQ329" s="44"/>
      <c r="AR329" s="44"/>
      <c r="AS329" s="44"/>
      <c r="AT329" s="44"/>
      <c r="AU329" s="44"/>
      <c r="AV329" s="44"/>
      <c r="AW329" s="44"/>
      <c r="AX329" s="44"/>
      <c r="AY329" s="44"/>
      <c r="AZ329" s="44"/>
      <c r="BA329" s="44"/>
      <c r="BB329" s="44"/>
      <c r="BC329" s="44"/>
      <c r="BD329" s="44"/>
      <c r="BE329" s="44"/>
      <c r="BF329" s="44"/>
      <c r="BG329" s="44"/>
      <c r="BH329" s="44"/>
      <c r="BI329" s="44"/>
      <c r="BJ329" s="44"/>
      <c r="BK329" s="44"/>
      <c r="BL329" s="44"/>
      <c r="BM329" s="44"/>
      <c r="BN329" s="44"/>
      <c r="BO329" s="44"/>
      <c r="BP329" s="44"/>
      <c r="BQ329" s="44"/>
      <c r="BR329" s="44"/>
    </row>
    <row r="330" spans="1:79" ht="12.95" customHeight="1" x14ac:dyDescent="0.2">
      <c r="A330" s="51" t="s">
        <v>19</v>
      </c>
      <c r="B330" s="52"/>
      <c r="C330" s="52"/>
      <c r="D330" s="52"/>
      <c r="E330" s="52"/>
      <c r="F330" s="52"/>
      <c r="G330" s="52"/>
      <c r="H330" s="52"/>
      <c r="I330" s="52"/>
      <c r="J330" s="52"/>
      <c r="K330" s="52"/>
      <c r="L330" s="52"/>
      <c r="M330" s="52"/>
      <c r="N330" s="52"/>
      <c r="O330" s="52"/>
      <c r="P330" s="52"/>
      <c r="Q330" s="52"/>
      <c r="R330" s="52"/>
      <c r="S330" s="52"/>
      <c r="T330" s="53"/>
      <c r="U330" s="27" t="s">
        <v>319</v>
      </c>
      <c r="V330" s="27"/>
      <c r="W330" s="27"/>
      <c r="X330" s="27"/>
      <c r="Y330" s="27"/>
      <c r="Z330" s="27"/>
      <c r="AA330" s="27"/>
      <c r="AB330" s="27"/>
      <c r="AC330" s="27"/>
      <c r="AD330" s="27"/>
      <c r="AE330" s="27" t="s">
        <v>322</v>
      </c>
      <c r="AF330" s="27"/>
      <c r="AG330" s="27"/>
      <c r="AH330" s="27"/>
      <c r="AI330" s="27"/>
      <c r="AJ330" s="27"/>
      <c r="AK330" s="27"/>
      <c r="AL330" s="27"/>
      <c r="AM330" s="27"/>
      <c r="AN330" s="27"/>
      <c r="AO330" s="27" t="s">
        <v>330</v>
      </c>
      <c r="AP330" s="27"/>
      <c r="AQ330" s="27"/>
      <c r="AR330" s="27"/>
      <c r="AS330" s="27"/>
      <c r="AT330" s="27"/>
      <c r="AU330" s="27"/>
      <c r="AV330" s="27"/>
      <c r="AW330" s="27"/>
      <c r="AX330" s="27"/>
      <c r="AY330" s="27" t="s">
        <v>340</v>
      </c>
      <c r="AZ330" s="27"/>
      <c r="BA330" s="27"/>
      <c r="BB330" s="27"/>
      <c r="BC330" s="27"/>
      <c r="BD330" s="27"/>
      <c r="BE330" s="27"/>
      <c r="BF330" s="27"/>
      <c r="BG330" s="27"/>
      <c r="BH330" s="27"/>
      <c r="BI330" s="27" t="s">
        <v>345</v>
      </c>
      <c r="BJ330" s="27"/>
      <c r="BK330" s="27"/>
      <c r="BL330" s="27"/>
      <c r="BM330" s="27"/>
      <c r="BN330" s="27"/>
      <c r="BO330" s="27"/>
      <c r="BP330" s="27"/>
      <c r="BQ330" s="27"/>
      <c r="BR330" s="27"/>
    </row>
    <row r="331" spans="1:79" ht="30" customHeight="1" x14ac:dyDescent="0.2">
      <c r="A331" s="54"/>
      <c r="B331" s="55"/>
      <c r="C331" s="55"/>
      <c r="D331" s="55"/>
      <c r="E331" s="55"/>
      <c r="F331" s="55"/>
      <c r="G331" s="55"/>
      <c r="H331" s="55"/>
      <c r="I331" s="55"/>
      <c r="J331" s="55"/>
      <c r="K331" s="55"/>
      <c r="L331" s="55"/>
      <c r="M331" s="55"/>
      <c r="N331" s="55"/>
      <c r="O331" s="55"/>
      <c r="P331" s="55"/>
      <c r="Q331" s="55"/>
      <c r="R331" s="55"/>
      <c r="S331" s="55"/>
      <c r="T331" s="56"/>
      <c r="U331" s="27" t="s">
        <v>4</v>
      </c>
      <c r="V331" s="27"/>
      <c r="W331" s="27"/>
      <c r="X331" s="27"/>
      <c r="Y331" s="27"/>
      <c r="Z331" s="27" t="s">
        <v>3</v>
      </c>
      <c r="AA331" s="27"/>
      <c r="AB331" s="27"/>
      <c r="AC331" s="27"/>
      <c r="AD331" s="27"/>
      <c r="AE331" s="27" t="s">
        <v>4</v>
      </c>
      <c r="AF331" s="27"/>
      <c r="AG331" s="27"/>
      <c r="AH331" s="27"/>
      <c r="AI331" s="27"/>
      <c r="AJ331" s="27" t="s">
        <v>3</v>
      </c>
      <c r="AK331" s="27"/>
      <c r="AL331" s="27"/>
      <c r="AM331" s="27"/>
      <c r="AN331" s="27"/>
      <c r="AO331" s="27" t="s">
        <v>4</v>
      </c>
      <c r="AP331" s="27"/>
      <c r="AQ331" s="27"/>
      <c r="AR331" s="27"/>
      <c r="AS331" s="27"/>
      <c r="AT331" s="27" t="s">
        <v>3</v>
      </c>
      <c r="AU331" s="27"/>
      <c r="AV331" s="27"/>
      <c r="AW331" s="27"/>
      <c r="AX331" s="27"/>
      <c r="AY331" s="27" t="s">
        <v>4</v>
      </c>
      <c r="AZ331" s="27"/>
      <c r="BA331" s="27"/>
      <c r="BB331" s="27"/>
      <c r="BC331" s="27"/>
      <c r="BD331" s="27" t="s">
        <v>3</v>
      </c>
      <c r="BE331" s="27"/>
      <c r="BF331" s="27"/>
      <c r="BG331" s="27"/>
      <c r="BH331" s="27"/>
      <c r="BI331" s="27" t="s">
        <v>4</v>
      </c>
      <c r="BJ331" s="27"/>
      <c r="BK331" s="27"/>
      <c r="BL331" s="27"/>
      <c r="BM331" s="27"/>
      <c r="BN331" s="27" t="s">
        <v>3</v>
      </c>
      <c r="BO331" s="27"/>
      <c r="BP331" s="27"/>
      <c r="BQ331" s="27"/>
      <c r="BR331" s="27"/>
    </row>
    <row r="332" spans="1:79" ht="15" customHeight="1" x14ac:dyDescent="0.2">
      <c r="A332" s="36">
        <v>1</v>
      </c>
      <c r="B332" s="37"/>
      <c r="C332" s="37"/>
      <c r="D332" s="37"/>
      <c r="E332" s="37"/>
      <c r="F332" s="37"/>
      <c r="G332" s="37"/>
      <c r="H332" s="37"/>
      <c r="I332" s="37"/>
      <c r="J332" s="37"/>
      <c r="K332" s="37"/>
      <c r="L332" s="37"/>
      <c r="M332" s="37"/>
      <c r="N332" s="37"/>
      <c r="O332" s="37"/>
      <c r="P332" s="37"/>
      <c r="Q332" s="37"/>
      <c r="R332" s="37"/>
      <c r="S332" s="37"/>
      <c r="T332" s="38"/>
      <c r="U332" s="27">
        <v>2</v>
      </c>
      <c r="V332" s="27"/>
      <c r="W332" s="27"/>
      <c r="X332" s="27"/>
      <c r="Y332" s="27"/>
      <c r="Z332" s="27">
        <v>3</v>
      </c>
      <c r="AA332" s="27"/>
      <c r="AB332" s="27"/>
      <c r="AC332" s="27"/>
      <c r="AD332" s="27"/>
      <c r="AE332" s="27">
        <v>4</v>
      </c>
      <c r="AF332" s="27"/>
      <c r="AG332" s="27"/>
      <c r="AH332" s="27"/>
      <c r="AI332" s="27"/>
      <c r="AJ332" s="27">
        <v>5</v>
      </c>
      <c r="AK332" s="27"/>
      <c r="AL332" s="27"/>
      <c r="AM332" s="27"/>
      <c r="AN332" s="27"/>
      <c r="AO332" s="27">
        <v>6</v>
      </c>
      <c r="AP332" s="27"/>
      <c r="AQ332" s="27"/>
      <c r="AR332" s="27"/>
      <c r="AS332" s="27"/>
      <c r="AT332" s="27">
        <v>7</v>
      </c>
      <c r="AU332" s="27"/>
      <c r="AV332" s="27"/>
      <c r="AW332" s="27"/>
      <c r="AX332" s="27"/>
      <c r="AY332" s="27">
        <v>8</v>
      </c>
      <c r="AZ332" s="27"/>
      <c r="BA332" s="27"/>
      <c r="BB332" s="27"/>
      <c r="BC332" s="27"/>
      <c r="BD332" s="27">
        <v>9</v>
      </c>
      <c r="BE332" s="27"/>
      <c r="BF332" s="27"/>
      <c r="BG332" s="27"/>
      <c r="BH332" s="27"/>
      <c r="BI332" s="27">
        <v>10</v>
      </c>
      <c r="BJ332" s="27"/>
      <c r="BK332" s="27"/>
      <c r="BL332" s="27"/>
      <c r="BM332" s="27"/>
      <c r="BN332" s="27">
        <v>11</v>
      </c>
      <c r="BO332" s="27"/>
      <c r="BP332" s="27"/>
      <c r="BQ332" s="27"/>
      <c r="BR332" s="27"/>
    </row>
    <row r="333" spans="1:79" s="1" customFormat="1" ht="15.75" hidden="1" customHeight="1" x14ac:dyDescent="0.2">
      <c r="A333" s="39" t="s">
        <v>57</v>
      </c>
      <c r="B333" s="40"/>
      <c r="C333" s="40"/>
      <c r="D333" s="40"/>
      <c r="E333" s="40"/>
      <c r="F333" s="40"/>
      <c r="G333" s="40"/>
      <c r="H333" s="40"/>
      <c r="I333" s="40"/>
      <c r="J333" s="40"/>
      <c r="K333" s="40"/>
      <c r="L333" s="40"/>
      <c r="M333" s="40"/>
      <c r="N333" s="40"/>
      <c r="O333" s="40"/>
      <c r="P333" s="40"/>
      <c r="Q333" s="40"/>
      <c r="R333" s="40"/>
      <c r="S333" s="40"/>
      <c r="T333" s="41"/>
      <c r="U333" s="26" t="s">
        <v>65</v>
      </c>
      <c r="V333" s="26"/>
      <c r="W333" s="26"/>
      <c r="X333" s="26"/>
      <c r="Y333" s="26"/>
      <c r="Z333" s="30" t="s">
        <v>66</v>
      </c>
      <c r="AA333" s="30"/>
      <c r="AB333" s="30"/>
      <c r="AC333" s="30"/>
      <c r="AD333" s="30"/>
      <c r="AE333" s="26" t="s">
        <v>67</v>
      </c>
      <c r="AF333" s="26"/>
      <c r="AG333" s="26"/>
      <c r="AH333" s="26"/>
      <c r="AI333" s="26"/>
      <c r="AJ333" s="30" t="s">
        <v>68</v>
      </c>
      <c r="AK333" s="30"/>
      <c r="AL333" s="30"/>
      <c r="AM333" s="30"/>
      <c r="AN333" s="30"/>
      <c r="AO333" s="26" t="s">
        <v>58</v>
      </c>
      <c r="AP333" s="26"/>
      <c r="AQ333" s="26"/>
      <c r="AR333" s="26"/>
      <c r="AS333" s="26"/>
      <c r="AT333" s="30" t="s">
        <v>59</v>
      </c>
      <c r="AU333" s="30"/>
      <c r="AV333" s="30"/>
      <c r="AW333" s="30"/>
      <c r="AX333" s="30"/>
      <c r="AY333" s="26" t="s">
        <v>60</v>
      </c>
      <c r="AZ333" s="26"/>
      <c r="BA333" s="26"/>
      <c r="BB333" s="26"/>
      <c r="BC333" s="26"/>
      <c r="BD333" s="30" t="s">
        <v>61</v>
      </c>
      <c r="BE333" s="30"/>
      <c r="BF333" s="30"/>
      <c r="BG333" s="30"/>
      <c r="BH333" s="30"/>
      <c r="BI333" s="26" t="s">
        <v>62</v>
      </c>
      <c r="BJ333" s="26"/>
      <c r="BK333" s="26"/>
      <c r="BL333" s="26"/>
      <c r="BM333" s="26"/>
      <c r="BN333" s="30" t="s">
        <v>63</v>
      </c>
      <c r="BO333" s="30"/>
      <c r="BP333" s="30"/>
      <c r="BQ333" s="30"/>
      <c r="BR333" s="30"/>
      <c r="CA333" t="s">
        <v>41</v>
      </c>
    </row>
    <row r="334" spans="1:79" s="6" customFormat="1" ht="12.75" customHeight="1" x14ac:dyDescent="0.2">
      <c r="A334" s="100" t="s">
        <v>289</v>
      </c>
      <c r="B334" s="101"/>
      <c r="C334" s="101"/>
      <c r="D334" s="101"/>
      <c r="E334" s="101"/>
      <c r="F334" s="101"/>
      <c r="G334" s="101"/>
      <c r="H334" s="101"/>
      <c r="I334" s="101"/>
      <c r="J334" s="101"/>
      <c r="K334" s="101"/>
      <c r="L334" s="101"/>
      <c r="M334" s="101"/>
      <c r="N334" s="101"/>
      <c r="O334" s="101"/>
      <c r="P334" s="101"/>
      <c r="Q334" s="101"/>
      <c r="R334" s="101"/>
      <c r="S334" s="101"/>
      <c r="T334" s="102"/>
      <c r="U334" s="116">
        <v>6451761</v>
      </c>
      <c r="V334" s="116"/>
      <c r="W334" s="116"/>
      <c r="X334" s="116"/>
      <c r="Y334" s="116"/>
      <c r="Z334" s="116">
        <v>0</v>
      </c>
      <c r="AA334" s="116"/>
      <c r="AB334" s="116"/>
      <c r="AC334" s="116"/>
      <c r="AD334" s="116"/>
      <c r="AE334" s="116">
        <v>3479823</v>
      </c>
      <c r="AF334" s="116"/>
      <c r="AG334" s="116"/>
      <c r="AH334" s="116"/>
      <c r="AI334" s="116"/>
      <c r="AJ334" s="116">
        <v>0</v>
      </c>
      <c r="AK334" s="116"/>
      <c r="AL334" s="116"/>
      <c r="AM334" s="116"/>
      <c r="AN334" s="116"/>
      <c r="AO334" s="116">
        <v>6043371</v>
      </c>
      <c r="AP334" s="116"/>
      <c r="AQ334" s="116"/>
      <c r="AR334" s="116"/>
      <c r="AS334" s="116"/>
      <c r="AT334" s="116">
        <v>0</v>
      </c>
      <c r="AU334" s="116"/>
      <c r="AV334" s="116"/>
      <c r="AW334" s="116"/>
      <c r="AX334" s="116"/>
      <c r="AY334" s="116">
        <v>6508711</v>
      </c>
      <c r="AZ334" s="116"/>
      <c r="BA334" s="116"/>
      <c r="BB334" s="116"/>
      <c r="BC334" s="116"/>
      <c r="BD334" s="116">
        <v>0</v>
      </c>
      <c r="BE334" s="116"/>
      <c r="BF334" s="116"/>
      <c r="BG334" s="116"/>
      <c r="BH334" s="116"/>
      <c r="BI334" s="116">
        <v>6964321</v>
      </c>
      <c r="BJ334" s="116"/>
      <c r="BK334" s="116"/>
      <c r="BL334" s="116"/>
      <c r="BM334" s="116"/>
      <c r="BN334" s="116">
        <v>0</v>
      </c>
      <c r="BO334" s="116"/>
      <c r="BP334" s="116"/>
      <c r="BQ334" s="116"/>
      <c r="BR334" s="116"/>
      <c r="CA334" s="6" t="s">
        <v>42</v>
      </c>
    </row>
    <row r="335" spans="1:79" s="99" customFormat="1" ht="12.75" customHeight="1" x14ac:dyDescent="0.2">
      <c r="A335" s="92" t="s">
        <v>290</v>
      </c>
      <c r="B335" s="93"/>
      <c r="C335" s="93"/>
      <c r="D335" s="93"/>
      <c r="E335" s="93"/>
      <c r="F335" s="93"/>
      <c r="G335" s="93"/>
      <c r="H335" s="93"/>
      <c r="I335" s="93"/>
      <c r="J335" s="93"/>
      <c r="K335" s="93"/>
      <c r="L335" s="93"/>
      <c r="M335" s="93"/>
      <c r="N335" s="93"/>
      <c r="O335" s="93"/>
      <c r="P335" s="93"/>
      <c r="Q335" s="93"/>
      <c r="R335" s="93"/>
      <c r="S335" s="93"/>
      <c r="T335" s="94"/>
      <c r="U335" s="117">
        <v>2713929</v>
      </c>
      <c r="V335" s="117"/>
      <c r="W335" s="117"/>
      <c r="X335" s="117"/>
      <c r="Y335" s="117"/>
      <c r="Z335" s="117">
        <v>0</v>
      </c>
      <c r="AA335" s="117"/>
      <c r="AB335" s="117"/>
      <c r="AC335" s="117"/>
      <c r="AD335" s="117"/>
      <c r="AE335" s="117">
        <v>1459101</v>
      </c>
      <c r="AF335" s="117"/>
      <c r="AG335" s="117"/>
      <c r="AH335" s="117"/>
      <c r="AI335" s="117"/>
      <c r="AJ335" s="117">
        <v>0</v>
      </c>
      <c r="AK335" s="117"/>
      <c r="AL335" s="117"/>
      <c r="AM335" s="117"/>
      <c r="AN335" s="117"/>
      <c r="AO335" s="117">
        <v>2918203</v>
      </c>
      <c r="AP335" s="117"/>
      <c r="AQ335" s="117"/>
      <c r="AR335" s="117"/>
      <c r="AS335" s="117"/>
      <c r="AT335" s="117">
        <v>0</v>
      </c>
      <c r="AU335" s="117"/>
      <c r="AV335" s="117"/>
      <c r="AW335" s="117"/>
      <c r="AX335" s="117"/>
      <c r="AY335" s="117">
        <v>3142905</v>
      </c>
      <c r="AZ335" s="117"/>
      <c r="BA335" s="117"/>
      <c r="BB335" s="117"/>
      <c r="BC335" s="117"/>
      <c r="BD335" s="117">
        <v>0</v>
      </c>
      <c r="BE335" s="117"/>
      <c r="BF335" s="117"/>
      <c r="BG335" s="117"/>
      <c r="BH335" s="117"/>
      <c r="BI335" s="117">
        <v>3362908</v>
      </c>
      <c r="BJ335" s="117"/>
      <c r="BK335" s="117"/>
      <c r="BL335" s="117"/>
      <c r="BM335" s="117"/>
      <c r="BN335" s="117">
        <v>0</v>
      </c>
      <c r="BO335" s="117"/>
      <c r="BP335" s="117"/>
      <c r="BQ335" s="117"/>
      <c r="BR335" s="117"/>
    </row>
    <row r="336" spans="1:79" s="99" customFormat="1" ht="12.75" customHeight="1" x14ac:dyDescent="0.2">
      <c r="A336" s="92" t="s">
        <v>291</v>
      </c>
      <c r="B336" s="93"/>
      <c r="C336" s="93"/>
      <c r="D336" s="93"/>
      <c r="E336" s="93"/>
      <c r="F336" s="93"/>
      <c r="G336" s="93"/>
      <c r="H336" s="93"/>
      <c r="I336" s="93"/>
      <c r="J336" s="93"/>
      <c r="K336" s="93"/>
      <c r="L336" s="93"/>
      <c r="M336" s="93"/>
      <c r="N336" s="93"/>
      <c r="O336" s="93"/>
      <c r="P336" s="93"/>
      <c r="Q336" s="93"/>
      <c r="R336" s="93"/>
      <c r="S336" s="93"/>
      <c r="T336" s="94"/>
      <c r="U336" s="117">
        <v>3719480</v>
      </c>
      <c r="V336" s="117"/>
      <c r="W336" s="117"/>
      <c r="X336" s="117"/>
      <c r="Y336" s="117"/>
      <c r="Z336" s="117">
        <v>0</v>
      </c>
      <c r="AA336" s="117"/>
      <c r="AB336" s="117"/>
      <c r="AC336" s="117"/>
      <c r="AD336" s="117"/>
      <c r="AE336" s="117">
        <v>2005922</v>
      </c>
      <c r="AF336" s="117"/>
      <c r="AG336" s="117"/>
      <c r="AH336" s="117"/>
      <c r="AI336" s="117"/>
      <c r="AJ336" s="117">
        <v>0</v>
      </c>
      <c r="AK336" s="117"/>
      <c r="AL336" s="117"/>
      <c r="AM336" s="117"/>
      <c r="AN336" s="117"/>
      <c r="AO336" s="117">
        <v>3105435</v>
      </c>
      <c r="AP336" s="117"/>
      <c r="AQ336" s="117"/>
      <c r="AR336" s="117"/>
      <c r="AS336" s="117"/>
      <c r="AT336" s="117">
        <v>0</v>
      </c>
      <c r="AU336" s="117"/>
      <c r="AV336" s="117"/>
      <c r="AW336" s="117"/>
      <c r="AX336" s="117"/>
      <c r="AY336" s="117">
        <v>3344553</v>
      </c>
      <c r="AZ336" s="117"/>
      <c r="BA336" s="117"/>
      <c r="BB336" s="117"/>
      <c r="BC336" s="117"/>
      <c r="BD336" s="117">
        <v>0</v>
      </c>
      <c r="BE336" s="117"/>
      <c r="BF336" s="117"/>
      <c r="BG336" s="117"/>
      <c r="BH336" s="117"/>
      <c r="BI336" s="117">
        <v>3578672</v>
      </c>
      <c r="BJ336" s="117"/>
      <c r="BK336" s="117"/>
      <c r="BL336" s="117"/>
      <c r="BM336" s="117"/>
      <c r="BN336" s="117">
        <v>0</v>
      </c>
      <c r="BO336" s="117"/>
      <c r="BP336" s="117"/>
      <c r="BQ336" s="117"/>
      <c r="BR336" s="117"/>
    </row>
    <row r="337" spans="1:79" s="99" customFormat="1" ht="12.75" customHeight="1" x14ac:dyDescent="0.2">
      <c r="A337" s="92" t="s">
        <v>292</v>
      </c>
      <c r="B337" s="93"/>
      <c r="C337" s="93"/>
      <c r="D337" s="93"/>
      <c r="E337" s="93"/>
      <c r="F337" s="93"/>
      <c r="G337" s="93"/>
      <c r="H337" s="93"/>
      <c r="I337" s="93"/>
      <c r="J337" s="93"/>
      <c r="K337" s="93"/>
      <c r="L337" s="93"/>
      <c r="M337" s="93"/>
      <c r="N337" s="93"/>
      <c r="O337" s="93"/>
      <c r="P337" s="93"/>
      <c r="Q337" s="93"/>
      <c r="R337" s="93"/>
      <c r="S337" s="93"/>
      <c r="T337" s="94"/>
      <c r="U337" s="117">
        <v>18352</v>
      </c>
      <c r="V337" s="117"/>
      <c r="W337" s="117"/>
      <c r="X337" s="117"/>
      <c r="Y337" s="117"/>
      <c r="Z337" s="117">
        <v>0</v>
      </c>
      <c r="AA337" s="117"/>
      <c r="AB337" s="117"/>
      <c r="AC337" s="117"/>
      <c r="AD337" s="117"/>
      <c r="AE337" s="117">
        <v>14800</v>
      </c>
      <c r="AF337" s="117"/>
      <c r="AG337" s="117"/>
      <c r="AH337" s="117"/>
      <c r="AI337" s="117"/>
      <c r="AJ337" s="117">
        <v>0</v>
      </c>
      <c r="AK337" s="117"/>
      <c r="AL337" s="117"/>
      <c r="AM337" s="117"/>
      <c r="AN337" s="117"/>
      <c r="AO337" s="117">
        <v>19733</v>
      </c>
      <c r="AP337" s="117"/>
      <c r="AQ337" s="117"/>
      <c r="AR337" s="117"/>
      <c r="AS337" s="117"/>
      <c r="AT337" s="117">
        <v>0</v>
      </c>
      <c r="AU337" s="117"/>
      <c r="AV337" s="117"/>
      <c r="AW337" s="117"/>
      <c r="AX337" s="117"/>
      <c r="AY337" s="117">
        <v>21253</v>
      </c>
      <c r="AZ337" s="117"/>
      <c r="BA337" s="117"/>
      <c r="BB337" s="117"/>
      <c r="BC337" s="117"/>
      <c r="BD337" s="117">
        <v>0</v>
      </c>
      <c r="BE337" s="117"/>
      <c r="BF337" s="117"/>
      <c r="BG337" s="117"/>
      <c r="BH337" s="117"/>
      <c r="BI337" s="117">
        <v>22741</v>
      </c>
      <c r="BJ337" s="117"/>
      <c r="BK337" s="117"/>
      <c r="BL337" s="117"/>
      <c r="BM337" s="117"/>
      <c r="BN337" s="117">
        <v>0</v>
      </c>
      <c r="BO337" s="117"/>
      <c r="BP337" s="117"/>
      <c r="BQ337" s="117"/>
      <c r="BR337" s="117"/>
    </row>
    <row r="338" spans="1:79" s="6" customFormat="1" ht="12.75" customHeight="1" x14ac:dyDescent="0.2">
      <c r="A338" s="100" t="s">
        <v>293</v>
      </c>
      <c r="B338" s="101"/>
      <c r="C338" s="101"/>
      <c r="D338" s="101"/>
      <c r="E338" s="101"/>
      <c r="F338" s="101"/>
      <c r="G338" s="101"/>
      <c r="H338" s="101"/>
      <c r="I338" s="101"/>
      <c r="J338" s="101"/>
      <c r="K338" s="101"/>
      <c r="L338" s="101"/>
      <c r="M338" s="101"/>
      <c r="N338" s="101"/>
      <c r="O338" s="101"/>
      <c r="P338" s="101"/>
      <c r="Q338" s="101"/>
      <c r="R338" s="101"/>
      <c r="S338" s="101"/>
      <c r="T338" s="102"/>
      <c r="U338" s="116">
        <v>43405</v>
      </c>
      <c r="V338" s="116"/>
      <c r="W338" s="116"/>
      <c r="X338" s="116"/>
      <c r="Y338" s="116"/>
      <c r="Z338" s="116">
        <v>0</v>
      </c>
      <c r="AA338" s="116"/>
      <c r="AB338" s="116"/>
      <c r="AC338" s="116"/>
      <c r="AD338" s="116"/>
      <c r="AE338" s="116">
        <v>30867</v>
      </c>
      <c r="AF338" s="116"/>
      <c r="AG338" s="116"/>
      <c r="AH338" s="116"/>
      <c r="AI338" s="116"/>
      <c r="AJ338" s="116">
        <v>0</v>
      </c>
      <c r="AK338" s="116"/>
      <c r="AL338" s="116"/>
      <c r="AM338" s="116"/>
      <c r="AN338" s="116"/>
      <c r="AO338" s="116">
        <v>0</v>
      </c>
      <c r="AP338" s="116"/>
      <c r="AQ338" s="116"/>
      <c r="AR338" s="116"/>
      <c r="AS338" s="116"/>
      <c r="AT338" s="116">
        <v>0</v>
      </c>
      <c r="AU338" s="116"/>
      <c r="AV338" s="116"/>
      <c r="AW338" s="116"/>
      <c r="AX338" s="116"/>
      <c r="AY338" s="116">
        <v>0</v>
      </c>
      <c r="AZ338" s="116"/>
      <c r="BA338" s="116"/>
      <c r="BB338" s="116"/>
      <c r="BC338" s="116"/>
      <c r="BD338" s="116">
        <v>0</v>
      </c>
      <c r="BE338" s="116"/>
      <c r="BF338" s="116"/>
      <c r="BG338" s="116"/>
      <c r="BH338" s="116"/>
      <c r="BI338" s="116">
        <v>0</v>
      </c>
      <c r="BJ338" s="116"/>
      <c r="BK338" s="116"/>
      <c r="BL338" s="116"/>
      <c r="BM338" s="116"/>
      <c r="BN338" s="116">
        <v>0</v>
      </c>
      <c r="BO338" s="116"/>
      <c r="BP338" s="116"/>
      <c r="BQ338" s="116"/>
      <c r="BR338" s="116"/>
    </row>
    <row r="339" spans="1:79" s="99" customFormat="1" ht="12.75" customHeight="1" x14ac:dyDescent="0.2">
      <c r="A339" s="92" t="s">
        <v>294</v>
      </c>
      <c r="B339" s="93"/>
      <c r="C339" s="93"/>
      <c r="D339" s="93"/>
      <c r="E339" s="93"/>
      <c r="F339" s="93"/>
      <c r="G339" s="93"/>
      <c r="H339" s="93"/>
      <c r="I339" s="93"/>
      <c r="J339" s="93"/>
      <c r="K339" s="93"/>
      <c r="L339" s="93"/>
      <c r="M339" s="93"/>
      <c r="N339" s="93"/>
      <c r="O339" s="93"/>
      <c r="P339" s="93"/>
      <c r="Q339" s="93"/>
      <c r="R339" s="93"/>
      <c r="S339" s="93"/>
      <c r="T339" s="94"/>
      <c r="U339" s="117">
        <v>43405</v>
      </c>
      <c r="V339" s="117"/>
      <c r="W339" s="117"/>
      <c r="X339" s="117"/>
      <c r="Y339" s="117"/>
      <c r="Z339" s="117">
        <v>0</v>
      </c>
      <c r="AA339" s="117"/>
      <c r="AB339" s="117"/>
      <c r="AC339" s="117"/>
      <c r="AD339" s="117"/>
      <c r="AE339" s="117">
        <v>30867</v>
      </c>
      <c r="AF339" s="117"/>
      <c r="AG339" s="117"/>
      <c r="AH339" s="117"/>
      <c r="AI339" s="117"/>
      <c r="AJ339" s="117">
        <v>0</v>
      </c>
      <c r="AK339" s="117"/>
      <c r="AL339" s="117"/>
      <c r="AM339" s="117"/>
      <c r="AN339" s="117"/>
      <c r="AO339" s="117">
        <v>0</v>
      </c>
      <c r="AP339" s="117"/>
      <c r="AQ339" s="117"/>
      <c r="AR339" s="117"/>
      <c r="AS339" s="117"/>
      <c r="AT339" s="117">
        <v>0</v>
      </c>
      <c r="AU339" s="117"/>
      <c r="AV339" s="117"/>
      <c r="AW339" s="117"/>
      <c r="AX339" s="117"/>
      <c r="AY339" s="117">
        <v>0</v>
      </c>
      <c r="AZ339" s="117"/>
      <c r="BA339" s="117"/>
      <c r="BB339" s="117"/>
      <c r="BC339" s="117"/>
      <c r="BD339" s="117">
        <v>0</v>
      </c>
      <c r="BE339" s="117"/>
      <c r="BF339" s="117"/>
      <c r="BG339" s="117"/>
      <c r="BH339" s="117"/>
      <c r="BI339" s="117">
        <v>0</v>
      </c>
      <c r="BJ339" s="117"/>
      <c r="BK339" s="117"/>
      <c r="BL339" s="117"/>
      <c r="BM339" s="117"/>
      <c r="BN339" s="117">
        <v>0</v>
      </c>
      <c r="BO339" s="117"/>
      <c r="BP339" s="117"/>
      <c r="BQ339" s="117"/>
      <c r="BR339" s="117"/>
    </row>
    <row r="340" spans="1:79" s="6" customFormat="1" ht="12.75" customHeight="1" x14ac:dyDescent="0.2">
      <c r="A340" s="100" t="s">
        <v>147</v>
      </c>
      <c r="B340" s="101"/>
      <c r="C340" s="101"/>
      <c r="D340" s="101"/>
      <c r="E340" s="101"/>
      <c r="F340" s="101"/>
      <c r="G340" s="101"/>
      <c r="H340" s="101"/>
      <c r="I340" s="101"/>
      <c r="J340" s="101"/>
      <c r="K340" s="101"/>
      <c r="L340" s="101"/>
      <c r="M340" s="101"/>
      <c r="N340" s="101"/>
      <c r="O340" s="101"/>
      <c r="P340" s="101"/>
      <c r="Q340" s="101"/>
      <c r="R340" s="101"/>
      <c r="S340" s="101"/>
      <c r="T340" s="102"/>
      <c r="U340" s="116">
        <v>6495166</v>
      </c>
      <c r="V340" s="116"/>
      <c r="W340" s="116"/>
      <c r="X340" s="116"/>
      <c r="Y340" s="116"/>
      <c r="Z340" s="116">
        <v>0</v>
      </c>
      <c r="AA340" s="116"/>
      <c r="AB340" s="116"/>
      <c r="AC340" s="116"/>
      <c r="AD340" s="116"/>
      <c r="AE340" s="116">
        <v>3510690</v>
      </c>
      <c r="AF340" s="116"/>
      <c r="AG340" s="116"/>
      <c r="AH340" s="116"/>
      <c r="AI340" s="116"/>
      <c r="AJ340" s="116">
        <v>0</v>
      </c>
      <c r="AK340" s="116"/>
      <c r="AL340" s="116"/>
      <c r="AM340" s="116"/>
      <c r="AN340" s="116"/>
      <c r="AO340" s="116">
        <v>6043371</v>
      </c>
      <c r="AP340" s="116"/>
      <c r="AQ340" s="116"/>
      <c r="AR340" s="116"/>
      <c r="AS340" s="116"/>
      <c r="AT340" s="116">
        <v>0</v>
      </c>
      <c r="AU340" s="116"/>
      <c r="AV340" s="116"/>
      <c r="AW340" s="116"/>
      <c r="AX340" s="116"/>
      <c r="AY340" s="116">
        <v>6508711</v>
      </c>
      <c r="AZ340" s="116"/>
      <c r="BA340" s="116"/>
      <c r="BB340" s="116"/>
      <c r="BC340" s="116"/>
      <c r="BD340" s="116">
        <v>0</v>
      </c>
      <c r="BE340" s="116"/>
      <c r="BF340" s="116"/>
      <c r="BG340" s="116"/>
      <c r="BH340" s="116"/>
      <c r="BI340" s="116">
        <v>6964321</v>
      </c>
      <c r="BJ340" s="116"/>
      <c r="BK340" s="116"/>
      <c r="BL340" s="116"/>
      <c r="BM340" s="116"/>
      <c r="BN340" s="116">
        <v>0</v>
      </c>
      <c r="BO340" s="116"/>
      <c r="BP340" s="116"/>
      <c r="BQ340" s="116"/>
      <c r="BR340" s="116"/>
    </row>
    <row r="341" spans="1:79" s="99" customFormat="1" ht="38.25" customHeight="1" x14ac:dyDescent="0.2">
      <c r="A341" s="92" t="s">
        <v>295</v>
      </c>
      <c r="B341" s="93"/>
      <c r="C341" s="93"/>
      <c r="D341" s="93"/>
      <c r="E341" s="93"/>
      <c r="F341" s="93"/>
      <c r="G341" s="93"/>
      <c r="H341" s="93"/>
      <c r="I341" s="93"/>
      <c r="J341" s="93"/>
      <c r="K341" s="93"/>
      <c r="L341" s="93"/>
      <c r="M341" s="93"/>
      <c r="N341" s="93"/>
      <c r="O341" s="93"/>
      <c r="P341" s="93"/>
      <c r="Q341" s="93"/>
      <c r="R341" s="93"/>
      <c r="S341" s="93"/>
      <c r="T341" s="94"/>
      <c r="U341" s="117" t="s">
        <v>173</v>
      </c>
      <c r="V341" s="117"/>
      <c r="W341" s="117"/>
      <c r="X341" s="117"/>
      <c r="Y341" s="117"/>
      <c r="Z341" s="117"/>
      <c r="AA341" s="117"/>
      <c r="AB341" s="117"/>
      <c r="AC341" s="117"/>
      <c r="AD341" s="117"/>
      <c r="AE341" s="117" t="s">
        <v>173</v>
      </c>
      <c r="AF341" s="117"/>
      <c r="AG341" s="117"/>
      <c r="AH341" s="117"/>
      <c r="AI341" s="117"/>
      <c r="AJ341" s="117"/>
      <c r="AK341" s="117"/>
      <c r="AL341" s="117"/>
      <c r="AM341" s="117"/>
      <c r="AN341" s="117"/>
      <c r="AO341" s="117" t="s">
        <v>173</v>
      </c>
      <c r="AP341" s="117"/>
      <c r="AQ341" s="117"/>
      <c r="AR341" s="117"/>
      <c r="AS341" s="117"/>
      <c r="AT341" s="117"/>
      <c r="AU341" s="117"/>
      <c r="AV341" s="117"/>
      <c r="AW341" s="117"/>
      <c r="AX341" s="117"/>
      <c r="AY341" s="117" t="s">
        <v>173</v>
      </c>
      <c r="AZ341" s="117"/>
      <c r="BA341" s="117"/>
      <c r="BB341" s="117"/>
      <c r="BC341" s="117"/>
      <c r="BD341" s="117"/>
      <c r="BE341" s="117"/>
      <c r="BF341" s="117"/>
      <c r="BG341" s="117"/>
      <c r="BH341" s="117"/>
      <c r="BI341" s="117" t="s">
        <v>173</v>
      </c>
      <c r="BJ341" s="117"/>
      <c r="BK341" s="117"/>
      <c r="BL341" s="117"/>
      <c r="BM341" s="117"/>
      <c r="BN341" s="117"/>
      <c r="BO341" s="117"/>
      <c r="BP341" s="117"/>
      <c r="BQ341" s="117"/>
      <c r="BR341" s="117"/>
    </row>
    <row r="344" spans="1:79" ht="14.25" customHeight="1" x14ac:dyDescent="0.2">
      <c r="A344" s="29" t="s">
        <v>125</v>
      </c>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c r="AA344" s="29"/>
      <c r="AB344" s="29"/>
      <c r="AC344" s="29"/>
      <c r="AD344" s="29"/>
      <c r="AE344" s="29"/>
      <c r="AF344" s="29"/>
      <c r="AG344" s="29"/>
      <c r="AH344" s="29"/>
      <c r="AI344" s="29"/>
      <c r="AJ344" s="29"/>
      <c r="AK344" s="29"/>
      <c r="AL344" s="29"/>
      <c r="AM344" s="29"/>
      <c r="AN344" s="29"/>
      <c r="AO344" s="29"/>
      <c r="AP344" s="29"/>
      <c r="AQ344" s="29"/>
      <c r="AR344" s="29"/>
      <c r="AS344" s="29"/>
      <c r="AT344" s="29"/>
      <c r="AU344" s="29"/>
      <c r="AV344" s="29"/>
      <c r="AW344" s="29"/>
      <c r="AX344" s="29"/>
      <c r="AY344" s="29"/>
      <c r="AZ344" s="29"/>
      <c r="BA344" s="29"/>
      <c r="BB344" s="29"/>
      <c r="BC344" s="29"/>
      <c r="BD344" s="29"/>
      <c r="BE344" s="29"/>
      <c r="BF344" s="29"/>
      <c r="BG344" s="29"/>
      <c r="BH344" s="29"/>
      <c r="BI344" s="29"/>
      <c r="BJ344" s="29"/>
      <c r="BK344" s="29"/>
      <c r="BL344" s="29"/>
    </row>
    <row r="345" spans="1:79" ht="15" customHeight="1" x14ac:dyDescent="0.2">
      <c r="A345" s="51" t="s">
        <v>6</v>
      </c>
      <c r="B345" s="52"/>
      <c r="C345" s="52"/>
      <c r="D345" s="51" t="s">
        <v>10</v>
      </c>
      <c r="E345" s="52"/>
      <c r="F345" s="52"/>
      <c r="G345" s="52"/>
      <c r="H345" s="52"/>
      <c r="I345" s="52"/>
      <c r="J345" s="52"/>
      <c r="K345" s="52"/>
      <c r="L345" s="52"/>
      <c r="M345" s="52"/>
      <c r="N345" s="52"/>
      <c r="O345" s="52"/>
      <c r="P345" s="52"/>
      <c r="Q345" s="52"/>
      <c r="R345" s="52"/>
      <c r="S345" s="52"/>
      <c r="T345" s="52"/>
      <c r="U345" s="52"/>
      <c r="V345" s="53"/>
      <c r="W345" s="27" t="s">
        <v>319</v>
      </c>
      <c r="X345" s="27"/>
      <c r="Y345" s="27"/>
      <c r="Z345" s="27"/>
      <c r="AA345" s="27"/>
      <c r="AB345" s="27"/>
      <c r="AC345" s="27"/>
      <c r="AD345" s="27"/>
      <c r="AE345" s="27"/>
      <c r="AF345" s="27"/>
      <c r="AG345" s="27"/>
      <c r="AH345" s="27"/>
      <c r="AI345" s="27" t="s">
        <v>323</v>
      </c>
      <c r="AJ345" s="27"/>
      <c r="AK345" s="27"/>
      <c r="AL345" s="27"/>
      <c r="AM345" s="27"/>
      <c r="AN345" s="27"/>
      <c r="AO345" s="27"/>
      <c r="AP345" s="27"/>
      <c r="AQ345" s="27"/>
      <c r="AR345" s="27"/>
      <c r="AS345" s="27"/>
      <c r="AT345" s="27"/>
      <c r="AU345" s="27" t="s">
        <v>335</v>
      </c>
      <c r="AV345" s="27"/>
      <c r="AW345" s="27"/>
      <c r="AX345" s="27"/>
      <c r="AY345" s="27"/>
      <c r="AZ345" s="27"/>
      <c r="BA345" s="27" t="s">
        <v>341</v>
      </c>
      <c r="BB345" s="27"/>
      <c r="BC345" s="27"/>
      <c r="BD345" s="27"/>
      <c r="BE345" s="27"/>
      <c r="BF345" s="27"/>
      <c r="BG345" s="27" t="s">
        <v>350</v>
      </c>
      <c r="BH345" s="27"/>
      <c r="BI345" s="27"/>
      <c r="BJ345" s="27"/>
      <c r="BK345" s="27"/>
      <c r="BL345" s="27"/>
    </row>
    <row r="346" spans="1:79" ht="15" customHeight="1" x14ac:dyDescent="0.2">
      <c r="A346" s="71"/>
      <c r="B346" s="72"/>
      <c r="C346" s="72"/>
      <c r="D346" s="71"/>
      <c r="E346" s="72"/>
      <c r="F346" s="72"/>
      <c r="G346" s="72"/>
      <c r="H346" s="72"/>
      <c r="I346" s="72"/>
      <c r="J346" s="72"/>
      <c r="K346" s="72"/>
      <c r="L346" s="72"/>
      <c r="M346" s="72"/>
      <c r="N346" s="72"/>
      <c r="O346" s="72"/>
      <c r="P346" s="72"/>
      <c r="Q346" s="72"/>
      <c r="R346" s="72"/>
      <c r="S346" s="72"/>
      <c r="T346" s="72"/>
      <c r="U346" s="72"/>
      <c r="V346" s="73"/>
      <c r="W346" s="27" t="s">
        <v>4</v>
      </c>
      <c r="X346" s="27"/>
      <c r="Y346" s="27"/>
      <c r="Z346" s="27"/>
      <c r="AA346" s="27"/>
      <c r="AB346" s="27"/>
      <c r="AC346" s="27" t="s">
        <v>3</v>
      </c>
      <c r="AD346" s="27"/>
      <c r="AE346" s="27"/>
      <c r="AF346" s="27"/>
      <c r="AG346" s="27"/>
      <c r="AH346" s="27"/>
      <c r="AI346" s="27" t="s">
        <v>4</v>
      </c>
      <c r="AJ346" s="27"/>
      <c r="AK346" s="27"/>
      <c r="AL346" s="27"/>
      <c r="AM346" s="27"/>
      <c r="AN346" s="27"/>
      <c r="AO346" s="27" t="s">
        <v>3</v>
      </c>
      <c r="AP346" s="27"/>
      <c r="AQ346" s="27"/>
      <c r="AR346" s="27"/>
      <c r="AS346" s="27"/>
      <c r="AT346" s="27"/>
      <c r="AU346" s="74" t="s">
        <v>4</v>
      </c>
      <c r="AV346" s="74"/>
      <c r="AW346" s="74"/>
      <c r="AX346" s="74" t="s">
        <v>3</v>
      </c>
      <c r="AY346" s="74"/>
      <c r="AZ346" s="74"/>
      <c r="BA346" s="74" t="s">
        <v>4</v>
      </c>
      <c r="BB346" s="74"/>
      <c r="BC346" s="74"/>
      <c r="BD346" s="74" t="s">
        <v>3</v>
      </c>
      <c r="BE346" s="74"/>
      <c r="BF346" s="74"/>
      <c r="BG346" s="74" t="s">
        <v>4</v>
      </c>
      <c r="BH346" s="74"/>
      <c r="BI346" s="74"/>
      <c r="BJ346" s="74" t="s">
        <v>3</v>
      </c>
      <c r="BK346" s="74"/>
      <c r="BL346" s="74"/>
    </row>
    <row r="347" spans="1:79" ht="57" customHeight="1" x14ac:dyDescent="0.2">
      <c r="A347" s="54"/>
      <c r="B347" s="55"/>
      <c r="C347" s="55"/>
      <c r="D347" s="54"/>
      <c r="E347" s="55"/>
      <c r="F347" s="55"/>
      <c r="G347" s="55"/>
      <c r="H347" s="55"/>
      <c r="I347" s="55"/>
      <c r="J347" s="55"/>
      <c r="K347" s="55"/>
      <c r="L347" s="55"/>
      <c r="M347" s="55"/>
      <c r="N347" s="55"/>
      <c r="O347" s="55"/>
      <c r="P347" s="55"/>
      <c r="Q347" s="55"/>
      <c r="R347" s="55"/>
      <c r="S347" s="55"/>
      <c r="T347" s="55"/>
      <c r="U347" s="55"/>
      <c r="V347" s="56"/>
      <c r="W347" s="27" t="s">
        <v>12</v>
      </c>
      <c r="X347" s="27"/>
      <c r="Y347" s="27"/>
      <c r="Z347" s="27" t="s">
        <v>11</v>
      </c>
      <c r="AA347" s="27"/>
      <c r="AB347" s="27"/>
      <c r="AC347" s="27" t="s">
        <v>12</v>
      </c>
      <c r="AD347" s="27"/>
      <c r="AE347" s="27"/>
      <c r="AF347" s="27" t="s">
        <v>11</v>
      </c>
      <c r="AG347" s="27"/>
      <c r="AH347" s="27"/>
      <c r="AI347" s="27" t="s">
        <v>12</v>
      </c>
      <c r="AJ347" s="27"/>
      <c r="AK347" s="27"/>
      <c r="AL347" s="27" t="s">
        <v>11</v>
      </c>
      <c r="AM347" s="27"/>
      <c r="AN347" s="27"/>
      <c r="AO347" s="27" t="s">
        <v>12</v>
      </c>
      <c r="AP347" s="27"/>
      <c r="AQ347" s="27"/>
      <c r="AR347" s="27" t="s">
        <v>11</v>
      </c>
      <c r="AS347" s="27"/>
      <c r="AT347" s="27"/>
      <c r="AU347" s="74"/>
      <c r="AV347" s="74"/>
      <c r="AW347" s="74"/>
      <c r="AX347" s="74"/>
      <c r="AY347" s="74"/>
      <c r="AZ347" s="74"/>
      <c r="BA347" s="74"/>
      <c r="BB347" s="74"/>
      <c r="BC347" s="74"/>
      <c r="BD347" s="74"/>
      <c r="BE347" s="74"/>
      <c r="BF347" s="74"/>
      <c r="BG347" s="74"/>
      <c r="BH347" s="74"/>
      <c r="BI347" s="74"/>
      <c r="BJ347" s="74"/>
      <c r="BK347" s="74"/>
      <c r="BL347" s="74"/>
    </row>
    <row r="348" spans="1:79" ht="15" customHeight="1" x14ac:dyDescent="0.2">
      <c r="A348" s="36">
        <v>1</v>
      </c>
      <c r="B348" s="37"/>
      <c r="C348" s="37"/>
      <c r="D348" s="36">
        <v>2</v>
      </c>
      <c r="E348" s="37"/>
      <c r="F348" s="37"/>
      <c r="G348" s="37"/>
      <c r="H348" s="37"/>
      <c r="I348" s="37"/>
      <c r="J348" s="37"/>
      <c r="K348" s="37"/>
      <c r="L348" s="37"/>
      <c r="M348" s="37"/>
      <c r="N348" s="37"/>
      <c r="O348" s="37"/>
      <c r="P348" s="37"/>
      <c r="Q348" s="37"/>
      <c r="R348" s="37"/>
      <c r="S348" s="37"/>
      <c r="T348" s="37"/>
      <c r="U348" s="37"/>
      <c r="V348" s="38"/>
      <c r="W348" s="27">
        <v>3</v>
      </c>
      <c r="X348" s="27"/>
      <c r="Y348" s="27"/>
      <c r="Z348" s="27">
        <v>4</v>
      </c>
      <c r="AA348" s="27"/>
      <c r="AB348" s="27"/>
      <c r="AC348" s="27">
        <v>5</v>
      </c>
      <c r="AD348" s="27"/>
      <c r="AE348" s="27"/>
      <c r="AF348" s="27">
        <v>6</v>
      </c>
      <c r="AG348" s="27"/>
      <c r="AH348" s="27"/>
      <c r="AI348" s="27">
        <v>7</v>
      </c>
      <c r="AJ348" s="27"/>
      <c r="AK348" s="27"/>
      <c r="AL348" s="27">
        <v>8</v>
      </c>
      <c r="AM348" s="27"/>
      <c r="AN348" s="27"/>
      <c r="AO348" s="27">
        <v>9</v>
      </c>
      <c r="AP348" s="27"/>
      <c r="AQ348" s="27"/>
      <c r="AR348" s="27">
        <v>10</v>
      </c>
      <c r="AS348" s="27"/>
      <c r="AT348" s="27"/>
      <c r="AU348" s="27">
        <v>11</v>
      </c>
      <c r="AV348" s="27"/>
      <c r="AW348" s="27"/>
      <c r="AX348" s="27">
        <v>12</v>
      </c>
      <c r="AY348" s="27"/>
      <c r="AZ348" s="27"/>
      <c r="BA348" s="27">
        <v>13</v>
      </c>
      <c r="BB348" s="27"/>
      <c r="BC348" s="27"/>
      <c r="BD348" s="27">
        <v>14</v>
      </c>
      <c r="BE348" s="27"/>
      <c r="BF348" s="27"/>
      <c r="BG348" s="27">
        <v>15</v>
      </c>
      <c r="BH348" s="27"/>
      <c r="BI348" s="27"/>
      <c r="BJ348" s="27">
        <v>16</v>
      </c>
      <c r="BK348" s="27"/>
      <c r="BL348" s="27"/>
    </row>
    <row r="349" spans="1:79" s="1" customFormat="1" ht="12.75" hidden="1" customHeight="1" x14ac:dyDescent="0.2">
      <c r="A349" s="39" t="s">
        <v>69</v>
      </c>
      <c r="B349" s="40"/>
      <c r="C349" s="40"/>
      <c r="D349" s="39" t="s">
        <v>57</v>
      </c>
      <c r="E349" s="40"/>
      <c r="F349" s="40"/>
      <c r="G349" s="40"/>
      <c r="H349" s="40"/>
      <c r="I349" s="40"/>
      <c r="J349" s="40"/>
      <c r="K349" s="40"/>
      <c r="L349" s="40"/>
      <c r="M349" s="40"/>
      <c r="N349" s="40"/>
      <c r="O349" s="40"/>
      <c r="P349" s="40"/>
      <c r="Q349" s="40"/>
      <c r="R349" s="40"/>
      <c r="S349" s="40"/>
      <c r="T349" s="40"/>
      <c r="U349" s="40"/>
      <c r="V349" s="41"/>
      <c r="W349" s="26" t="s">
        <v>72</v>
      </c>
      <c r="X349" s="26"/>
      <c r="Y349" s="26"/>
      <c r="Z349" s="26" t="s">
        <v>73</v>
      </c>
      <c r="AA349" s="26"/>
      <c r="AB349" s="26"/>
      <c r="AC349" s="30" t="s">
        <v>74</v>
      </c>
      <c r="AD349" s="30"/>
      <c r="AE349" s="30"/>
      <c r="AF349" s="30" t="s">
        <v>75</v>
      </c>
      <c r="AG349" s="30"/>
      <c r="AH349" s="30"/>
      <c r="AI349" s="26" t="s">
        <v>76</v>
      </c>
      <c r="AJ349" s="26"/>
      <c r="AK349" s="26"/>
      <c r="AL349" s="26" t="s">
        <v>77</v>
      </c>
      <c r="AM349" s="26"/>
      <c r="AN349" s="26"/>
      <c r="AO349" s="30" t="s">
        <v>104</v>
      </c>
      <c r="AP349" s="30"/>
      <c r="AQ349" s="30"/>
      <c r="AR349" s="30" t="s">
        <v>78</v>
      </c>
      <c r="AS349" s="30"/>
      <c r="AT349" s="30"/>
      <c r="AU349" s="26" t="s">
        <v>105</v>
      </c>
      <c r="AV349" s="26"/>
      <c r="AW349" s="26"/>
      <c r="AX349" s="30" t="s">
        <v>106</v>
      </c>
      <c r="AY349" s="30"/>
      <c r="AZ349" s="30"/>
      <c r="BA349" s="26" t="s">
        <v>107</v>
      </c>
      <c r="BB349" s="26"/>
      <c r="BC349" s="26"/>
      <c r="BD349" s="30" t="s">
        <v>108</v>
      </c>
      <c r="BE349" s="30"/>
      <c r="BF349" s="30"/>
      <c r="BG349" s="26" t="s">
        <v>109</v>
      </c>
      <c r="BH349" s="26"/>
      <c r="BI349" s="26"/>
      <c r="BJ349" s="30" t="s">
        <v>110</v>
      </c>
      <c r="BK349" s="30"/>
      <c r="BL349" s="30"/>
      <c r="CA349" s="1" t="s">
        <v>103</v>
      </c>
    </row>
    <row r="350" spans="1:79" s="99" customFormat="1" ht="12.75" customHeight="1" x14ac:dyDescent="0.2">
      <c r="A350" s="89">
        <v>1</v>
      </c>
      <c r="B350" s="90"/>
      <c r="C350" s="90"/>
      <c r="D350" s="92" t="s">
        <v>296</v>
      </c>
      <c r="E350" s="93"/>
      <c r="F350" s="93"/>
      <c r="G350" s="93"/>
      <c r="H350" s="93"/>
      <c r="I350" s="93"/>
      <c r="J350" s="93"/>
      <c r="K350" s="93"/>
      <c r="L350" s="93"/>
      <c r="M350" s="93"/>
      <c r="N350" s="93"/>
      <c r="O350" s="93"/>
      <c r="P350" s="93"/>
      <c r="Q350" s="93"/>
      <c r="R350" s="93"/>
      <c r="S350" s="93"/>
      <c r="T350" s="93"/>
      <c r="U350" s="93"/>
      <c r="V350" s="94"/>
      <c r="W350" s="115">
        <v>14.25</v>
      </c>
      <c r="X350" s="115"/>
      <c r="Y350" s="115"/>
      <c r="Z350" s="115">
        <v>14.25</v>
      </c>
      <c r="AA350" s="115"/>
      <c r="AB350" s="115"/>
      <c r="AC350" s="115">
        <v>0</v>
      </c>
      <c r="AD350" s="115"/>
      <c r="AE350" s="115"/>
      <c r="AF350" s="115">
        <v>0</v>
      </c>
      <c r="AG350" s="115"/>
      <c r="AH350" s="115"/>
      <c r="AI350" s="115">
        <v>11.75</v>
      </c>
      <c r="AJ350" s="115"/>
      <c r="AK350" s="115"/>
      <c r="AL350" s="115">
        <v>0</v>
      </c>
      <c r="AM350" s="115"/>
      <c r="AN350" s="115"/>
      <c r="AO350" s="115">
        <v>0</v>
      </c>
      <c r="AP350" s="115"/>
      <c r="AQ350" s="115"/>
      <c r="AR350" s="115">
        <v>0</v>
      </c>
      <c r="AS350" s="115"/>
      <c r="AT350" s="115"/>
      <c r="AU350" s="115">
        <v>0</v>
      </c>
      <c r="AV350" s="115"/>
      <c r="AW350" s="115"/>
      <c r="AX350" s="115">
        <v>0</v>
      </c>
      <c r="AY350" s="115"/>
      <c r="AZ350" s="115"/>
      <c r="BA350" s="115">
        <v>0</v>
      </c>
      <c r="BB350" s="115"/>
      <c r="BC350" s="115"/>
      <c r="BD350" s="115">
        <v>0</v>
      </c>
      <c r="BE350" s="115"/>
      <c r="BF350" s="115"/>
      <c r="BG350" s="115">
        <v>0</v>
      </c>
      <c r="BH350" s="115"/>
      <c r="BI350" s="115"/>
      <c r="BJ350" s="115">
        <v>0</v>
      </c>
      <c r="BK350" s="115"/>
      <c r="BL350" s="115"/>
      <c r="CA350" s="99" t="s">
        <v>43</v>
      </c>
    </row>
    <row r="351" spans="1:79" s="99" customFormat="1" ht="12.75" customHeight="1" x14ac:dyDescent="0.2">
      <c r="A351" s="89">
        <v>2</v>
      </c>
      <c r="B351" s="90"/>
      <c r="C351" s="90"/>
      <c r="D351" s="92" t="s">
        <v>297</v>
      </c>
      <c r="E351" s="93"/>
      <c r="F351" s="93"/>
      <c r="G351" s="93"/>
      <c r="H351" s="93"/>
      <c r="I351" s="93"/>
      <c r="J351" s="93"/>
      <c r="K351" s="93"/>
      <c r="L351" s="93"/>
      <c r="M351" s="93"/>
      <c r="N351" s="93"/>
      <c r="O351" s="93"/>
      <c r="P351" s="93"/>
      <c r="Q351" s="93"/>
      <c r="R351" s="93"/>
      <c r="S351" s="93"/>
      <c r="T351" s="93"/>
      <c r="U351" s="93"/>
      <c r="V351" s="94"/>
      <c r="W351" s="115">
        <v>84.34</v>
      </c>
      <c r="X351" s="115"/>
      <c r="Y351" s="115"/>
      <c r="Z351" s="115">
        <v>84.34</v>
      </c>
      <c r="AA351" s="115"/>
      <c r="AB351" s="115"/>
      <c r="AC351" s="115">
        <v>0</v>
      </c>
      <c r="AD351" s="115"/>
      <c r="AE351" s="115"/>
      <c r="AF351" s="115">
        <v>0</v>
      </c>
      <c r="AG351" s="115"/>
      <c r="AH351" s="115"/>
      <c r="AI351" s="115">
        <v>68</v>
      </c>
      <c r="AJ351" s="115"/>
      <c r="AK351" s="115"/>
      <c r="AL351" s="115">
        <v>0</v>
      </c>
      <c r="AM351" s="115"/>
      <c r="AN351" s="115"/>
      <c r="AO351" s="115">
        <v>0</v>
      </c>
      <c r="AP351" s="115"/>
      <c r="AQ351" s="115"/>
      <c r="AR351" s="115">
        <v>0</v>
      </c>
      <c r="AS351" s="115"/>
      <c r="AT351" s="115"/>
      <c r="AU351" s="115">
        <v>0</v>
      </c>
      <c r="AV351" s="115"/>
      <c r="AW351" s="115"/>
      <c r="AX351" s="115">
        <v>0</v>
      </c>
      <c r="AY351" s="115"/>
      <c r="AZ351" s="115"/>
      <c r="BA351" s="115">
        <v>0</v>
      </c>
      <c r="BB351" s="115"/>
      <c r="BC351" s="115"/>
      <c r="BD351" s="115">
        <v>0</v>
      </c>
      <c r="BE351" s="115"/>
      <c r="BF351" s="115"/>
      <c r="BG351" s="115">
        <v>0</v>
      </c>
      <c r="BH351" s="115"/>
      <c r="BI351" s="115"/>
      <c r="BJ351" s="115">
        <v>0</v>
      </c>
      <c r="BK351" s="115"/>
      <c r="BL351" s="115"/>
    </row>
    <row r="352" spans="1:79" s="99" customFormat="1" ht="12.75" customHeight="1" x14ac:dyDescent="0.2">
      <c r="A352" s="89">
        <v>3</v>
      </c>
      <c r="B352" s="90"/>
      <c r="C352" s="90"/>
      <c r="D352" s="92" t="s">
        <v>298</v>
      </c>
      <c r="E352" s="93"/>
      <c r="F352" s="93"/>
      <c r="G352" s="93"/>
      <c r="H352" s="93"/>
      <c r="I352" s="93"/>
      <c r="J352" s="93"/>
      <c r="K352" s="93"/>
      <c r="L352" s="93"/>
      <c r="M352" s="93"/>
      <c r="N352" s="93"/>
      <c r="O352" s="93"/>
      <c r="P352" s="93"/>
      <c r="Q352" s="93"/>
      <c r="R352" s="93"/>
      <c r="S352" s="93"/>
      <c r="T352" s="93"/>
      <c r="U352" s="93"/>
      <c r="V352" s="94"/>
      <c r="W352" s="115">
        <v>48.29</v>
      </c>
      <c r="X352" s="115"/>
      <c r="Y352" s="115"/>
      <c r="Z352" s="115">
        <v>48.29</v>
      </c>
      <c r="AA352" s="115"/>
      <c r="AB352" s="115"/>
      <c r="AC352" s="115">
        <v>0</v>
      </c>
      <c r="AD352" s="115"/>
      <c r="AE352" s="115"/>
      <c r="AF352" s="115">
        <v>0</v>
      </c>
      <c r="AG352" s="115"/>
      <c r="AH352" s="115"/>
      <c r="AI352" s="115">
        <v>33.200000000000003</v>
      </c>
      <c r="AJ352" s="115"/>
      <c r="AK352" s="115"/>
      <c r="AL352" s="115">
        <v>0</v>
      </c>
      <c r="AM352" s="115"/>
      <c r="AN352" s="115"/>
      <c r="AO352" s="115">
        <v>0</v>
      </c>
      <c r="AP352" s="115"/>
      <c r="AQ352" s="115"/>
      <c r="AR352" s="115">
        <v>0</v>
      </c>
      <c r="AS352" s="115"/>
      <c r="AT352" s="115"/>
      <c r="AU352" s="115">
        <v>0</v>
      </c>
      <c r="AV352" s="115"/>
      <c r="AW352" s="115"/>
      <c r="AX352" s="115">
        <v>0</v>
      </c>
      <c r="AY352" s="115"/>
      <c r="AZ352" s="115"/>
      <c r="BA352" s="115">
        <v>0</v>
      </c>
      <c r="BB352" s="115"/>
      <c r="BC352" s="115"/>
      <c r="BD352" s="115">
        <v>0</v>
      </c>
      <c r="BE352" s="115"/>
      <c r="BF352" s="115"/>
      <c r="BG352" s="115">
        <v>0</v>
      </c>
      <c r="BH352" s="115"/>
      <c r="BI352" s="115"/>
      <c r="BJ352" s="115">
        <v>0</v>
      </c>
      <c r="BK352" s="115"/>
      <c r="BL352" s="115"/>
    </row>
    <row r="353" spans="1:79" s="6" customFormat="1" ht="12.75" customHeight="1" x14ac:dyDescent="0.2">
      <c r="A353" s="86">
        <v>4</v>
      </c>
      <c r="B353" s="87"/>
      <c r="C353" s="87"/>
      <c r="D353" s="100" t="s">
        <v>299</v>
      </c>
      <c r="E353" s="101"/>
      <c r="F353" s="101"/>
      <c r="G353" s="101"/>
      <c r="H353" s="101"/>
      <c r="I353" s="101"/>
      <c r="J353" s="101"/>
      <c r="K353" s="101"/>
      <c r="L353" s="101"/>
      <c r="M353" s="101"/>
      <c r="N353" s="101"/>
      <c r="O353" s="101"/>
      <c r="P353" s="101"/>
      <c r="Q353" s="101"/>
      <c r="R353" s="101"/>
      <c r="S353" s="101"/>
      <c r="T353" s="101"/>
      <c r="U353" s="101"/>
      <c r="V353" s="102"/>
      <c r="W353" s="112">
        <v>146.88</v>
      </c>
      <c r="X353" s="112"/>
      <c r="Y353" s="112"/>
      <c r="Z353" s="112">
        <v>146.88</v>
      </c>
      <c r="AA353" s="112"/>
      <c r="AB353" s="112"/>
      <c r="AC353" s="112">
        <v>0</v>
      </c>
      <c r="AD353" s="112"/>
      <c r="AE353" s="112"/>
      <c r="AF353" s="112">
        <v>0</v>
      </c>
      <c r="AG353" s="112"/>
      <c r="AH353" s="112"/>
      <c r="AI353" s="112">
        <v>112.95</v>
      </c>
      <c r="AJ353" s="112"/>
      <c r="AK353" s="112"/>
      <c r="AL353" s="112">
        <v>0</v>
      </c>
      <c r="AM353" s="112"/>
      <c r="AN353" s="112"/>
      <c r="AO353" s="112">
        <v>0</v>
      </c>
      <c r="AP353" s="112"/>
      <c r="AQ353" s="112"/>
      <c r="AR353" s="112">
        <v>0</v>
      </c>
      <c r="AS353" s="112"/>
      <c r="AT353" s="112"/>
      <c r="AU353" s="112">
        <v>0</v>
      </c>
      <c r="AV353" s="112"/>
      <c r="AW353" s="112"/>
      <c r="AX353" s="112">
        <v>0</v>
      </c>
      <c r="AY353" s="112"/>
      <c r="AZ353" s="112"/>
      <c r="BA353" s="112">
        <v>0</v>
      </c>
      <c r="BB353" s="112"/>
      <c r="BC353" s="112"/>
      <c r="BD353" s="112">
        <v>0</v>
      </c>
      <c r="BE353" s="112"/>
      <c r="BF353" s="112"/>
      <c r="BG353" s="112">
        <v>0</v>
      </c>
      <c r="BH353" s="112"/>
      <c r="BI353" s="112"/>
      <c r="BJ353" s="112">
        <v>0</v>
      </c>
      <c r="BK353" s="112"/>
      <c r="BL353" s="112"/>
    </row>
    <row r="354" spans="1:79" s="99" customFormat="1" ht="25.5" customHeight="1" x14ac:dyDescent="0.2">
      <c r="A354" s="89">
        <v>5</v>
      </c>
      <c r="B354" s="90"/>
      <c r="C354" s="90"/>
      <c r="D354" s="92" t="s">
        <v>300</v>
      </c>
      <c r="E354" s="93"/>
      <c r="F354" s="93"/>
      <c r="G354" s="93"/>
      <c r="H354" s="93"/>
      <c r="I354" s="93"/>
      <c r="J354" s="93"/>
      <c r="K354" s="93"/>
      <c r="L354" s="93"/>
      <c r="M354" s="93"/>
      <c r="N354" s="93"/>
      <c r="O354" s="93"/>
      <c r="P354" s="93"/>
      <c r="Q354" s="93"/>
      <c r="R354" s="93"/>
      <c r="S354" s="93"/>
      <c r="T354" s="93"/>
      <c r="U354" s="93"/>
      <c r="V354" s="94"/>
      <c r="W354" s="115" t="s">
        <v>173</v>
      </c>
      <c r="X354" s="115"/>
      <c r="Y354" s="115"/>
      <c r="Z354" s="115" t="s">
        <v>173</v>
      </c>
      <c r="AA354" s="115"/>
      <c r="AB354" s="115"/>
      <c r="AC354" s="115"/>
      <c r="AD354" s="115"/>
      <c r="AE354" s="115"/>
      <c r="AF354" s="115"/>
      <c r="AG354" s="115"/>
      <c r="AH354" s="115"/>
      <c r="AI354" s="115" t="s">
        <v>173</v>
      </c>
      <c r="AJ354" s="115"/>
      <c r="AK354" s="115"/>
      <c r="AL354" s="115" t="s">
        <v>173</v>
      </c>
      <c r="AM354" s="115"/>
      <c r="AN354" s="115"/>
      <c r="AO354" s="115"/>
      <c r="AP354" s="115"/>
      <c r="AQ354" s="115"/>
      <c r="AR354" s="115"/>
      <c r="AS354" s="115"/>
      <c r="AT354" s="115"/>
      <c r="AU354" s="115" t="s">
        <v>173</v>
      </c>
      <c r="AV354" s="115"/>
      <c r="AW354" s="115"/>
      <c r="AX354" s="115"/>
      <c r="AY354" s="115"/>
      <c r="AZ354" s="115"/>
      <c r="BA354" s="115" t="s">
        <v>173</v>
      </c>
      <c r="BB354" s="115"/>
      <c r="BC354" s="115"/>
      <c r="BD354" s="115"/>
      <c r="BE354" s="115"/>
      <c r="BF354" s="115"/>
      <c r="BG354" s="115" t="s">
        <v>173</v>
      </c>
      <c r="BH354" s="115"/>
      <c r="BI354" s="115"/>
      <c r="BJ354" s="115"/>
      <c r="BK354" s="115"/>
      <c r="BL354" s="115"/>
    </row>
    <row r="357" spans="1:79" ht="14.25" customHeight="1" x14ac:dyDescent="0.2">
      <c r="A357" s="29" t="s">
        <v>153</v>
      </c>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c r="AA357" s="29"/>
      <c r="AB357" s="29"/>
      <c r="AC357" s="29"/>
      <c r="AD357" s="29"/>
      <c r="AE357" s="29"/>
      <c r="AF357" s="29"/>
      <c r="AG357" s="29"/>
      <c r="AH357" s="29"/>
      <c r="AI357" s="29"/>
      <c r="AJ357" s="29"/>
      <c r="AK357" s="29"/>
      <c r="AL357" s="29"/>
      <c r="AM357" s="29"/>
      <c r="AN357" s="29"/>
      <c r="AO357" s="29"/>
      <c r="AP357" s="29"/>
      <c r="AQ357" s="29"/>
      <c r="AR357" s="29"/>
      <c r="AS357" s="29"/>
      <c r="AT357" s="29"/>
      <c r="AU357" s="29"/>
      <c r="AV357" s="29"/>
      <c r="AW357" s="29"/>
      <c r="AX357" s="29"/>
      <c r="AY357" s="29"/>
      <c r="AZ357" s="29"/>
      <c r="BA357" s="29"/>
      <c r="BB357" s="29"/>
      <c r="BC357" s="29"/>
      <c r="BD357" s="29"/>
      <c r="BE357" s="29"/>
      <c r="BF357" s="29"/>
      <c r="BG357" s="29"/>
      <c r="BH357" s="29"/>
      <c r="BI357" s="29"/>
      <c r="BJ357" s="29"/>
      <c r="BK357" s="29"/>
      <c r="BL357" s="29"/>
    </row>
    <row r="358" spans="1:79" ht="14.25" customHeight="1" x14ac:dyDescent="0.2">
      <c r="A358" s="29" t="s">
        <v>336</v>
      </c>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c r="AA358" s="29"/>
      <c r="AB358" s="29"/>
      <c r="AC358" s="29"/>
      <c r="AD358" s="29"/>
      <c r="AE358" s="29"/>
      <c r="AF358" s="29"/>
      <c r="AG358" s="29"/>
      <c r="AH358" s="29"/>
      <c r="AI358" s="29"/>
      <c r="AJ358" s="29"/>
      <c r="AK358" s="29"/>
      <c r="AL358" s="29"/>
      <c r="AM358" s="29"/>
      <c r="AN358" s="29"/>
      <c r="AO358" s="29"/>
      <c r="AP358" s="29"/>
      <c r="AQ358" s="29"/>
      <c r="AR358" s="29"/>
      <c r="AS358" s="29"/>
      <c r="AT358" s="29"/>
      <c r="AU358" s="29"/>
      <c r="AV358" s="29"/>
      <c r="AW358" s="29"/>
      <c r="AX358" s="29"/>
      <c r="AY358" s="29"/>
      <c r="AZ358" s="29"/>
      <c r="BA358" s="29"/>
      <c r="BB358" s="29"/>
      <c r="BC358" s="29"/>
      <c r="BD358" s="29"/>
      <c r="BE358" s="29"/>
      <c r="BF358" s="29"/>
      <c r="BG358" s="29"/>
      <c r="BH358" s="29"/>
      <c r="BI358" s="29"/>
      <c r="BJ358" s="29"/>
      <c r="BK358" s="29"/>
      <c r="BL358" s="29"/>
      <c r="BM358" s="29"/>
      <c r="BN358" s="29"/>
      <c r="BO358" s="29"/>
      <c r="BP358" s="29"/>
      <c r="BQ358" s="29"/>
      <c r="BR358" s="29"/>
      <c r="BS358" s="29"/>
    </row>
    <row r="359" spans="1:79" ht="15" customHeight="1" x14ac:dyDescent="0.2">
      <c r="A359" s="31" t="s">
        <v>318</v>
      </c>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c r="AB359" s="31"/>
      <c r="AC359" s="31"/>
      <c r="AD359" s="31"/>
      <c r="AE359" s="31"/>
      <c r="AF359" s="31"/>
      <c r="AG359" s="31"/>
      <c r="AH359" s="31"/>
      <c r="AI359" s="31"/>
      <c r="AJ359" s="31"/>
      <c r="AK359" s="31"/>
      <c r="AL359" s="31"/>
      <c r="AM359" s="31"/>
      <c r="AN359" s="31"/>
      <c r="AO359" s="31"/>
      <c r="AP359" s="31"/>
      <c r="AQ359" s="31"/>
      <c r="AR359" s="31"/>
      <c r="AS359" s="31"/>
      <c r="AT359" s="31"/>
      <c r="AU359" s="31"/>
      <c r="AV359" s="31"/>
      <c r="AW359" s="31"/>
      <c r="AX359" s="31"/>
      <c r="AY359" s="31"/>
      <c r="AZ359" s="31"/>
      <c r="BA359" s="31"/>
      <c r="BB359" s="31"/>
      <c r="BC359" s="31"/>
      <c r="BD359" s="31"/>
      <c r="BE359" s="31"/>
      <c r="BF359" s="31"/>
      <c r="BG359" s="31"/>
      <c r="BH359" s="31"/>
      <c r="BI359" s="31"/>
      <c r="BJ359" s="31"/>
      <c r="BK359" s="31"/>
      <c r="BL359" s="31"/>
      <c r="BM359" s="31"/>
      <c r="BN359" s="31"/>
      <c r="BO359" s="31"/>
      <c r="BP359" s="31"/>
      <c r="BQ359" s="31"/>
      <c r="BR359" s="31"/>
      <c r="BS359" s="31"/>
    </row>
    <row r="360" spans="1:79" ht="15" customHeight="1" x14ac:dyDescent="0.2">
      <c r="A360" s="27" t="s">
        <v>6</v>
      </c>
      <c r="B360" s="27"/>
      <c r="C360" s="27"/>
      <c r="D360" s="27"/>
      <c r="E360" s="27"/>
      <c r="F360" s="27"/>
      <c r="G360" s="27" t="s">
        <v>126</v>
      </c>
      <c r="H360" s="27"/>
      <c r="I360" s="27"/>
      <c r="J360" s="27"/>
      <c r="K360" s="27"/>
      <c r="L360" s="27"/>
      <c r="M360" s="27"/>
      <c r="N360" s="27"/>
      <c r="O360" s="27"/>
      <c r="P360" s="27"/>
      <c r="Q360" s="27"/>
      <c r="R360" s="27"/>
      <c r="S360" s="27"/>
      <c r="T360" s="27" t="s">
        <v>13</v>
      </c>
      <c r="U360" s="27"/>
      <c r="V360" s="27"/>
      <c r="W360" s="27"/>
      <c r="X360" s="27"/>
      <c r="Y360" s="27"/>
      <c r="Z360" s="27"/>
      <c r="AA360" s="36" t="s">
        <v>319</v>
      </c>
      <c r="AB360" s="76"/>
      <c r="AC360" s="76"/>
      <c r="AD360" s="76"/>
      <c r="AE360" s="76"/>
      <c r="AF360" s="76"/>
      <c r="AG360" s="76"/>
      <c r="AH360" s="76"/>
      <c r="AI360" s="76"/>
      <c r="AJ360" s="76"/>
      <c r="AK360" s="76"/>
      <c r="AL360" s="76"/>
      <c r="AM360" s="76"/>
      <c r="AN360" s="76"/>
      <c r="AO360" s="77"/>
      <c r="AP360" s="36" t="s">
        <v>322</v>
      </c>
      <c r="AQ360" s="37"/>
      <c r="AR360" s="37"/>
      <c r="AS360" s="37"/>
      <c r="AT360" s="37"/>
      <c r="AU360" s="37"/>
      <c r="AV360" s="37"/>
      <c r="AW360" s="37"/>
      <c r="AX360" s="37"/>
      <c r="AY360" s="37"/>
      <c r="AZ360" s="37"/>
      <c r="BA360" s="37"/>
      <c r="BB360" s="37"/>
      <c r="BC360" s="37"/>
      <c r="BD360" s="38"/>
      <c r="BE360" s="36" t="s">
        <v>330</v>
      </c>
      <c r="BF360" s="37"/>
      <c r="BG360" s="37"/>
      <c r="BH360" s="37"/>
      <c r="BI360" s="37"/>
      <c r="BJ360" s="37"/>
      <c r="BK360" s="37"/>
      <c r="BL360" s="37"/>
      <c r="BM360" s="37"/>
      <c r="BN360" s="37"/>
      <c r="BO360" s="37"/>
      <c r="BP360" s="37"/>
      <c r="BQ360" s="37"/>
      <c r="BR360" s="37"/>
      <c r="BS360" s="38"/>
    </row>
    <row r="361" spans="1:79" ht="32.1" customHeight="1" x14ac:dyDescent="0.2">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t="s">
        <v>4</v>
      </c>
      <c r="AB361" s="27"/>
      <c r="AC361" s="27"/>
      <c r="AD361" s="27"/>
      <c r="AE361" s="27"/>
      <c r="AF361" s="27" t="s">
        <v>3</v>
      </c>
      <c r="AG361" s="27"/>
      <c r="AH361" s="27"/>
      <c r="AI361" s="27"/>
      <c r="AJ361" s="27"/>
      <c r="AK361" s="27" t="s">
        <v>89</v>
      </c>
      <c r="AL361" s="27"/>
      <c r="AM361" s="27"/>
      <c r="AN361" s="27"/>
      <c r="AO361" s="27"/>
      <c r="AP361" s="27" t="s">
        <v>4</v>
      </c>
      <c r="AQ361" s="27"/>
      <c r="AR361" s="27"/>
      <c r="AS361" s="27"/>
      <c r="AT361" s="27"/>
      <c r="AU361" s="27" t="s">
        <v>3</v>
      </c>
      <c r="AV361" s="27"/>
      <c r="AW361" s="27"/>
      <c r="AX361" s="27"/>
      <c r="AY361" s="27"/>
      <c r="AZ361" s="27" t="s">
        <v>96</v>
      </c>
      <c r="BA361" s="27"/>
      <c r="BB361" s="27"/>
      <c r="BC361" s="27"/>
      <c r="BD361" s="27"/>
      <c r="BE361" s="27" t="s">
        <v>4</v>
      </c>
      <c r="BF361" s="27"/>
      <c r="BG361" s="27"/>
      <c r="BH361" s="27"/>
      <c r="BI361" s="27"/>
      <c r="BJ361" s="27" t="s">
        <v>3</v>
      </c>
      <c r="BK361" s="27"/>
      <c r="BL361" s="27"/>
      <c r="BM361" s="27"/>
      <c r="BN361" s="27"/>
      <c r="BO361" s="27" t="s">
        <v>127</v>
      </c>
      <c r="BP361" s="27"/>
      <c r="BQ361" s="27"/>
      <c r="BR361" s="27"/>
      <c r="BS361" s="27"/>
    </row>
    <row r="362" spans="1:79" ht="15" customHeight="1" x14ac:dyDescent="0.2">
      <c r="A362" s="27">
        <v>1</v>
      </c>
      <c r="B362" s="27"/>
      <c r="C362" s="27"/>
      <c r="D362" s="27"/>
      <c r="E362" s="27"/>
      <c r="F362" s="27"/>
      <c r="G362" s="27">
        <v>2</v>
      </c>
      <c r="H362" s="27"/>
      <c r="I362" s="27"/>
      <c r="J362" s="27"/>
      <c r="K362" s="27"/>
      <c r="L362" s="27"/>
      <c r="M362" s="27"/>
      <c r="N362" s="27"/>
      <c r="O362" s="27"/>
      <c r="P362" s="27"/>
      <c r="Q362" s="27"/>
      <c r="R362" s="27"/>
      <c r="S362" s="27"/>
      <c r="T362" s="27">
        <v>3</v>
      </c>
      <c r="U362" s="27"/>
      <c r="V362" s="27"/>
      <c r="W362" s="27"/>
      <c r="X362" s="27"/>
      <c r="Y362" s="27"/>
      <c r="Z362" s="27"/>
      <c r="AA362" s="27">
        <v>4</v>
      </c>
      <c r="AB362" s="27"/>
      <c r="AC362" s="27"/>
      <c r="AD362" s="27"/>
      <c r="AE362" s="27"/>
      <c r="AF362" s="27">
        <v>5</v>
      </c>
      <c r="AG362" s="27"/>
      <c r="AH362" s="27"/>
      <c r="AI362" s="27"/>
      <c r="AJ362" s="27"/>
      <c r="AK362" s="27">
        <v>6</v>
      </c>
      <c r="AL362" s="27"/>
      <c r="AM362" s="27"/>
      <c r="AN362" s="27"/>
      <c r="AO362" s="27"/>
      <c r="AP362" s="27">
        <v>7</v>
      </c>
      <c r="AQ362" s="27"/>
      <c r="AR362" s="27"/>
      <c r="AS362" s="27"/>
      <c r="AT362" s="27"/>
      <c r="AU362" s="27">
        <v>8</v>
      </c>
      <c r="AV362" s="27"/>
      <c r="AW362" s="27"/>
      <c r="AX362" s="27"/>
      <c r="AY362" s="27"/>
      <c r="AZ362" s="27">
        <v>9</v>
      </c>
      <c r="BA362" s="27"/>
      <c r="BB362" s="27"/>
      <c r="BC362" s="27"/>
      <c r="BD362" s="27"/>
      <c r="BE362" s="27">
        <v>10</v>
      </c>
      <c r="BF362" s="27"/>
      <c r="BG362" s="27"/>
      <c r="BH362" s="27"/>
      <c r="BI362" s="27"/>
      <c r="BJ362" s="27">
        <v>11</v>
      </c>
      <c r="BK362" s="27"/>
      <c r="BL362" s="27"/>
      <c r="BM362" s="27"/>
      <c r="BN362" s="27"/>
      <c r="BO362" s="27">
        <v>12</v>
      </c>
      <c r="BP362" s="27"/>
      <c r="BQ362" s="27"/>
      <c r="BR362" s="27"/>
      <c r="BS362" s="27"/>
    </row>
    <row r="363" spans="1:79" s="1" customFormat="1" ht="15" hidden="1" customHeight="1" x14ac:dyDescent="0.2">
      <c r="A363" s="26" t="s">
        <v>69</v>
      </c>
      <c r="B363" s="26"/>
      <c r="C363" s="26"/>
      <c r="D363" s="26"/>
      <c r="E363" s="26"/>
      <c r="F363" s="26"/>
      <c r="G363" s="67" t="s">
        <v>57</v>
      </c>
      <c r="H363" s="67"/>
      <c r="I363" s="67"/>
      <c r="J363" s="67"/>
      <c r="K363" s="67"/>
      <c r="L363" s="67"/>
      <c r="M363" s="67"/>
      <c r="N363" s="67"/>
      <c r="O363" s="67"/>
      <c r="P363" s="67"/>
      <c r="Q363" s="67"/>
      <c r="R363" s="67"/>
      <c r="S363" s="67"/>
      <c r="T363" s="67" t="s">
        <v>79</v>
      </c>
      <c r="U363" s="67"/>
      <c r="V363" s="67"/>
      <c r="W363" s="67"/>
      <c r="X363" s="67"/>
      <c r="Y363" s="67"/>
      <c r="Z363" s="67"/>
      <c r="AA363" s="30" t="s">
        <v>65</v>
      </c>
      <c r="AB363" s="30"/>
      <c r="AC363" s="30"/>
      <c r="AD363" s="30"/>
      <c r="AE363" s="30"/>
      <c r="AF363" s="30" t="s">
        <v>66</v>
      </c>
      <c r="AG363" s="30"/>
      <c r="AH363" s="30"/>
      <c r="AI363" s="30"/>
      <c r="AJ363" s="30"/>
      <c r="AK363" s="50" t="s">
        <v>122</v>
      </c>
      <c r="AL363" s="50"/>
      <c r="AM363" s="50"/>
      <c r="AN363" s="50"/>
      <c r="AO363" s="50"/>
      <c r="AP363" s="30" t="s">
        <v>67</v>
      </c>
      <c r="AQ363" s="30"/>
      <c r="AR363" s="30"/>
      <c r="AS363" s="30"/>
      <c r="AT363" s="30"/>
      <c r="AU363" s="30" t="s">
        <v>68</v>
      </c>
      <c r="AV363" s="30"/>
      <c r="AW363" s="30"/>
      <c r="AX363" s="30"/>
      <c r="AY363" s="30"/>
      <c r="AZ363" s="50" t="s">
        <v>122</v>
      </c>
      <c r="BA363" s="50"/>
      <c r="BB363" s="50"/>
      <c r="BC363" s="50"/>
      <c r="BD363" s="50"/>
      <c r="BE363" s="30" t="s">
        <v>58</v>
      </c>
      <c r="BF363" s="30"/>
      <c r="BG363" s="30"/>
      <c r="BH363" s="30"/>
      <c r="BI363" s="30"/>
      <c r="BJ363" s="30" t="s">
        <v>59</v>
      </c>
      <c r="BK363" s="30"/>
      <c r="BL363" s="30"/>
      <c r="BM363" s="30"/>
      <c r="BN363" s="30"/>
      <c r="BO363" s="50" t="s">
        <v>122</v>
      </c>
      <c r="BP363" s="50"/>
      <c r="BQ363" s="50"/>
      <c r="BR363" s="50"/>
      <c r="BS363" s="50"/>
      <c r="CA363" s="1" t="s">
        <v>44</v>
      </c>
    </row>
    <row r="364" spans="1:79" s="99" customFormat="1" ht="89.25" customHeight="1" x14ac:dyDescent="0.2">
      <c r="A364" s="110">
        <v>1</v>
      </c>
      <c r="B364" s="110"/>
      <c r="C364" s="110"/>
      <c r="D364" s="110"/>
      <c r="E364" s="110"/>
      <c r="F364" s="110"/>
      <c r="G364" s="92" t="s">
        <v>301</v>
      </c>
      <c r="H364" s="93"/>
      <c r="I364" s="93"/>
      <c r="J364" s="93"/>
      <c r="K364" s="93"/>
      <c r="L364" s="93"/>
      <c r="M364" s="93"/>
      <c r="N364" s="93"/>
      <c r="O364" s="93"/>
      <c r="P364" s="93"/>
      <c r="Q364" s="93"/>
      <c r="R364" s="93"/>
      <c r="S364" s="94"/>
      <c r="T364" s="118" t="s">
        <v>302</v>
      </c>
      <c r="U364" s="93"/>
      <c r="V364" s="93"/>
      <c r="W364" s="93"/>
      <c r="X364" s="93"/>
      <c r="Y364" s="93"/>
      <c r="Z364" s="94"/>
      <c r="AA364" s="117">
        <v>0</v>
      </c>
      <c r="AB364" s="117"/>
      <c r="AC364" s="117"/>
      <c r="AD364" s="117"/>
      <c r="AE364" s="117"/>
      <c r="AF364" s="117">
        <v>0</v>
      </c>
      <c r="AG364" s="117"/>
      <c r="AH364" s="117"/>
      <c r="AI364" s="117"/>
      <c r="AJ364" s="117"/>
      <c r="AK364" s="117">
        <f>IF(ISNUMBER(AA364),AA364,0)+IF(ISNUMBER(AF364),AF364,0)</f>
        <v>0</v>
      </c>
      <c r="AL364" s="117"/>
      <c r="AM364" s="117"/>
      <c r="AN364" s="117"/>
      <c r="AO364" s="117"/>
      <c r="AP364" s="117">
        <v>0</v>
      </c>
      <c r="AQ364" s="117"/>
      <c r="AR364" s="117"/>
      <c r="AS364" s="117"/>
      <c r="AT364" s="117"/>
      <c r="AU364" s="117">
        <v>0</v>
      </c>
      <c r="AV364" s="117"/>
      <c r="AW364" s="117"/>
      <c r="AX364" s="117"/>
      <c r="AY364" s="117"/>
      <c r="AZ364" s="117">
        <f>IF(ISNUMBER(AP364),AP364,0)+IF(ISNUMBER(AU364),AU364,0)</f>
        <v>0</v>
      </c>
      <c r="BA364" s="117"/>
      <c r="BB364" s="117"/>
      <c r="BC364" s="117"/>
      <c r="BD364" s="117"/>
      <c r="BE364" s="117">
        <v>0</v>
      </c>
      <c r="BF364" s="117"/>
      <c r="BG364" s="117"/>
      <c r="BH364" s="117"/>
      <c r="BI364" s="117"/>
      <c r="BJ364" s="117">
        <v>0</v>
      </c>
      <c r="BK364" s="117"/>
      <c r="BL364" s="117"/>
      <c r="BM364" s="117"/>
      <c r="BN364" s="117"/>
      <c r="BO364" s="117">
        <f>IF(ISNUMBER(BE364),BE364,0)+IF(ISNUMBER(BJ364),BJ364,0)</f>
        <v>0</v>
      </c>
      <c r="BP364" s="117"/>
      <c r="BQ364" s="117"/>
      <c r="BR364" s="117"/>
      <c r="BS364" s="117"/>
      <c r="CA364" s="99" t="s">
        <v>45</v>
      </c>
    </row>
    <row r="365" spans="1:79" s="99" customFormat="1" ht="63.75" customHeight="1" x14ac:dyDescent="0.2">
      <c r="A365" s="110">
        <v>2</v>
      </c>
      <c r="B365" s="110"/>
      <c r="C365" s="110"/>
      <c r="D365" s="110"/>
      <c r="E365" s="110"/>
      <c r="F365" s="110"/>
      <c r="G365" s="92" t="s">
        <v>303</v>
      </c>
      <c r="H365" s="93"/>
      <c r="I365" s="93"/>
      <c r="J365" s="93"/>
      <c r="K365" s="93"/>
      <c r="L365" s="93"/>
      <c r="M365" s="93"/>
      <c r="N365" s="93"/>
      <c r="O365" s="93"/>
      <c r="P365" s="93"/>
      <c r="Q365" s="93"/>
      <c r="R365" s="93"/>
      <c r="S365" s="94"/>
      <c r="T365" s="118" t="s">
        <v>304</v>
      </c>
      <c r="U365" s="93"/>
      <c r="V365" s="93"/>
      <c r="W365" s="93"/>
      <c r="X365" s="93"/>
      <c r="Y365" s="93"/>
      <c r="Z365" s="94"/>
      <c r="AA365" s="117">
        <v>0</v>
      </c>
      <c r="AB365" s="117"/>
      <c r="AC365" s="117"/>
      <c r="AD365" s="117"/>
      <c r="AE365" s="117"/>
      <c r="AF365" s="117">
        <v>293320</v>
      </c>
      <c r="AG365" s="117"/>
      <c r="AH365" s="117"/>
      <c r="AI365" s="117"/>
      <c r="AJ365" s="117"/>
      <c r="AK365" s="117">
        <f>IF(ISNUMBER(AA365),AA365,0)+IF(ISNUMBER(AF365),AF365,0)</f>
        <v>293320</v>
      </c>
      <c r="AL365" s="117"/>
      <c r="AM365" s="117"/>
      <c r="AN365" s="117"/>
      <c r="AO365" s="117"/>
      <c r="AP365" s="117">
        <v>0</v>
      </c>
      <c r="AQ365" s="117"/>
      <c r="AR365" s="117"/>
      <c r="AS365" s="117"/>
      <c r="AT365" s="117"/>
      <c r="AU365" s="117">
        <v>0</v>
      </c>
      <c r="AV365" s="117"/>
      <c r="AW365" s="117"/>
      <c r="AX365" s="117"/>
      <c r="AY365" s="117"/>
      <c r="AZ365" s="117">
        <f>IF(ISNUMBER(AP365),AP365,0)+IF(ISNUMBER(AU365),AU365,0)</f>
        <v>0</v>
      </c>
      <c r="BA365" s="117"/>
      <c r="BB365" s="117"/>
      <c r="BC365" s="117"/>
      <c r="BD365" s="117"/>
      <c r="BE365" s="117">
        <v>0</v>
      </c>
      <c r="BF365" s="117"/>
      <c r="BG365" s="117"/>
      <c r="BH365" s="117"/>
      <c r="BI365" s="117"/>
      <c r="BJ365" s="117">
        <v>0</v>
      </c>
      <c r="BK365" s="117"/>
      <c r="BL365" s="117"/>
      <c r="BM365" s="117"/>
      <c r="BN365" s="117"/>
      <c r="BO365" s="117">
        <f>IF(ISNUMBER(BE365),BE365,0)+IF(ISNUMBER(BJ365),BJ365,0)</f>
        <v>0</v>
      </c>
      <c r="BP365" s="117"/>
      <c r="BQ365" s="117"/>
      <c r="BR365" s="117"/>
      <c r="BS365" s="117"/>
    </row>
    <row r="366" spans="1:79" s="6" customFormat="1" ht="12.75" customHeight="1" x14ac:dyDescent="0.2">
      <c r="A366" s="85"/>
      <c r="B366" s="85"/>
      <c r="C366" s="85"/>
      <c r="D366" s="85"/>
      <c r="E366" s="85"/>
      <c r="F366" s="85"/>
      <c r="G366" s="100" t="s">
        <v>147</v>
      </c>
      <c r="H366" s="101"/>
      <c r="I366" s="101"/>
      <c r="J366" s="101"/>
      <c r="K366" s="101"/>
      <c r="L366" s="101"/>
      <c r="M366" s="101"/>
      <c r="N366" s="101"/>
      <c r="O366" s="101"/>
      <c r="P366" s="101"/>
      <c r="Q366" s="101"/>
      <c r="R366" s="101"/>
      <c r="S366" s="102"/>
      <c r="T366" s="119"/>
      <c r="U366" s="101"/>
      <c r="V366" s="101"/>
      <c r="W366" s="101"/>
      <c r="X366" s="101"/>
      <c r="Y366" s="101"/>
      <c r="Z366" s="102"/>
      <c r="AA366" s="116">
        <v>0</v>
      </c>
      <c r="AB366" s="116"/>
      <c r="AC366" s="116"/>
      <c r="AD366" s="116"/>
      <c r="AE366" s="116"/>
      <c r="AF366" s="116">
        <v>293320</v>
      </c>
      <c r="AG366" s="116"/>
      <c r="AH366" s="116"/>
      <c r="AI366" s="116"/>
      <c r="AJ366" s="116"/>
      <c r="AK366" s="116">
        <f>IF(ISNUMBER(AA366),AA366,0)+IF(ISNUMBER(AF366),AF366,0)</f>
        <v>293320</v>
      </c>
      <c r="AL366" s="116"/>
      <c r="AM366" s="116"/>
      <c r="AN366" s="116"/>
      <c r="AO366" s="116"/>
      <c r="AP366" s="116">
        <v>0</v>
      </c>
      <c r="AQ366" s="116"/>
      <c r="AR366" s="116"/>
      <c r="AS366" s="116"/>
      <c r="AT366" s="116"/>
      <c r="AU366" s="116">
        <v>0</v>
      </c>
      <c r="AV366" s="116"/>
      <c r="AW366" s="116"/>
      <c r="AX366" s="116"/>
      <c r="AY366" s="116"/>
      <c r="AZ366" s="116">
        <f>IF(ISNUMBER(AP366),AP366,0)+IF(ISNUMBER(AU366),AU366,0)</f>
        <v>0</v>
      </c>
      <c r="BA366" s="116"/>
      <c r="BB366" s="116"/>
      <c r="BC366" s="116"/>
      <c r="BD366" s="116"/>
      <c r="BE366" s="116">
        <v>0</v>
      </c>
      <c r="BF366" s="116"/>
      <c r="BG366" s="116"/>
      <c r="BH366" s="116"/>
      <c r="BI366" s="116"/>
      <c r="BJ366" s="116">
        <v>0</v>
      </c>
      <c r="BK366" s="116"/>
      <c r="BL366" s="116"/>
      <c r="BM366" s="116"/>
      <c r="BN366" s="116"/>
      <c r="BO366" s="116">
        <f>IF(ISNUMBER(BE366),BE366,0)+IF(ISNUMBER(BJ366),BJ366,0)</f>
        <v>0</v>
      </c>
      <c r="BP366" s="116"/>
      <c r="BQ366" s="116"/>
      <c r="BR366" s="116"/>
      <c r="BS366" s="116"/>
    </row>
    <row r="368" spans="1:79" ht="13.5" customHeight="1" x14ac:dyDescent="0.2">
      <c r="A368" s="29" t="s">
        <v>351</v>
      </c>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c r="AA368" s="29"/>
      <c r="AB368" s="29"/>
      <c r="AC368" s="29"/>
      <c r="AD368" s="29"/>
      <c r="AE368" s="29"/>
      <c r="AF368" s="29"/>
      <c r="AG368" s="29"/>
      <c r="AH368" s="29"/>
      <c r="AI368" s="29"/>
      <c r="AJ368" s="29"/>
      <c r="AK368" s="29"/>
      <c r="AL368" s="29"/>
      <c r="AM368" s="29"/>
      <c r="AN368" s="29"/>
      <c r="AO368" s="29"/>
      <c r="AP368" s="29"/>
      <c r="AQ368" s="29"/>
      <c r="AR368" s="29"/>
      <c r="AS368" s="29"/>
      <c r="AT368" s="29"/>
      <c r="AU368" s="29"/>
      <c r="AV368" s="29"/>
      <c r="AW368" s="29"/>
      <c r="AX368" s="29"/>
      <c r="AY368" s="29"/>
      <c r="AZ368" s="29"/>
      <c r="BA368" s="29"/>
      <c r="BB368" s="29"/>
      <c r="BC368" s="29"/>
      <c r="BD368" s="29"/>
      <c r="BE368" s="29"/>
      <c r="BF368" s="29"/>
      <c r="BG368" s="29"/>
      <c r="BH368" s="29"/>
      <c r="BI368" s="29"/>
      <c r="BJ368" s="29"/>
      <c r="BK368" s="29"/>
      <c r="BL368" s="29"/>
    </row>
    <row r="369" spans="1:79" ht="15" customHeight="1" x14ac:dyDescent="0.2">
      <c r="A369" s="44" t="s">
        <v>318</v>
      </c>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c r="AA369" s="44"/>
      <c r="AB369" s="44"/>
      <c r="AC369" s="44"/>
      <c r="AD369" s="44"/>
      <c r="AE369" s="44"/>
      <c r="AF369" s="44"/>
      <c r="AG369" s="44"/>
      <c r="AH369" s="44"/>
      <c r="AI369" s="44"/>
      <c r="AJ369" s="44"/>
      <c r="AK369" s="44"/>
      <c r="AL369" s="44"/>
      <c r="AM369" s="44"/>
      <c r="AN369" s="44"/>
      <c r="AO369" s="44"/>
      <c r="AP369" s="44"/>
      <c r="AQ369" s="44"/>
      <c r="AR369" s="44"/>
      <c r="AS369" s="44"/>
      <c r="AT369" s="44"/>
      <c r="AU369" s="44"/>
      <c r="AV369" s="44"/>
      <c r="AW369" s="44"/>
      <c r="AX369" s="44"/>
      <c r="AY369" s="44"/>
      <c r="AZ369" s="44"/>
      <c r="BA369" s="44"/>
      <c r="BB369" s="44"/>
      <c r="BC369" s="44"/>
      <c r="BD369" s="44"/>
    </row>
    <row r="370" spans="1:79" ht="15" customHeight="1" x14ac:dyDescent="0.2">
      <c r="A370" s="27" t="s">
        <v>6</v>
      </c>
      <c r="B370" s="27"/>
      <c r="C370" s="27"/>
      <c r="D370" s="27"/>
      <c r="E370" s="27"/>
      <c r="F370" s="27"/>
      <c r="G370" s="27" t="s">
        <v>126</v>
      </c>
      <c r="H370" s="27"/>
      <c r="I370" s="27"/>
      <c r="J370" s="27"/>
      <c r="K370" s="27"/>
      <c r="L370" s="27"/>
      <c r="M370" s="27"/>
      <c r="N370" s="27"/>
      <c r="O370" s="27"/>
      <c r="P370" s="27"/>
      <c r="Q370" s="27"/>
      <c r="R370" s="27"/>
      <c r="S370" s="27"/>
      <c r="T370" s="27" t="s">
        <v>13</v>
      </c>
      <c r="U370" s="27"/>
      <c r="V370" s="27"/>
      <c r="W370" s="27"/>
      <c r="X370" s="27"/>
      <c r="Y370" s="27"/>
      <c r="Z370" s="27"/>
      <c r="AA370" s="36" t="s">
        <v>340</v>
      </c>
      <c r="AB370" s="76"/>
      <c r="AC370" s="76"/>
      <c r="AD370" s="76"/>
      <c r="AE370" s="76"/>
      <c r="AF370" s="76"/>
      <c r="AG370" s="76"/>
      <c r="AH370" s="76"/>
      <c r="AI370" s="76"/>
      <c r="AJ370" s="76"/>
      <c r="AK370" s="76"/>
      <c r="AL370" s="76"/>
      <c r="AM370" s="76"/>
      <c r="AN370" s="76"/>
      <c r="AO370" s="77"/>
      <c r="AP370" s="36" t="s">
        <v>345</v>
      </c>
      <c r="AQ370" s="37"/>
      <c r="AR370" s="37"/>
      <c r="AS370" s="37"/>
      <c r="AT370" s="37"/>
      <c r="AU370" s="37"/>
      <c r="AV370" s="37"/>
      <c r="AW370" s="37"/>
      <c r="AX370" s="37"/>
      <c r="AY370" s="37"/>
      <c r="AZ370" s="37"/>
      <c r="BA370" s="37"/>
      <c r="BB370" s="37"/>
      <c r="BC370" s="37"/>
      <c r="BD370" s="38"/>
    </row>
    <row r="371" spans="1:79" ht="32.1" customHeight="1" x14ac:dyDescent="0.2">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t="s">
        <v>4</v>
      </c>
      <c r="AB371" s="27"/>
      <c r="AC371" s="27"/>
      <c r="AD371" s="27"/>
      <c r="AE371" s="27"/>
      <c r="AF371" s="27" t="s">
        <v>3</v>
      </c>
      <c r="AG371" s="27"/>
      <c r="AH371" s="27"/>
      <c r="AI371" s="27"/>
      <c r="AJ371" s="27"/>
      <c r="AK371" s="27" t="s">
        <v>89</v>
      </c>
      <c r="AL371" s="27"/>
      <c r="AM371" s="27"/>
      <c r="AN371" s="27"/>
      <c r="AO371" s="27"/>
      <c r="AP371" s="27" t="s">
        <v>4</v>
      </c>
      <c r="AQ371" s="27"/>
      <c r="AR371" s="27"/>
      <c r="AS371" s="27"/>
      <c r="AT371" s="27"/>
      <c r="AU371" s="27" t="s">
        <v>3</v>
      </c>
      <c r="AV371" s="27"/>
      <c r="AW371" s="27"/>
      <c r="AX371" s="27"/>
      <c r="AY371" s="27"/>
      <c r="AZ371" s="27" t="s">
        <v>96</v>
      </c>
      <c r="BA371" s="27"/>
      <c r="BB371" s="27"/>
      <c r="BC371" s="27"/>
      <c r="BD371" s="27"/>
    </row>
    <row r="372" spans="1:79" ht="15" customHeight="1" x14ac:dyDescent="0.2">
      <c r="A372" s="27">
        <v>1</v>
      </c>
      <c r="B372" s="27"/>
      <c r="C372" s="27"/>
      <c r="D372" s="27"/>
      <c r="E372" s="27"/>
      <c r="F372" s="27"/>
      <c r="G372" s="27">
        <v>2</v>
      </c>
      <c r="H372" s="27"/>
      <c r="I372" s="27"/>
      <c r="J372" s="27"/>
      <c r="K372" s="27"/>
      <c r="L372" s="27"/>
      <c r="M372" s="27"/>
      <c r="N372" s="27"/>
      <c r="O372" s="27"/>
      <c r="P372" s="27"/>
      <c r="Q372" s="27"/>
      <c r="R372" s="27"/>
      <c r="S372" s="27"/>
      <c r="T372" s="27">
        <v>3</v>
      </c>
      <c r="U372" s="27"/>
      <c r="V372" s="27"/>
      <c r="W372" s="27"/>
      <c r="X372" s="27"/>
      <c r="Y372" s="27"/>
      <c r="Z372" s="27"/>
      <c r="AA372" s="27">
        <v>4</v>
      </c>
      <c r="AB372" s="27"/>
      <c r="AC372" s="27"/>
      <c r="AD372" s="27"/>
      <c r="AE372" s="27"/>
      <c r="AF372" s="27">
        <v>5</v>
      </c>
      <c r="AG372" s="27"/>
      <c r="AH372" s="27"/>
      <c r="AI372" s="27"/>
      <c r="AJ372" s="27"/>
      <c r="AK372" s="27">
        <v>6</v>
      </c>
      <c r="AL372" s="27"/>
      <c r="AM372" s="27"/>
      <c r="AN372" s="27"/>
      <c r="AO372" s="27"/>
      <c r="AP372" s="27">
        <v>7</v>
      </c>
      <c r="AQ372" s="27"/>
      <c r="AR372" s="27"/>
      <c r="AS372" s="27"/>
      <c r="AT372" s="27"/>
      <c r="AU372" s="27">
        <v>8</v>
      </c>
      <c r="AV372" s="27"/>
      <c r="AW372" s="27"/>
      <c r="AX372" s="27"/>
      <c r="AY372" s="27"/>
      <c r="AZ372" s="27">
        <v>9</v>
      </c>
      <c r="BA372" s="27"/>
      <c r="BB372" s="27"/>
      <c r="BC372" s="27"/>
      <c r="BD372" s="27"/>
    </row>
    <row r="373" spans="1:79" s="1" customFormat="1" ht="12" hidden="1" customHeight="1" x14ac:dyDescent="0.2">
      <c r="A373" s="26" t="s">
        <v>69</v>
      </c>
      <c r="B373" s="26"/>
      <c r="C373" s="26"/>
      <c r="D373" s="26"/>
      <c r="E373" s="26"/>
      <c r="F373" s="26"/>
      <c r="G373" s="67" t="s">
        <v>57</v>
      </c>
      <c r="H373" s="67"/>
      <c r="I373" s="67"/>
      <c r="J373" s="67"/>
      <c r="K373" s="67"/>
      <c r="L373" s="67"/>
      <c r="M373" s="67"/>
      <c r="N373" s="67"/>
      <c r="O373" s="67"/>
      <c r="P373" s="67"/>
      <c r="Q373" s="67"/>
      <c r="R373" s="67"/>
      <c r="S373" s="67"/>
      <c r="T373" s="67" t="s">
        <v>79</v>
      </c>
      <c r="U373" s="67"/>
      <c r="V373" s="67"/>
      <c r="W373" s="67"/>
      <c r="X373" s="67"/>
      <c r="Y373" s="67"/>
      <c r="Z373" s="67"/>
      <c r="AA373" s="30" t="s">
        <v>60</v>
      </c>
      <c r="AB373" s="30"/>
      <c r="AC373" s="30"/>
      <c r="AD373" s="30"/>
      <c r="AE373" s="30"/>
      <c r="AF373" s="30" t="s">
        <v>61</v>
      </c>
      <c r="AG373" s="30"/>
      <c r="AH373" s="30"/>
      <c r="AI373" s="30"/>
      <c r="AJ373" s="30"/>
      <c r="AK373" s="50" t="s">
        <v>122</v>
      </c>
      <c r="AL373" s="50"/>
      <c r="AM373" s="50"/>
      <c r="AN373" s="50"/>
      <c r="AO373" s="50"/>
      <c r="AP373" s="30" t="s">
        <v>62</v>
      </c>
      <c r="AQ373" s="30"/>
      <c r="AR373" s="30"/>
      <c r="AS373" s="30"/>
      <c r="AT373" s="30"/>
      <c r="AU373" s="30" t="s">
        <v>63</v>
      </c>
      <c r="AV373" s="30"/>
      <c r="AW373" s="30"/>
      <c r="AX373" s="30"/>
      <c r="AY373" s="30"/>
      <c r="AZ373" s="50" t="s">
        <v>122</v>
      </c>
      <c r="BA373" s="50"/>
      <c r="BB373" s="50"/>
      <c r="BC373" s="50"/>
      <c r="BD373" s="50"/>
      <c r="CA373" s="1" t="s">
        <v>46</v>
      </c>
    </row>
    <row r="374" spans="1:79" s="99" customFormat="1" ht="89.25" customHeight="1" x14ac:dyDescent="0.2">
      <c r="A374" s="110">
        <v>1</v>
      </c>
      <c r="B374" s="110"/>
      <c r="C374" s="110"/>
      <c r="D374" s="110"/>
      <c r="E374" s="110"/>
      <c r="F374" s="110"/>
      <c r="G374" s="92" t="s">
        <v>301</v>
      </c>
      <c r="H374" s="93"/>
      <c r="I374" s="93"/>
      <c r="J374" s="93"/>
      <c r="K374" s="93"/>
      <c r="L374" s="93"/>
      <c r="M374" s="93"/>
      <c r="N374" s="93"/>
      <c r="O374" s="93"/>
      <c r="P374" s="93"/>
      <c r="Q374" s="93"/>
      <c r="R374" s="93"/>
      <c r="S374" s="94"/>
      <c r="T374" s="118" t="s">
        <v>302</v>
      </c>
      <c r="U374" s="93"/>
      <c r="V374" s="93"/>
      <c r="W374" s="93"/>
      <c r="X374" s="93"/>
      <c r="Y374" s="93"/>
      <c r="Z374" s="94"/>
      <c r="AA374" s="117">
        <v>0</v>
      </c>
      <c r="AB374" s="117"/>
      <c r="AC374" s="117"/>
      <c r="AD374" s="117"/>
      <c r="AE374" s="117"/>
      <c r="AF374" s="117">
        <v>0</v>
      </c>
      <c r="AG374" s="117"/>
      <c r="AH374" s="117"/>
      <c r="AI374" s="117"/>
      <c r="AJ374" s="117"/>
      <c r="AK374" s="117">
        <f>IF(ISNUMBER(AA374),AA374,0)+IF(ISNUMBER(AF374),AF374,0)</f>
        <v>0</v>
      </c>
      <c r="AL374" s="117"/>
      <c r="AM374" s="117"/>
      <c r="AN374" s="117"/>
      <c r="AO374" s="117"/>
      <c r="AP374" s="117">
        <v>0</v>
      </c>
      <c r="AQ374" s="117"/>
      <c r="AR374" s="117"/>
      <c r="AS374" s="117"/>
      <c r="AT374" s="117"/>
      <c r="AU374" s="117">
        <v>0</v>
      </c>
      <c r="AV374" s="117"/>
      <c r="AW374" s="117"/>
      <c r="AX374" s="117"/>
      <c r="AY374" s="117"/>
      <c r="AZ374" s="117">
        <f>IF(ISNUMBER(AP374),AP374,0)+IF(ISNUMBER(AU374),AU374,0)</f>
        <v>0</v>
      </c>
      <c r="BA374" s="117"/>
      <c r="BB374" s="117"/>
      <c r="BC374" s="117"/>
      <c r="BD374" s="117"/>
      <c r="CA374" s="99" t="s">
        <v>47</v>
      </c>
    </row>
    <row r="375" spans="1:79" s="99" customFormat="1" ht="63.75" customHeight="1" x14ac:dyDescent="0.2">
      <c r="A375" s="110">
        <v>2</v>
      </c>
      <c r="B375" s="110"/>
      <c r="C375" s="110"/>
      <c r="D375" s="110"/>
      <c r="E375" s="110"/>
      <c r="F375" s="110"/>
      <c r="G375" s="92" t="s">
        <v>303</v>
      </c>
      <c r="H375" s="93"/>
      <c r="I375" s="93"/>
      <c r="J375" s="93"/>
      <c r="K375" s="93"/>
      <c r="L375" s="93"/>
      <c r="M375" s="93"/>
      <c r="N375" s="93"/>
      <c r="O375" s="93"/>
      <c r="P375" s="93"/>
      <c r="Q375" s="93"/>
      <c r="R375" s="93"/>
      <c r="S375" s="94"/>
      <c r="T375" s="118" t="s">
        <v>304</v>
      </c>
      <c r="U375" s="93"/>
      <c r="V375" s="93"/>
      <c r="W375" s="93"/>
      <c r="X375" s="93"/>
      <c r="Y375" s="93"/>
      <c r="Z375" s="94"/>
      <c r="AA375" s="117">
        <v>0</v>
      </c>
      <c r="AB375" s="117"/>
      <c r="AC375" s="117"/>
      <c r="AD375" s="117"/>
      <c r="AE375" s="117"/>
      <c r="AF375" s="117">
        <v>0</v>
      </c>
      <c r="AG375" s="117"/>
      <c r="AH375" s="117"/>
      <c r="AI375" s="117"/>
      <c r="AJ375" s="117"/>
      <c r="AK375" s="117">
        <f>IF(ISNUMBER(AA375),AA375,0)+IF(ISNUMBER(AF375),AF375,0)</f>
        <v>0</v>
      </c>
      <c r="AL375" s="117"/>
      <c r="AM375" s="117"/>
      <c r="AN375" s="117"/>
      <c r="AO375" s="117"/>
      <c r="AP375" s="117">
        <v>0</v>
      </c>
      <c r="AQ375" s="117"/>
      <c r="AR375" s="117"/>
      <c r="AS375" s="117"/>
      <c r="AT375" s="117"/>
      <c r="AU375" s="117">
        <v>0</v>
      </c>
      <c r="AV375" s="117"/>
      <c r="AW375" s="117"/>
      <c r="AX375" s="117"/>
      <c r="AY375" s="117"/>
      <c r="AZ375" s="117">
        <f>IF(ISNUMBER(AP375),AP375,0)+IF(ISNUMBER(AU375),AU375,0)</f>
        <v>0</v>
      </c>
      <c r="BA375" s="117"/>
      <c r="BB375" s="117"/>
      <c r="BC375" s="117"/>
      <c r="BD375" s="117"/>
    </row>
    <row r="376" spans="1:79" s="6" customFormat="1" x14ac:dyDescent="0.2">
      <c r="A376" s="85"/>
      <c r="B376" s="85"/>
      <c r="C376" s="85"/>
      <c r="D376" s="85"/>
      <c r="E376" s="85"/>
      <c r="F376" s="85"/>
      <c r="G376" s="100" t="s">
        <v>147</v>
      </c>
      <c r="H376" s="101"/>
      <c r="I376" s="101"/>
      <c r="J376" s="101"/>
      <c r="K376" s="101"/>
      <c r="L376" s="101"/>
      <c r="M376" s="101"/>
      <c r="N376" s="101"/>
      <c r="O376" s="101"/>
      <c r="P376" s="101"/>
      <c r="Q376" s="101"/>
      <c r="R376" s="101"/>
      <c r="S376" s="102"/>
      <c r="T376" s="119"/>
      <c r="U376" s="101"/>
      <c r="V376" s="101"/>
      <c r="W376" s="101"/>
      <c r="X376" s="101"/>
      <c r="Y376" s="101"/>
      <c r="Z376" s="102"/>
      <c r="AA376" s="116">
        <v>0</v>
      </c>
      <c r="AB376" s="116"/>
      <c r="AC376" s="116"/>
      <c r="AD376" s="116"/>
      <c r="AE376" s="116"/>
      <c r="AF376" s="116">
        <v>0</v>
      </c>
      <c r="AG376" s="116"/>
      <c r="AH376" s="116"/>
      <c r="AI376" s="116"/>
      <c r="AJ376" s="116"/>
      <c r="AK376" s="116">
        <f>IF(ISNUMBER(AA376),AA376,0)+IF(ISNUMBER(AF376),AF376,0)</f>
        <v>0</v>
      </c>
      <c r="AL376" s="116"/>
      <c r="AM376" s="116"/>
      <c r="AN376" s="116"/>
      <c r="AO376" s="116"/>
      <c r="AP376" s="116">
        <v>0</v>
      </c>
      <c r="AQ376" s="116"/>
      <c r="AR376" s="116"/>
      <c r="AS376" s="116"/>
      <c r="AT376" s="116"/>
      <c r="AU376" s="116">
        <v>0</v>
      </c>
      <c r="AV376" s="116"/>
      <c r="AW376" s="116"/>
      <c r="AX376" s="116"/>
      <c r="AY376" s="116"/>
      <c r="AZ376" s="116">
        <f>IF(ISNUMBER(AP376),AP376,0)+IF(ISNUMBER(AU376),AU376,0)</f>
        <v>0</v>
      </c>
      <c r="BA376" s="116"/>
      <c r="BB376" s="116"/>
      <c r="BC376" s="116"/>
      <c r="BD376" s="116"/>
    </row>
    <row r="379" spans="1:79" ht="14.25" customHeight="1" x14ac:dyDescent="0.2">
      <c r="A379" s="29" t="s">
        <v>352</v>
      </c>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c r="AA379" s="29"/>
      <c r="AB379" s="29"/>
      <c r="AC379" s="29"/>
      <c r="AD379" s="29"/>
      <c r="AE379" s="29"/>
      <c r="AF379" s="29"/>
      <c r="AG379" s="29"/>
      <c r="AH379" s="29"/>
      <c r="AI379" s="29"/>
      <c r="AJ379" s="29"/>
      <c r="AK379" s="29"/>
      <c r="AL379" s="29"/>
      <c r="AM379" s="29"/>
      <c r="AN379" s="29"/>
      <c r="AO379" s="29"/>
      <c r="AP379" s="29"/>
      <c r="AQ379" s="29"/>
      <c r="AR379" s="29"/>
      <c r="AS379" s="29"/>
      <c r="AT379" s="29"/>
      <c r="AU379" s="29"/>
      <c r="AV379" s="29"/>
      <c r="AW379" s="29"/>
      <c r="AX379" s="29"/>
      <c r="AY379" s="29"/>
      <c r="AZ379" s="29"/>
      <c r="BA379" s="29"/>
      <c r="BB379" s="29"/>
      <c r="BC379" s="29"/>
      <c r="BD379" s="29"/>
      <c r="BE379" s="29"/>
      <c r="BF379" s="29"/>
      <c r="BG379" s="29"/>
      <c r="BH379" s="29"/>
      <c r="BI379" s="29"/>
      <c r="BJ379" s="29"/>
      <c r="BK379" s="29"/>
      <c r="BL379" s="29"/>
    </row>
    <row r="380" spans="1:79" ht="15" customHeight="1" x14ac:dyDescent="0.2">
      <c r="A380" s="44" t="s">
        <v>318</v>
      </c>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c r="AA380" s="75"/>
      <c r="AB380" s="75"/>
      <c r="AC380" s="75"/>
      <c r="AD380" s="75"/>
      <c r="AE380" s="75"/>
      <c r="AF380" s="75"/>
      <c r="AG380" s="75"/>
      <c r="AH380" s="75"/>
      <c r="AI380" s="75"/>
      <c r="AJ380" s="75"/>
      <c r="AK380" s="75"/>
      <c r="AL380" s="75"/>
      <c r="AM380" s="75"/>
      <c r="AN380" s="75"/>
      <c r="AO380" s="75"/>
      <c r="AP380" s="75"/>
      <c r="AQ380" s="75"/>
      <c r="AR380" s="75"/>
      <c r="AS380" s="75"/>
      <c r="AT380" s="75"/>
      <c r="AU380" s="75"/>
      <c r="AV380" s="75"/>
      <c r="AW380" s="75"/>
      <c r="AX380" s="75"/>
      <c r="AY380" s="75"/>
      <c r="AZ380" s="75"/>
      <c r="BA380" s="75"/>
      <c r="BB380" s="75"/>
      <c r="BC380" s="75"/>
      <c r="BD380" s="75"/>
      <c r="BE380" s="75"/>
      <c r="BF380" s="75"/>
      <c r="BG380" s="75"/>
      <c r="BH380" s="75"/>
      <c r="BI380" s="75"/>
      <c r="BJ380" s="75"/>
      <c r="BK380" s="75"/>
      <c r="BL380" s="75"/>
      <c r="BM380" s="75"/>
    </row>
    <row r="381" spans="1:79" ht="23.1" customHeight="1" x14ac:dyDescent="0.2">
      <c r="A381" s="27" t="s">
        <v>128</v>
      </c>
      <c r="B381" s="27"/>
      <c r="C381" s="27"/>
      <c r="D381" s="27"/>
      <c r="E381" s="27"/>
      <c r="F381" s="27"/>
      <c r="G381" s="27"/>
      <c r="H381" s="27"/>
      <c r="I381" s="27"/>
      <c r="J381" s="27"/>
      <c r="K381" s="27"/>
      <c r="L381" s="27"/>
      <c r="M381" s="27"/>
      <c r="N381" s="51" t="s">
        <v>129</v>
      </c>
      <c r="O381" s="52"/>
      <c r="P381" s="52"/>
      <c r="Q381" s="52"/>
      <c r="R381" s="52"/>
      <c r="S381" s="52"/>
      <c r="T381" s="52"/>
      <c r="U381" s="53"/>
      <c r="V381" s="51" t="s">
        <v>130</v>
      </c>
      <c r="W381" s="52"/>
      <c r="X381" s="52"/>
      <c r="Y381" s="52"/>
      <c r="Z381" s="53"/>
      <c r="AA381" s="27" t="s">
        <v>319</v>
      </c>
      <c r="AB381" s="27"/>
      <c r="AC381" s="27"/>
      <c r="AD381" s="27"/>
      <c r="AE381" s="27"/>
      <c r="AF381" s="27"/>
      <c r="AG381" s="27"/>
      <c r="AH381" s="27"/>
      <c r="AI381" s="27"/>
      <c r="AJ381" s="27" t="s">
        <v>322</v>
      </c>
      <c r="AK381" s="27"/>
      <c r="AL381" s="27"/>
      <c r="AM381" s="27"/>
      <c r="AN381" s="27"/>
      <c r="AO381" s="27"/>
      <c r="AP381" s="27"/>
      <c r="AQ381" s="27"/>
      <c r="AR381" s="27"/>
      <c r="AS381" s="27" t="s">
        <v>330</v>
      </c>
      <c r="AT381" s="27"/>
      <c r="AU381" s="27"/>
      <c r="AV381" s="27"/>
      <c r="AW381" s="27"/>
      <c r="AX381" s="27"/>
      <c r="AY381" s="27"/>
      <c r="AZ381" s="27"/>
      <c r="BA381" s="27"/>
      <c r="BB381" s="27" t="s">
        <v>340</v>
      </c>
      <c r="BC381" s="27"/>
      <c r="BD381" s="27"/>
      <c r="BE381" s="27"/>
      <c r="BF381" s="27"/>
      <c r="BG381" s="27"/>
      <c r="BH381" s="27"/>
      <c r="BI381" s="27"/>
      <c r="BJ381" s="27"/>
      <c r="BK381" s="27" t="s">
        <v>345</v>
      </c>
      <c r="BL381" s="27"/>
      <c r="BM381" s="27"/>
      <c r="BN381" s="27"/>
      <c r="BO381" s="27"/>
      <c r="BP381" s="27"/>
      <c r="BQ381" s="27"/>
      <c r="BR381" s="27"/>
      <c r="BS381" s="27"/>
    </row>
    <row r="382" spans="1:79" ht="95.25" customHeight="1" x14ac:dyDescent="0.2">
      <c r="A382" s="27"/>
      <c r="B382" s="27"/>
      <c r="C382" s="27"/>
      <c r="D382" s="27"/>
      <c r="E382" s="27"/>
      <c r="F382" s="27"/>
      <c r="G382" s="27"/>
      <c r="H382" s="27"/>
      <c r="I382" s="27"/>
      <c r="J382" s="27"/>
      <c r="K382" s="27"/>
      <c r="L382" s="27"/>
      <c r="M382" s="27"/>
      <c r="N382" s="54"/>
      <c r="O382" s="55"/>
      <c r="P382" s="55"/>
      <c r="Q382" s="55"/>
      <c r="R382" s="55"/>
      <c r="S382" s="55"/>
      <c r="T382" s="55"/>
      <c r="U382" s="56"/>
      <c r="V382" s="54"/>
      <c r="W382" s="55"/>
      <c r="X382" s="55"/>
      <c r="Y382" s="55"/>
      <c r="Z382" s="56"/>
      <c r="AA382" s="74" t="s">
        <v>133</v>
      </c>
      <c r="AB382" s="74"/>
      <c r="AC382" s="74"/>
      <c r="AD382" s="74"/>
      <c r="AE382" s="74"/>
      <c r="AF382" s="74" t="s">
        <v>134</v>
      </c>
      <c r="AG382" s="74"/>
      <c r="AH382" s="74"/>
      <c r="AI382" s="74"/>
      <c r="AJ382" s="74" t="s">
        <v>133</v>
      </c>
      <c r="AK382" s="74"/>
      <c r="AL382" s="74"/>
      <c r="AM382" s="74"/>
      <c r="AN382" s="74"/>
      <c r="AO382" s="74" t="s">
        <v>134</v>
      </c>
      <c r="AP382" s="74"/>
      <c r="AQ382" s="74"/>
      <c r="AR382" s="74"/>
      <c r="AS382" s="74" t="s">
        <v>133</v>
      </c>
      <c r="AT382" s="74"/>
      <c r="AU382" s="74"/>
      <c r="AV382" s="74"/>
      <c r="AW382" s="74"/>
      <c r="AX382" s="74" t="s">
        <v>134</v>
      </c>
      <c r="AY382" s="74"/>
      <c r="AZ382" s="74"/>
      <c r="BA382" s="74"/>
      <c r="BB382" s="74" t="s">
        <v>133</v>
      </c>
      <c r="BC382" s="74"/>
      <c r="BD382" s="74"/>
      <c r="BE382" s="74"/>
      <c r="BF382" s="74"/>
      <c r="BG382" s="74" t="s">
        <v>134</v>
      </c>
      <c r="BH382" s="74"/>
      <c r="BI382" s="74"/>
      <c r="BJ382" s="74"/>
      <c r="BK382" s="74" t="s">
        <v>133</v>
      </c>
      <c r="BL382" s="74"/>
      <c r="BM382" s="74"/>
      <c r="BN382" s="74"/>
      <c r="BO382" s="74"/>
      <c r="BP382" s="74" t="s">
        <v>134</v>
      </c>
      <c r="BQ382" s="74"/>
      <c r="BR382" s="74"/>
      <c r="BS382" s="74"/>
    </row>
    <row r="383" spans="1:79" ht="15" customHeight="1" x14ac:dyDescent="0.2">
      <c r="A383" s="27">
        <v>1</v>
      </c>
      <c r="B383" s="27"/>
      <c r="C383" s="27"/>
      <c r="D383" s="27"/>
      <c r="E383" s="27"/>
      <c r="F383" s="27"/>
      <c r="G383" s="27"/>
      <c r="H383" s="27"/>
      <c r="I383" s="27"/>
      <c r="J383" s="27"/>
      <c r="K383" s="27"/>
      <c r="L383" s="27"/>
      <c r="M383" s="27"/>
      <c r="N383" s="36">
        <v>2</v>
      </c>
      <c r="O383" s="37"/>
      <c r="P383" s="37"/>
      <c r="Q383" s="37"/>
      <c r="R383" s="37"/>
      <c r="S383" s="37"/>
      <c r="T383" s="37"/>
      <c r="U383" s="38"/>
      <c r="V383" s="27">
        <v>3</v>
      </c>
      <c r="W383" s="27"/>
      <c r="X383" s="27"/>
      <c r="Y383" s="27"/>
      <c r="Z383" s="27"/>
      <c r="AA383" s="27">
        <v>4</v>
      </c>
      <c r="AB383" s="27"/>
      <c r="AC383" s="27"/>
      <c r="AD383" s="27"/>
      <c r="AE383" s="27"/>
      <c r="AF383" s="27">
        <v>5</v>
      </c>
      <c r="AG383" s="27"/>
      <c r="AH383" s="27"/>
      <c r="AI383" s="27"/>
      <c r="AJ383" s="27">
        <v>6</v>
      </c>
      <c r="AK383" s="27"/>
      <c r="AL383" s="27"/>
      <c r="AM383" s="27"/>
      <c r="AN383" s="27"/>
      <c r="AO383" s="27">
        <v>7</v>
      </c>
      <c r="AP383" s="27"/>
      <c r="AQ383" s="27"/>
      <c r="AR383" s="27"/>
      <c r="AS383" s="27">
        <v>8</v>
      </c>
      <c r="AT383" s="27"/>
      <c r="AU383" s="27"/>
      <c r="AV383" s="27"/>
      <c r="AW383" s="27"/>
      <c r="AX383" s="27">
        <v>9</v>
      </c>
      <c r="AY383" s="27"/>
      <c r="AZ383" s="27"/>
      <c r="BA383" s="27"/>
      <c r="BB383" s="27">
        <v>10</v>
      </c>
      <c r="BC383" s="27"/>
      <c r="BD383" s="27"/>
      <c r="BE383" s="27"/>
      <c r="BF383" s="27"/>
      <c r="BG383" s="27">
        <v>11</v>
      </c>
      <c r="BH383" s="27"/>
      <c r="BI383" s="27"/>
      <c r="BJ383" s="27"/>
      <c r="BK383" s="27">
        <v>12</v>
      </c>
      <c r="BL383" s="27"/>
      <c r="BM383" s="27"/>
      <c r="BN383" s="27"/>
      <c r="BO383" s="27"/>
      <c r="BP383" s="27">
        <v>13</v>
      </c>
      <c r="BQ383" s="27"/>
      <c r="BR383" s="27"/>
      <c r="BS383" s="27"/>
    </row>
    <row r="384" spans="1:79" s="1" customFormat="1" ht="12" hidden="1" customHeight="1" x14ac:dyDescent="0.2">
      <c r="A384" s="67" t="s">
        <v>146</v>
      </c>
      <c r="B384" s="67"/>
      <c r="C384" s="67"/>
      <c r="D384" s="67"/>
      <c r="E384" s="67"/>
      <c r="F384" s="67"/>
      <c r="G384" s="67"/>
      <c r="H384" s="67"/>
      <c r="I384" s="67"/>
      <c r="J384" s="67"/>
      <c r="K384" s="67"/>
      <c r="L384" s="67"/>
      <c r="M384" s="67"/>
      <c r="N384" s="26" t="s">
        <v>131</v>
      </c>
      <c r="O384" s="26"/>
      <c r="P384" s="26"/>
      <c r="Q384" s="26"/>
      <c r="R384" s="26"/>
      <c r="S384" s="26"/>
      <c r="T384" s="26"/>
      <c r="U384" s="26"/>
      <c r="V384" s="26" t="s">
        <v>132</v>
      </c>
      <c r="W384" s="26"/>
      <c r="X384" s="26"/>
      <c r="Y384" s="26"/>
      <c r="Z384" s="26"/>
      <c r="AA384" s="30" t="s">
        <v>65</v>
      </c>
      <c r="AB384" s="30"/>
      <c r="AC384" s="30"/>
      <c r="AD384" s="30"/>
      <c r="AE384" s="30"/>
      <c r="AF384" s="30" t="s">
        <v>66</v>
      </c>
      <c r="AG384" s="30"/>
      <c r="AH384" s="30"/>
      <c r="AI384" s="30"/>
      <c r="AJ384" s="30" t="s">
        <v>67</v>
      </c>
      <c r="AK384" s="30"/>
      <c r="AL384" s="30"/>
      <c r="AM384" s="30"/>
      <c r="AN384" s="30"/>
      <c r="AO384" s="30" t="s">
        <v>68</v>
      </c>
      <c r="AP384" s="30"/>
      <c r="AQ384" s="30"/>
      <c r="AR384" s="30"/>
      <c r="AS384" s="30" t="s">
        <v>58</v>
      </c>
      <c r="AT384" s="30"/>
      <c r="AU384" s="30"/>
      <c r="AV384" s="30"/>
      <c r="AW384" s="30"/>
      <c r="AX384" s="30" t="s">
        <v>59</v>
      </c>
      <c r="AY384" s="30"/>
      <c r="AZ384" s="30"/>
      <c r="BA384" s="30"/>
      <c r="BB384" s="30" t="s">
        <v>60</v>
      </c>
      <c r="BC384" s="30"/>
      <c r="BD384" s="30"/>
      <c r="BE384" s="30"/>
      <c r="BF384" s="30"/>
      <c r="BG384" s="30" t="s">
        <v>61</v>
      </c>
      <c r="BH384" s="30"/>
      <c r="BI384" s="30"/>
      <c r="BJ384" s="30"/>
      <c r="BK384" s="30" t="s">
        <v>62</v>
      </c>
      <c r="BL384" s="30"/>
      <c r="BM384" s="30"/>
      <c r="BN384" s="30"/>
      <c r="BO384" s="30"/>
      <c r="BP384" s="30" t="s">
        <v>63</v>
      </c>
      <c r="BQ384" s="30"/>
      <c r="BR384" s="30"/>
      <c r="BS384" s="30"/>
      <c r="CA384" s="1" t="s">
        <v>48</v>
      </c>
    </row>
    <row r="385" spans="1:79" s="6" customFormat="1" ht="12.75" customHeight="1" x14ac:dyDescent="0.2">
      <c r="A385" s="120" t="s">
        <v>147</v>
      </c>
      <c r="B385" s="120"/>
      <c r="C385" s="120"/>
      <c r="D385" s="120"/>
      <c r="E385" s="120"/>
      <c r="F385" s="120"/>
      <c r="G385" s="120"/>
      <c r="H385" s="120"/>
      <c r="I385" s="120"/>
      <c r="J385" s="120"/>
      <c r="K385" s="120"/>
      <c r="L385" s="120"/>
      <c r="M385" s="120"/>
      <c r="N385" s="86"/>
      <c r="O385" s="87"/>
      <c r="P385" s="87"/>
      <c r="Q385" s="87"/>
      <c r="R385" s="87"/>
      <c r="S385" s="87"/>
      <c r="T385" s="87"/>
      <c r="U385" s="88"/>
      <c r="V385" s="121"/>
      <c r="W385" s="121"/>
      <c r="X385" s="121"/>
      <c r="Y385" s="121"/>
      <c r="Z385" s="121"/>
      <c r="AA385" s="121"/>
      <c r="AB385" s="121"/>
      <c r="AC385" s="121"/>
      <c r="AD385" s="121"/>
      <c r="AE385" s="121"/>
      <c r="AF385" s="121"/>
      <c r="AG385" s="121"/>
      <c r="AH385" s="121"/>
      <c r="AI385" s="121"/>
      <c r="AJ385" s="121"/>
      <c r="AK385" s="121"/>
      <c r="AL385" s="121"/>
      <c r="AM385" s="121"/>
      <c r="AN385" s="121"/>
      <c r="AO385" s="121"/>
      <c r="AP385" s="121"/>
      <c r="AQ385" s="121"/>
      <c r="AR385" s="121"/>
      <c r="AS385" s="121"/>
      <c r="AT385" s="121"/>
      <c r="AU385" s="121"/>
      <c r="AV385" s="121"/>
      <c r="AW385" s="121"/>
      <c r="AX385" s="121"/>
      <c r="AY385" s="121"/>
      <c r="AZ385" s="121"/>
      <c r="BA385" s="121"/>
      <c r="BB385" s="121"/>
      <c r="BC385" s="121"/>
      <c r="BD385" s="121"/>
      <c r="BE385" s="121"/>
      <c r="BF385" s="121"/>
      <c r="BG385" s="121"/>
      <c r="BH385" s="121"/>
      <c r="BI385" s="121"/>
      <c r="BJ385" s="121"/>
      <c r="BK385" s="121"/>
      <c r="BL385" s="121"/>
      <c r="BM385" s="121"/>
      <c r="BN385" s="121"/>
      <c r="BO385" s="121"/>
      <c r="BP385" s="122"/>
      <c r="BQ385" s="123"/>
      <c r="BR385" s="123"/>
      <c r="BS385" s="124"/>
      <c r="CA385" s="6" t="s">
        <v>49</v>
      </c>
    </row>
    <row r="388" spans="1:79" ht="35.25" customHeight="1" x14ac:dyDescent="0.2">
      <c r="A388" s="29" t="s">
        <v>353</v>
      </c>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c r="AA388" s="29"/>
      <c r="AB388" s="29"/>
      <c r="AC388" s="29"/>
      <c r="AD388" s="29"/>
      <c r="AE388" s="29"/>
      <c r="AF388" s="29"/>
      <c r="AG388" s="29"/>
      <c r="AH388" s="29"/>
      <c r="AI388" s="29"/>
      <c r="AJ388" s="29"/>
      <c r="AK388" s="29"/>
      <c r="AL388" s="29"/>
      <c r="AM388" s="29"/>
      <c r="AN388" s="29"/>
      <c r="AO388" s="29"/>
      <c r="AP388" s="29"/>
      <c r="AQ388" s="29"/>
      <c r="AR388" s="29"/>
      <c r="AS388" s="29"/>
      <c r="AT388" s="29"/>
      <c r="AU388" s="29"/>
      <c r="AV388" s="29"/>
      <c r="AW388" s="29"/>
      <c r="AX388" s="29"/>
      <c r="AY388" s="29"/>
      <c r="AZ388" s="29"/>
      <c r="BA388" s="29"/>
      <c r="BB388" s="29"/>
      <c r="BC388" s="29"/>
      <c r="BD388" s="29"/>
      <c r="BE388" s="29"/>
      <c r="BF388" s="29"/>
      <c r="BG388" s="29"/>
      <c r="BH388" s="29"/>
      <c r="BI388" s="29"/>
      <c r="BJ388" s="29"/>
      <c r="BK388" s="29"/>
      <c r="BL388" s="29"/>
    </row>
    <row r="389" spans="1:79" ht="105" customHeight="1" x14ac:dyDescent="0.2">
      <c r="A389" s="125" t="s">
        <v>308</v>
      </c>
      <c r="B389" s="126"/>
      <c r="C389" s="126"/>
      <c r="D389" s="126"/>
      <c r="E389" s="126"/>
      <c r="F389" s="126"/>
      <c r="G389" s="126"/>
      <c r="H389" s="126"/>
      <c r="I389" s="126"/>
      <c r="J389" s="126"/>
      <c r="K389" s="126"/>
      <c r="L389" s="126"/>
      <c r="M389" s="126"/>
      <c r="N389" s="126"/>
      <c r="O389" s="126"/>
      <c r="P389" s="126"/>
      <c r="Q389" s="126"/>
      <c r="R389" s="126"/>
      <c r="S389" s="126"/>
      <c r="T389" s="126"/>
      <c r="U389" s="126"/>
      <c r="V389" s="126"/>
      <c r="W389" s="126"/>
      <c r="X389" s="126"/>
      <c r="Y389" s="126"/>
      <c r="Z389" s="126"/>
      <c r="AA389" s="126"/>
      <c r="AB389" s="126"/>
      <c r="AC389" s="126"/>
      <c r="AD389" s="126"/>
      <c r="AE389" s="126"/>
      <c r="AF389" s="126"/>
      <c r="AG389" s="126"/>
      <c r="AH389" s="126"/>
      <c r="AI389" s="126"/>
      <c r="AJ389" s="126"/>
      <c r="AK389" s="126"/>
      <c r="AL389" s="126"/>
      <c r="AM389" s="126"/>
      <c r="AN389" s="126"/>
      <c r="AO389" s="126"/>
      <c r="AP389" s="126"/>
      <c r="AQ389" s="126"/>
      <c r="AR389" s="126"/>
      <c r="AS389" s="126"/>
      <c r="AT389" s="126"/>
      <c r="AU389" s="126"/>
      <c r="AV389" s="126"/>
      <c r="AW389" s="126"/>
      <c r="AX389" s="126"/>
      <c r="AY389" s="126"/>
      <c r="AZ389" s="126"/>
      <c r="BA389" s="126"/>
      <c r="BB389" s="126"/>
      <c r="BC389" s="126"/>
      <c r="BD389" s="126"/>
      <c r="BE389" s="126"/>
      <c r="BF389" s="126"/>
      <c r="BG389" s="126"/>
      <c r="BH389" s="126"/>
      <c r="BI389" s="126"/>
      <c r="BJ389" s="126"/>
      <c r="BK389" s="126"/>
      <c r="BL389" s="126"/>
    </row>
    <row r="390" spans="1:79" ht="15"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row>
    <row r="392" spans="1:79" ht="28.5" customHeight="1" x14ac:dyDescent="0.2">
      <c r="A392" s="34" t="s">
        <v>337</v>
      </c>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c r="AB392" s="34"/>
      <c r="AC392" s="34"/>
      <c r="AD392" s="34"/>
      <c r="AE392" s="34"/>
      <c r="AF392" s="34"/>
      <c r="AG392" s="34"/>
      <c r="AH392" s="34"/>
      <c r="AI392" s="34"/>
      <c r="AJ392" s="34"/>
      <c r="AK392" s="34"/>
      <c r="AL392" s="34"/>
      <c r="AM392" s="34"/>
      <c r="AN392" s="34"/>
      <c r="AO392" s="34"/>
      <c r="AP392" s="34"/>
      <c r="AQ392" s="34"/>
      <c r="AR392" s="34"/>
      <c r="AS392" s="34"/>
      <c r="AT392" s="34"/>
      <c r="AU392" s="34"/>
      <c r="AV392" s="34"/>
      <c r="AW392" s="34"/>
      <c r="AX392" s="34"/>
      <c r="AY392" s="34"/>
      <c r="AZ392" s="34"/>
      <c r="BA392" s="34"/>
      <c r="BB392" s="34"/>
      <c r="BC392" s="34"/>
      <c r="BD392" s="34"/>
      <c r="BE392" s="34"/>
      <c r="BF392" s="34"/>
      <c r="BG392" s="34"/>
      <c r="BH392" s="34"/>
      <c r="BI392" s="34"/>
      <c r="BJ392" s="34"/>
      <c r="BK392" s="34"/>
      <c r="BL392" s="34"/>
    </row>
    <row r="393" spans="1:79" ht="14.25" customHeight="1" x14ac:dyDescent="0.2">
      <c r="A393" s="29" t="s">
        <v>320</v>
      </c>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c r="AA393" s="29"/>
      <c r="AB393" s="29"/>
      <c r="AC393" s="29"/>
      <c r="AD393" s="29"/>
      <c r="AE393" s="29"/>
      <c r="AF393" s="29"/>
      <c r="AG393" s="29"/>
      <c r="AH393" s="29"/>
      <c r="AI393" s="29"/>
      <c r="AJ393" s="29"/>
      <c r="AK393" s="29"/>
      <c r="AL393" s="29"/>
      <c r="AM393" s="29"/>
      <c r="AN393" s="29"/>
      <c r="AO393" s="29"/>
      <c r="AP393" s="29"/>
      <c r="AQ393" s="29"/>
      <c r="AR393" s="29"/>
      <c r="AS393" s="29"/>
      <c r="AT393" s="29"/>
      <c r="AU393" s="29"/>
      <c r="AV393" s="29"/>
      <c r="AW393" s="29"/>
      <c r="AX393" s="29"/>
      <c r="AY393" s="29"/>
      <c r="AZ393" s="29"/>
      <c r="BA393" s="29"/>
      <c r="BB393" s="29"/>
      <c r="BC393" s="29"/>
      <c r="BD393" s="29"/>
      <c r="BE393" s="29"/>
      <c r="BF393" s="29"/>
      <c r="BG393" s="29"/>
      <c r="BH393" s="29"/>
      <c r="BI393" s="29"/>
      <c r="BJ393" s="29"/>
      <c r="BK393" s="29"/>
      <c r="BL393" s="29"/>
    </row>
    <row r="394" spans="1:79" ht="15" customHeight="1" x14ac:dyDescent="0.2">
      <c r="A394" s="31" t="s">
        <v>318</v>
      </c>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1"/>
      <c r="AC394" s="31"/>
      <c r="AD394" s="31"/>
      <c r="AE394" s="31"/>
      <c r="AF394" s="31"/>
      <c r="AG394" s="31"/>
      <c r="AH394" s="31"/>
      <c r="AI394" s="31"/>
      <c r="AJ394" s="31"/>
      <c r="AK394" s="31"/>
      <c r="AL394" s="31"/>
      <c r="AM394" s="31"/>
      <c r="AN394" s="31"/>
      <c r="AO394" s="31"/>
      <c r="AP394" s="31"/>
      <c r="AQ394" s="31"/>
      <c r="AR394" s="31"/>
      <c r="AS394" s="31"/>
      <c r="AT394" s="31"/>
      <c r="AU394" s="31"/>
      <c r="AV394" s="31"/>
      <c r="AW394" s="31"/>
      <c r="AX394" s="31"/>
      <c r="AY394" s="31"/>
      <c r="AZ394" s="31"/>
      <c r="BA394" s="31"/>
      <c r="BB394" s="31"/>
      <c r="BC394" s="31"/>
      <c r="BD394" s="31"/>
      <c r="BE394" s="31"/>
      <c r="BF394" s="31"/>
      <c r="BG394" s="31"/>
      <c r="BH394" s="31"/>
      <c r="BI394" s="31"/>
      <c r="BJ394" s="31"/>
      <c r="BK394" s="31"/>
      <c r="BL394" s="31"/>
    </row>
    <row r="395" spans="1:79" ht="42.95" customHeight="1" x14ac:dyDescent="0.2">
      <c r="A395" s="74" t="s">
        <v>135</v>
      </c>
      <c r="B395" s="74"/>
      <c r="C395" s="74"/>
      <c r="D395" s="74"/>
      <c r="E395" s="74"/>
      <c r="F395" s="74"/>
      <c r="G395" s="27" t="s">
        <v>19</v>
      </c>
      <c r="H395" s="27"/>
      <c r="I395" s="27"/>
      <c r="J395" s="27"/>
      <c r="K395" s="27"/>
      <c r="L395" s="27"/>
      <c r="M395" s="27"/>
      <c r="N395" s="27"/>
      <c r="O395" s="27"/>
      <c r="P395" s="27"/>
      <c r="Q395" s="27"/>
      <c r="R395" s="27"/>
      <c r="S395" s="27"/>
      <c r="T395" s="27" t="s">
        <v>15</v>
      </c>
      <c r="U395" s="27"/>
      <c r="V395" s="27"/>
      <c r="W395" s="27"/>
      <c r="X395" s="27"/>
      <c r="Y395" s="27"/>
      <c r="Z395" s="27" t="s">
        <v>14</v>
      </c>
      <c r="AA395" s="27"/>
      <c r="AB395" s="27"/>
      <c r="AC395" s="27"/>
      <c r="AD395" s="27"/>
      <c r="AE395" s="27" t="s">
        <v>136</v>
      </c>
      <c r="AF395" s="27"/>
      <c r="AG395" s="27"/>
      <c r="AH395" s="27"/>
      <c r="AI395" s="27"/>
      <c r="AJ395" s="27"/>
      <c r="AK395" s="27" t="s">
        <v>137</v>
      </c>
      <c r="AL395" s="27"/>
      <c r="AM395" s="27"/>
      <c r="AN395" s="27"/>
      <c r="AO395" s="27"/>
      <c r="AP395" s="27"/>
      <c r="AQ395" s="27" t="s">
        <v>138</v>
      </c>
      <c r="AR395" s="27"/>
      <c r="AS395" s="27"/>
      <c r="AT395" s="27"/>
      <c r="AU395" s="27"/>
      <c r="AV395" s="27"/>
      <c r="AW395" s="27" t="s">
        <v>98</v>
      </c>
      <c r="AX395" s="27"/>
      <c r="AY395" s="27"/>
      <c r="AZ395" s="27"/>
      <c r="BA395" s="27"/>
      <c r="BB395" s="27"/>
      <c r="BC395" s="27"/>
      <c r="BD395" s="27"/>
      <c r="BE395" s="27"/>
      <c r="BF395" s="27"/>
      <c r="BG395" s="27" t="s">
        <v>139</v>
      </c>
      <c r="BH395" s="27"/>
      <c r="BI395" s="27"/>
      <c r="BJ395" s="27"/>
      <c r="BK395" s="27"/>
      <c r="BL395" s="27"/>
    </row>
    <row r="396" spans="1:79" ht="39.950000000000003" customHeight="1" x14ac:dyDescent="0.2">
      <c r="A396" s="74"/>
      <c r="B396" s="74"/>
      <c r="C396" s="74"/>
      <c r="D396" s="74"/>
      <c r="E396" s="74"/>
      <c r="F396" s="74"/>
      <c r="G396" s="27"/>
      <c r="H396" s="27"/>
      <c r="I396" s="27"/>
      <c r="J396" s="27"/>
      <c r="K396" s="27"/>
      <c r="L396" s="27"/>
      <c r="M396" s="27"/>
      <c r="N396" s="27"/>
      <c r="O396" s="27"/>
      <c r="P396" s="27"/>
      <c r="Q396" s="27"/>
      <c r="R396" s="27"/>
      <c r="S396" s="27"/>
      <c r="T396" s="27"/>
      <c r="U396" s="27"/>
      <c r="V396" s="27"/>
      <c r="W396" s="27"/>
      <c r="X396" s="27"/>
      <c r="Y396" s="27"/>
      <c r="Z396" s="27"/>
      <c r="AA396" s="27"/>
      <c r="AB396" s="27"/>
      <c r="AC396" s="27"/>
      <c r="AD396" s="27"/>
      <c r="AE396" s="27"/>
      <c r="AF396" s="27"/>
      <c r="AG396" s="27"/>
      <c r="AH396" s="27"/>
      <c r="AI396" s="27"/>
      <c r="AJ396" s="27"/>
      <c r="AK396" s="27"/>
      <c r="AL396" s="27"/>
      <c r="AM396" s="27"/>
      <c r="AN396" s="27"/>
      <c r="AO396" s="27"/>
      <c r="AP396" s="27"/>
      <c r="AQ396" s="27"/>
      <c r="AR396" s="27"/>
      <c r="AS396" s="27"/>
      <c r="AT396" s="27"/>
      <c r="AU396" s="27"/>
      <c r="AV396" s="27"/>
      <c r="AW396" s="27" t="s">
        <v>17</v>
      </c>
      <c r="AX396" s="27"/>
      <c r="AY396" s="27"/>
      <c r="AZ396" s="27"/>
      <c r="BA396" s="27"/>
      <c r="BB396" s="27" t="s">
        <v>16</v>
      </c>
      <c r="BC396" s="27"/>
      <c r="BD396" s="27"/>
      <c r="BE396" s="27"/>
      <c r="BF396" s="27"/>
      <c r="BG396" s="27"/>
      <c r="BH396" s="27"/>
      <c r="BI396" s="27"/>
      <c r="BJ396" s="27"/>
      <c r="BK396" s="27"/>
      <c r="BL396" s="27"/>
    </row>
    <row r="397" spans="1:79" ht="15" customHeight="1" x14ac:dyDescent="0.2">
      <c r="A397" s="27">
        <v>1</v>
      </c>
      <c r="B397" s="27"/>
      <c r="C397" s="27"/>
      <c r="D397" s="27"/>
      <c r="E397" s="27"/>
      <c r="F397" s="27"/>
      <c r="G397" s="27">
        <v>2</v>
      </c>
      <c r="H397" s="27"/>
      <c r="I397" s="27"/>
      <c r="J397" s="27"/>
      <c r="K397" s="27"/>
      <c r="L397" s="27"/>
      <c r="M397" s="27"/>
      <c r="N397" s="27"/>
      <c r="O397" s="27"/>
      <c r="P397" s="27"/>
      <c r="Q397" s="27"/>
      <c r="R397" s="27"/>
      <c r="S397" s="27"/>
      <c r="T397" s="27">
        <v>3</v>
      </c>
      <c r="U397" s="27"/>
      <c r="V397" s="27"/>
      <c r="W397" s="27"/>
      <c r="X397" s="27"/>
      <c r="Y397" s="27"/>
      <c r="Z397" s="27">
        <v>4</v>
      </c>
      <c r="AA397" s="27"/>
      <c r="AB397" s="27"/>
      <c r="AC397" s="27"/>
      <c r="AD397" s="27"/>
      <c r="AE397" s="27">
        <v>5</v>
      </c>
      <c r="AF397" s="27"/>
      <c r="AG397" s="27"/>
      <c r="AH397" s="27"/>
      <c r="AI397" s="27"/>
      <c r="AJ397" s="27"/>
      <c r="AK397" s="27">
        <v>6</v>
      </c>
      <c r="AL397" s="27"/>
      <c r="AM397" s="27"/>
      <c r="AN397" s="27"/>
      <c r="AO397" s="27"/>
      <c r="AP397" s="27"/>
      <c r="AQ397" s="27">
        <v>7</v>
      </c>
      <c r="AR397" s="27"/>
      <c r="AS397" s="27"/>
      <c r="AT397" s="27"/>
      <c r="AU397" s="27"/>
      <c r="AV397" s="27"/>
      <c r="AW397" s="27">
        <v>8</v>
      </c>
      <c r="AX397" s="27"/>
      <c r="AY397" s="27"/>
      <c r="AZ397" s="27"/>
      <c r="BA397" s="27"/>
      <c r="BB397" s="27">
        <v>9</v>
      </c>
      <c r="BC397" s="27"/>
      <c r="BD397" s="27"/>
      <c r="BE397" s="27"/>
      <c r="BF397" s="27"/>
      <c r="BG397" s="27">
        <v>10</v>
      </c>
      <c r="BH397" s="27"/>
      <c r="BI397" s="27"/>
      <c r="BJ397" s="27"/>
      <c r="BK397" s="27"/>
      <c r="BL397" s="27"/>
    </row>
    <row r="398" spans="1:79" s="1" customFormat="1" ht="12" hidden="1" customHeight="1" x14ac:dyDescent="0.2">
      <c r="A398" s="26" t="s">
        <v>64</v>
      </c>
      <c r="B398" s="26"/>
      <c r="C398" s="26"/>
      <c r="D398" s="26"/>
      <c r="E398" s="26"/>
      <c r="F398" s="26"/>
      <c r="G398" s="67" t="s">
        <v>57</v>
      </c>
      <c r="H398" s="67"/>
      <c r="I398" s="67"/>
      <c r="J398" s="67"/>
      <c r="K398" s="67"/>
      <c r="L398" s="67"/>
      <c r="M398" s="67"/>
      <c r="N398" s="67"/>
      <c r="O398" s="67"/>
      <c r="P398" s="67"/>
      <c r="Q398" s="67"/>
      <c r="R398" s="67"/>
      <c r="S398" s="67"/>
      <c r="T398" s="30" t="s">
        <v>80</v>
      </c>
      <c r="U398" s="30"/>
      <c r="V398" s="30"/>
      <c r="W398" s="30"/>
      <c r="X398" s="30"/>
      <c r="Y398" s="30"/>
      <c r="Z398" s="30" t="s">
        <v>81</v>
      </c>
      <c r="AA398" s="30"/>
      <c r="AB398" s="30"/>
      <c r="AC398" s="30"/>
      <c r="AD398" s="30"/>
      <c r="AE398" s="30" t="s">
        <v>82</v>
      </c>
      <c r="AF398" s="30"/>
      <c r="AG398" s="30"/>
      <c r="AH398" s="30"/>
      <c r="AI398" s="30"/>
      <c r="AJ398" s="30"/>
      <c r="AK398" s="30" t="s">
        <v>83</v>
      </c>
      <c r="AL398" s="30"/>
      <c r="AM398" s="30"/>
      <c r="AN398" s="30"/>
      <c r="AO398" s="30"/>
      <c r="AP398" s="30"/>
      <c r="AQ398" s="78" t="s">
        <v>99</v>
      </c>
      <c r="AR398" s="30"/>
      <c r="AS398" s="30"/>
      <c r="AT398" s="30"/>
      <c r="AU398" s="30"/>
      <c r="AV398" s="30"/>
      <c r="AW398" s="30" t="s">
        <v>84</v>
      </c>
      <c r="AX398" s="30"/>
      <c r="AY398" s="30"/>
      <c r="AZ398" s="30"/>
      <c r="BA398" s="30"/>
      <c r="BB398" s="30" t="s">
        <v>85</v>
      </c>
      <c r="BC398" s="30"/>
      <c r="BD398" s="30"/>
      <c r="BE398" s="30"/>
      <c r="BF398" s="30"/>
      <c r="BG398" s="78" t="s">
        <v>100</v>
      </c>
      <c r="BH398" s="30"/>
      <c r="BI398" s="30"/>
      <c r="BJ398" s="30"/>
      <c r="BK398" s="30"/>
      <c r="BL398" s="30"/>
      <c r="CA398" s="1" t="s">
        <v>50</v>
      </c>
    </row>
    <row r="399" spans="1:79" s="6" customFormat="1" ht="12.75" customHeight="1" x14ac:dyDescent="0.2">
      <c r="A399" s="85"/>
      <c r="B399" s="85"/>
      <c r="C399" s="85"/>
      <c r="D399" s="85"/>
      <c r="E399" s="85"/>
      <c r="F399" s="85"/>
      <c r="G399" s="120" t="s">
        <v>147</v>
      </c>
      <c r="H399" s="120"/>
      <c r="I399" s="120"/>
      <c r="J399" s="120"/>
      <c r="K399" s="120"/>
      <c r="L399" s="120"/>
      <c r="M399" s="120"/>
      <c r="N399" s="120"/>
      <c r="O399" s="120"/>
      <c r="P399" s="120"/>
      <c r="Q399" s="120"/>
      <c r="R399" s="120"/>
      <c r="S399" s="120"/>
      <c r="T399" s="116"/>
      <c r="U399" s="116"/>
      <c r="V399" s="116"/>
      <c r="W399" s="116"/>
      <c r="X399" s="116"/>
      <c r="Y399" s="116"/>
      <c r="Z399" s="116"/>
      <c r="AA399" s="116"/>
      <c r="AB399" s="116"/>
      <c r="AC399" s="116"/>
      <c r="AD399" s="116"/>
      <c r="AE399" s="116"/>
      <c r="AF399" s="116"/>
      <c r="AG399" s="116"/>
      <c r="AH399" s="116"/>
      <c r="AI399" s="116"/>
      <c r="AJ399" s="116"/>
      <c r="AK399" s="116"/>
      <c r="AL399" s="116"/>
      <c r="AM399" s="116"/>
      <c r="AN399" s="116"/>
      <c r="AO399" s="116"/>
      <c r="AP399" s="116"/>
      <c r="AQ399" s="116">
        <f>IF(ISNUMBER(AK399),AK399,0)-IF(ISNUMBER(AE399),AE399,0)</f>
        <v>0</v>
      </c>
      <c r="AR399" s="116"/>
      <c r="AS399" s="116"/>
      <c r="AT399" s="116"/>
      <c r="AU399" s="116"/>
      <c r="AV399" s="116"/>
      <c r="AW399" s="116"/>
      <c r="AX399" s="116"/>
      <c r="AY399" s="116"/>
      <c r="AZ399" s="116"/>
      <c r="BA399" s="116"/>
      <c r="BB399" s="116"/>
      <c r="BC399" s="116"/>
      <c r="BD399" s="116"/>
      <c r="BE399" s="116"/>
      <c r="BF399" s="116"/>
      <c r="BG399" s="116">
        <f>IF(ISNUMBER(Z399),Z399,0)+IF(ISNUMBER(AK399),AK399,0)</f>
        <v>0</v>
      </c>
      <c r="BH399" s="116"/>
      <c r="BI399" s="116"/>
      <c r="BJ399" s="116"/>
      <c r="BK399" s="116"/>
      <c r="BL399" s="116"/>
      <c r="CA399" s="6" t="s">
        <v>51</v>
      </c>
    </row>
    <row r="401" spans="1:79" ht="14.25" customHeight="1" x14ac:dyDescent="0.2">
      <c r="A401" s="29" t="s">
        <v>338</v>
      </c>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c r="AA401" s="29"/>
      <c r="AB401" s="29"/>
      <c r="AC401" s="29"/>
      <c r="AD401" s="29"/>
      <c r="AE401" s="29"/>
      <c r="AF401" s="29"/>
      <c r="AG401" s="29"/>
      <c r="AH401" s="29"/>
      <c r="AI401" s="29"/>
      <c r="AJ401" s="29"/>
      <c r="AK401" s="29"/>
      <c r="AL401" s="29"/>
      <c r="AM401" s="29"/>
      <c r="AN401" s="29"/>
      <c r="AO401" s="29"/>
      <c r="AP401" s="29"/>
      <c r="AQ401" s="29"/>
      <c r="AR401" s="29"/>
      <c r="AS401" s="29"/>
      <c r="AT401" s="29"/>
      <c r="AU401" s="29"/>
      <c r="AV401" s="29"/>
      <c r="AW401" s="29"/>
      <c r="AX401" s="29"/>
      <c r="AY401" s="29"/>
      <c r="AZ401" s="29"/>
      <c r="BA401" s="29"/>
      <c r="BB401" s="29"/>
      <c r="BC401" s="29"/>
      <c r="BD401" s="29"/>
      <c r="BE401" s="29"/>
      <c r="BF401" s="29"/>
      <c r="BG401" s="29"/>
      <c r="BH401" s="29"/>
      <c r="BI401" s="29"/>
      <c r="BJ401" s="29"/>
      <c r="BK401" s="29"/>
      <c r="BL401" s="29"/>
    </row>
    <row r="402" spans="1:79" ht="15" customHeight="1" x14ac:dyDescent="0.2">
      <c r="A402" s="31" t="s">
        <v>318</v>
      </c>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1"/>
      <c r="AC402" s="31"/>
      <c r="AD402" s="31"/>
      <c r="AE402" s="31"/>
      <c r="AF402" s="31"/>
      <c r="AG402" s="31"/>
      <c r="AH402" s="31"/>
      <c r="AI402" s="31"/>
      <c r="AJ402" s="31"/>
      <c r="AK402" s="31"/>
      <c r="AL402" s="31"/>
      <c r="AM402" s="31"/>
      <c r="AN402" s="31"/>
      <c r="AO402" s="31"/>
      <c r="AP402" s="31"/>
      <c r="AQ402" s="31"/>
      <c r="AR402" s="31"/>
      <c r="AS402" s="31"/>
      <c r="AT402" s="31"/>
      <c r="AU402" s="31"/>
      <c r="AV402" s="31"/>
      <c r="AW402" s="31"/>
      <c r="AX402" s="31"/>
      <c r="AY402" s="31"/>
      <c r="AZ402" s="31"/>
      <c r="BA402" s="31"/>
      <c r="BB402" s="31"/>
      <c r="BC402" s="31"/>
      <c r="BD402" s="31"/>
      <c r="BE402" s="31"/>
      <c r="BF402" s="31"/>
      <c r="BG402" s="31"/>
      <c r="BH402" s="31"/>
      <c r="BI402" s="31"/>
      <c r="BJ402" s="31"/>
      <c r="BK402" s="31"/>
      <c r="BL402" s="31"/>
    </row>
    <row r="403" spans="1:79" ht="18" customHeight="1" x14ac:dyDescent="0.2">
      <c r="A403" s="27" t="s">
        <v>135</v>
      </c>
      <c r="B403" s="27"/>
      <c r="C403" s="27"/>
      <c r="D403" s="27"/>
      <c r="E403" s="27"/>
      <c r="F403" s="27"/>
      <c r="G403" s="27" t="s">
        <v>19</v>
      </c>
      <c r="H403" s="27"/>
      <c r="I403" s="27"/>
      <c r="J403" s="27"/>
      <c r="K403" s="27"/>
      <c r="L403" s="27"/>
      <c r="M403" s="27"/>
      <c r="N403" s="27"/>
      <c r="O403" s="27"/>
      <c r="P403" s="27"/>
      <c r="Q403" s="27" t="s">
        <v>324</v>
      </c>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t="s">
        <v>335</v>
      </c>
      <c r="AP403" s="27"/>
      <c r="AQ403" s="27"/>
      <c r="AR403" s="27"/>
      <c r="AS403" s="27"/>
      <c r="AT403" s="27"/>
      <c r="AU403" s="27"/>
      <c r="AV403" s="27"/>
      <c r="AW403" s="27"/>
      <c r="AX403" s="27"/>
      <c r="AY403" s="27"/>
      <c r="AZ403" s="27"/>
      <c r="BA403" s="27"/>
      <c r="BB403" s="27"/>
      <c r="BC403" s="27"/>
      <c r="BD403" s="27"/>
      <c r="BE403" s="27"/>
      <c r="BF403" s="27"/>
      <c r="BG403" s="27"/>
      <c r="BH403" s="27"/>
      <c r="BI403" s="27"/>
      <c r="BJ403" s="27"/>
      <c r="BK403" s="27"/>
      <c r="BL403" s="27"/>
    </row>
    <row r="404" spans="1:79" ht="42.95" customHeight="1" x14ac:dyDescent="0.2">
      <c r="A404" s="27"/>
      <c r="B404" s="27"/>
      <c r="C404" s="27"/>
      <c r="D404" s="27"/>
      <c r="E404" s="27"/>
      <c r="F404" s="27"/>
      <c r="G404" s="27"/>
      <c r="H404" s="27"/>
      <c r="I404" s="27"/>
      <c r="J404" s="27"/>
      <c r="K404" s="27"/>
      <c r="L404" s="27"/>
      <c r="M404" s="27"/>
      <c r="N404" s="27"/>
      <c r="O404" s="27"/>
      <c r="P404" s="27"/>
      <c r="Q404" s="27" t="s">
        <v>140</v>
      </c>
      <c r="R404" s="27"/>
      <c r="S404" s="27"/>
      <c r="T404" s="27"/>
      <c r="U404" s="27"/>
      <c r="V404" s="74" t="s">
        <v>141</v>
      </c>
      <c r="W404" s="74"/>
      <c r="X404" s="74"/>
      <c r="Y404" s="74"/>
      <c r="Z404" s="27" t="s">
        <v>142</v>
      </c>
      <c r="AA404" s="27"/>
      <c r="AB404" s="27"/>
      <c r="AC404" s="27"/>
      <c r="AD404" s="27"/>
      <c r="AE404" s="27"/>
      <c r="AF404" s="27"/>
      <c r="AG404" s="27"/>
      <c r="AH404" s="27"/>
      <c r="AI404" s="27"/>
      <c r="AJ404" s="27" t="s">
        <v>143</v>
      </c>
      <c r="AK404" s="27"/>
      <c r="AL404" s="27"/>
      <c r="AM404" s="27"/>
      <c r="AN404" s="27"/>
      <c r="AO404" s="27" t="s">
        <v>20</v>
      </c>
      <c r="AP404" s="27"/>
      <c r="AQ404" s="27"/>
      <c r="AR404" s="27"/>
      <c r="AS404" s="27"/>
      <c r="AT404" s="74" t="s">
        <v>144</v>
      </c>
      <c r="AU404" s="74"/>
      <c r="AV404" s="74"/>
      <c r="AW404" s="74"/>
      <c r="AX404" s="27" t="s">
        <v>142</v>
      </c>
      <c r="AY404" s="27"/>
      <c r="AZ404" s="27"/>
      <c r="BA404" s="27"/>
      <c r="BB404" s="27"/>
      <c r="BC404" s="27"/>
      <c r="BD404" s="27"/>
      <c r="BE404" s="27"/>
      <c r="BF404" s="27"/>
      <c r="BG404" s="27"/>
      <c r="BH404" s="27" t="s">
        <v>145</v>
      </c>
      <c r="BI404" s="27"/>
      <c r="BJ404" s="27"/>
      <c r="BK404" s="27"/>
      <c r="BL404" s="27"/>
    </row>
    <row r="405" spans="1:79" ht="63" customHeight="1" x14ac:dyDescent="0.2">
      <c r="A405" s="27"/>
      <c r="B405" s="27"/>
      <c r="C405" s="27"/>
      <c r="D405" s="27"/>
      <c r="E405" s="27"/>
      <c r="F405" s="27"/>
      <c r="G405" s="27"/>
      <c r="H405" s="27"/>
      <c r="I405" s="27"/>
      <c r="J405" s="27"/>
      <c r="K405" s="27"/>
      <c r="L405" s="27"/>
      <c r="M405" s="27"/>
      <c r="N405" s="27"/>
      <c r="O405" s="27"/>
      <c r="P405" s="27"/>
      <c r="Q405" s="27"/>
      <c r="R405" s="27"/>
      <c r="S405" s="27"/>
      <c r="T405" s="27"/>
      <c r="U405" s="27"/>
      <c r="V405" s="74"/>
      <c r="W405" s="74"/>
      <c r="X405" s="74"/>
      <c r="Y405" s="74"/>
      <c r="Z405" s="27" t="s">
        <v>17</v>
      </c>
      <c r="AA405" s="27"/>
      <c r="AB405" s="27"/>
      <c r="AC405" s="27"/>
      <c r="AD405" s="27"/>
      <c r="AE405" s="27" t="s">
        <v>16</v>
      </c>
      <c r="AF405" s="27"/>
      <c r="AG405" s="27"/>
      <c r="AH405" s="27"/>
      <c r="AI405" s="27"/>
      <c r="AJ405" s="27"/>
      <c r="AK405" s="27"/>
      <c r="AL405" s="27"/>
      <c r="AM405" s="27"/>
      <c r="AN405" s="27"/>
      <c r="AO405" s="27"/>
      <c r="AP405" s="27"/>
      <c r="AQ405" s="27"/>
      <c r="AR405" s="27"/>
      <c r="AS405" s="27"/>
      <c r="AT405" s="74"/>
      <c r="AU405" s="74"/>
      <c r="AV405" s="74"/>
      <c r="AW405" s="74"/>
      <c r="AX405" s="27" t="s">
        <v>17</v>
      </c>
      <c r="AY405" s="27"/>
      <c r="AZ405" s="27"/>
      <c r="BA405" s="27"/>
      <c r="BB405" s="27"/>
      <c r="BC405" s="27" t="s">
        <v>16</v>
      </c>
      <c r="BD405" s="27"/>
      <c r="BE405" s="27"/>
      <c r="BF405" s="27"/>
      <c r="BG405" s="27"/>
      <c r="BH405" s="27"/>
      <c r="BI405" s="27"/>
      <c r="BJ405" s="27"/>
      <c r="BK405" s="27"/>
      <c r="BL405" s="27"/>
    </row>
    <row r="406" spans="1:79" ht="15" customHeight="1" x14ac:dyDescent="0.2">
      <c r="A406" s="27">
        <v>1</v>
      </c>
      <c r="B406" s="27"/>
      <c r="C406" s="27"/>
      <c r="D406" s="27"/>
      <c r="E406" s="27"/>
      <c r="F406" s="27"/>
      <c r="G406" s="27">
        <v>2</v>
      </c>
      <c r="H406" s="27"/>
      <c r="I406" s="27"/>
      <c r="J406" s="27"/>
      <c r="K406" s="27"/>
      <c r="L406" s="27"/>
      <c r="M406" s="27"/>
      <c r="N406" s="27"/>
      <c r="O406" s="27"/>
      <c r="P406" s="27"/>
      <c r="Q406" s="27">
        <v>3</v>
      </c>
      <c r="R406" s="27"/>
      <c r="S406" s="27"/>
      <c r="T406" s="27"/>
      <c r="U406" s="27"/>
      <c r="V406" s="27">
        <v>4</v>
      </c>
      <c r="W406" s="27"/>
      <c r="X406" s="27"/>
      <c r="Y406" s="27"/>
      <c r="Z406" s="27">
        <v>5</v>
      </c>
      <c r="AA406" s="27"/>
      <c r="AB406" s="27"/>
      <c r="AC406" s="27"/>
      <c r="AD406" s="27"/>
      <c r="AE406" s="27">
        <v>6</v>
      </c>
      <c r="AF406" s="27"/>
      <c r="AG406" s="27"/>
      <c r="AH406" s="27"/>
      <c r="AI406" s="27"/>
      <c r="AJ406" s="27">
        <v>7</v>
      </c>
      <c r="AK406" s="27"/>
      <c r="AL406" s="27"/>
      <c r="AM406" s="27"/>
      <c r="AN406" s="27"/>
      <c r="AO406" s="27">
        <v>8</v>
      </c>
      <c r="AP406" s="27"/>
      <c r="AQ406" s="27"/>
      <c r="AR406" s="27"/>
      <c r="AS406" s="27"/>
      <c r="AT406" s="27">
        <v>9</v>
      </c>
      <c r="AU406" s="27"/>
      <c r="AV406" s="27"/>
      <c r="AW406" s="27"/>
      <c r="AX406" s="27">
        <v>10</v>
      </c>
      <c r="AY406" s="27"/>
      <c r="AZ406" s="27"/>
      <c r="BA406" s="27"/>
      <c r="BB406" s="27"/>
      <c r="BC406" s="27">
        <v>11</v>
      </c>
      <c r="BD406" s="27"/>
      <c r="BE406" s="27"/>
      <c r="BF406" s="27"/>
      <c r="BG406" s="27"/>
      <c r="BH406" s="27">
        <v>12</v>
      </c>
      <c r="BI406" s="27"/>
      <c r="BJ406" s="27"/>
      <c r="BK406" s="27"/>
      <c r="BL406" s="27"/>
    </row>
    <row r="407" spans="1:79" s="1" customFormat="1" ht="12" hidden="1" customHeight="1" x14ac:dyDescent="0.2">
      <c r="A407" s="26" t="s">
        <v>64</v>
      </c>
      <c r="B407" s="26"/>
      <c r="C407" s="26"/>
      <c r="D407" s="26"/>
      <c r="E407" s="26"/>
      <c r="F407" s="26"/>
      <c r="G407" s="67" t="s">
        <v>57</v>
      </c>
      <c r="H407" s="67"/>
      <c r="I407" s="67"/>
      <c r="J407" s="67"/>
      <c r="K407" s="67"/>
      <c r="L407" s="67"/>
      <c r="M407" s="67"/>
      <c r="N407" s="67"/>
      <c r="O407" s="67"/>
      <c r="P407" s="67"/>
      <c r="Q407" s="30" t="s">
        <v>80</v>
      </c>
      <c r="R407" s="30"/>
      <c r="S407" s="30"/>
      <c r="T407" s="30"/>
      <c r="U407" s="30"/>
      <c r="V407" s="30" t="s">
        <v>81</v>
      </c>
      <c r="W407" s="30"/>
      <c r="X407" s="30"/>
      <c r="Y407" s="30"/>
      <c r="Z407" s="30" t="s">
        <v>82</v>
      </c>
      <c r="AA407" s="30"/>
      <c r="AB407" s="30"/>
      <c r="AC407" s="30"/>
      <c r="AD407" s="30"/>
      <c r="AE407" s="30" t="s">
        <v>83</v>
      </c>
      <c r="AF407" s="30"/>
      <c r="AG407" s="30"/>
      <c r="AH407" s="30"/>
      <c r="AI407" s="30"/>
      <c r="AJ407" s="78" t="s">
        <v>101</v>
      </c>
      <c r="AK407" s="30"/>
      <c r="AL407" s="30"/>
      <c r="AM407" s="30"/>
      <c r="AN407" s="30"/>
      <c r="AO407" s="30" t="s">
        <v>84</v>
      </c>
      <c r="AP407" s="30"/>
      <c r="AQ407" s="30"/>
      <c r="AR407" s="30"/>
      <c r="AS407" s="30"/>
      <c r="AT407" s="78" t="s">
        <v>102</v>
      </c>
      <c r="AU407" s="30"/>
      <c r="AV407" s="30"/>
      <c r="AW407" s="30"/>
      <c r="AX407" s="30" t="s">
        <v>85</v>
      </c>
      <c r="AY407" s="30"/>
      <c r="AZ407" s="30"/>
      <c r="BA407" s="30"/>
      <c r="BB407" s="30"/>
      <c r="BC407" s="30" t="s">
        <v>86</v>
      </c>
      <c r="BD407" s="30"/>
      <c r="BE407" s="30"/>
      <c r="BF407" s="30"/>
      <c r="BG407" s="30"/>
      <c r="BH407" s="78" t="s">
        <v>101</v>
      </c>
      <c r="BI407" s="30"/>
      <c r="BJ407" s="30"/>
      <c r="BK407" s="30"/>
      <c r="BL407" s="30"/>
      <c r="CA407" s="1" t="s">
        <v>52</v>
      </c>
    </row>
    <row r="408" spans="1:79" s="6" customFormat="1" ht="12.75" customHeight="1" x14ac:dyDescent="0.2">
      <c r="A408" s="85"/>
      <c r="B408" s="85"/>
      <c r="C408" s="85"/>
      <c r="D408" s="85"/>
      <c r="E408" s="85"/>
      <c r="F408" s="85"/>
      <c r="G408" s="120" t="s">
        <v>147</v>
      </c>
      <c r="H408" s="120"/>
      <c r="I408" s="120"/>
      <c r="J408" s="120"/>
      <c r="K408" s="120"/>
      <c r="L408" s="120"/>
      <c r="M408" s="120"/>
      <c r="N408" s="120"/>
      <c r="O408" s="120"/>
      <c r="P408" s="120"/>
      <c r="Q408" s="116"/>
      <c r="R408" s="116"/>
      <c r="S408" s="116"/>
      <c r="T408" s="116"/>
      <c r="U408" s="116"/>
      <c r="V408" s="116"/>
      <c r="W408" s="116"/>
      <c r="X408" s="116"/>
      <c r="Y408" s="116"/>
      <c r="Z408" s="116"/>
      <c r="AA408" s="116"/>
      <c r="AB408" s="116"/>
      <c r="AC408" s="116"/>
      <c r="AD408" s="116"/>
      <c r="AE408" s="116"/>
      <c r="AF408" s="116"/>
      <c r="AG408" s="116"/>
      <c r="AH408" s="116"/>
      <c r="AI408" s="116"/>
      <c r="AJ408" s="116">
        <f>IF(ISNUMBER(Q408),Q408,0)-IF(ISNUMBER(Z408),Z408,0)</f>
        <v>0</v>
      </c>
      <c r="AK408" s="116"/>
      <c r="AL408" s="116"/>
      <c r="AM408" s="116"/>
      <c r="AN408" s="116"/>
      <c r="AO408" s="116"/>
      <c r="AP408" s="116"/>
      <c r="AQ408" s="116"/>
      <c r="AR408" s="116"/>
      <c r="AS408" s="116"/>
      <c r="AT408" s="116">
        <f>IF(ISNUMBER(V408),V408,0)-IF(ISNUMBER(Z408),Z408,0)-IF(ISNUMBER(AE408),AE408,0)</f>
        <v>0</v>
      </c>
      <c r="AU408" s="116"/>
      <c r="AV408" s="116"/>
      <c r="AW408" s="116"/>
      <c r="AX408" s="116"/>
      <c r="AY408" s="116"/>
      <c r="AZ408" s="116"/>
      <c r="BA408" s="116"/>
      <c r="BB408" s="116"/>
      <c r="BC408" s="116"/>
      <c r="BD408" s="116"/>
      <c r="BE408" s="116"/>
      <c r="BF408" s="116"/>
      <c r="BG408" s="116"/>
      <c r="BH408" s="116">
        <f>IF(ISNUMBER(AO408),AO408,0)-IF(ISNUMBER(AX408),AX408,0)</f>
        <v>0</v>
      </c>
      <c r="BI408" s="116"/>
      <c r="BJ408" s="116"/>
      <c r="BK408" s="116"/>
      <c r="BL408" s="116"/>
      <c r="CA408" s="6" t="s">
        <v>53</v>
      </c>
    </row>
    <row r="410" spans="1:79" ht="14.25" customHeight="1" x14ac:dyDescent="0.2">
      <c r="A410" s="29" t="s">
        <v>325</v>
      </c>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c r="AA410" s="29"/>
      <c r="AB410" s="29"/>
      <c r="AC410" s="29"/>
      <c r="AD410" s="29"/>
      <c r="AE410" s="29"/>
      <c r="AF410" s="29"/>
      <c r="AG410" s="29"/>
      <c r="AH410" s="29"/>
      <c r="AI410" s="29"/>
      <c r="AJ410" s="29"/>
      <c r="AK410" s="29"/>
      <c r="AL410" s="29"/>
      <c r="AM410" s="29"/>
      <c r="AN410" s="29"/>
      <c r="AO410" s="29"/>
      <c r="AP410" s="29"/>
      <c r="AQ410" s="29"/>
      <c r="AR410" s="29"/>
      <c r="AS410" s="29"/>
      <c r="AT410" s="29"/>
      <c r="AU410" s="29"/>
      <c r="AV410" s="29"/>
      <c r="AW410" s="29"/>
      <c r="AX410" s="29"/>
      <c r="AY410" s="29"/>
      <c r="AZ410" s="29"/>
      <c r="BA410" s="29"/>
      <c r="BB410" s="29"/>
      <c r="BC410" s="29"/>
      <c r="BD410" s="29"/>
      <c r="BE410" s="29"/>
      <c r="BF410" s="29"/>
      <c r="BG410" s="29"/>
      <c r="BH410" s="29"/>
      <c r="BI410" s="29"/>
      <c r="BJ410" s="29"/>
      <c r="BK410" s="29"/>
      <c r="BL410" s="29"/>
    </row>
    <row r="411" spans="1:79" ht="15" customHeight="1" x14ac:dyDescent="0.2">
      <c r="A411" s="31" t="s">
        <v>318</v>
      </c>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1"/>
      <c r="AC411" s="31"/>
      <c r="AD411" s="31"/>
      <c r="AE411" s="31"/>
      <c r="AF411" s="31"/>
      <c r="AG411" s="31"/>
      <c r="AH411" s="31"/>
      <c r="AI411" s="31"/>
      <c r="AJ411" s="31"/>
      <c r="AK411" s="31"/>
      <c r="AL411" s="31"/>
      <c r="AM411" s="31"/>
      <c r="AN411" s="31"/>
      <c r="AO411" s="31"/>
      <c r="AP411" s="31"/>
      <c r="AQ411" s="31"/>
      <c r="AR411" s="31"/>
      <c r="AS411" s="31"/>
      <c r="AT411" s="31"/>
      <c r="AU411" s="31"/>
      <c r="AV411" s="31"/>
      <c r="AW411" s="31"/>
      <c r="AX411" s="31"/>
      <c r="AY411" s="31"/>
      <c r="AZ411" s="31"/>
      <c r="BA411" s="31"/>
      <c r="BB411" s="31"/>
      <c r="BC411" s="31"/>
      <c r="BD411" s="31"/>
      <c r="BE411" s="31"/>
      <c r="BF411" s="31"/>
      <c r="BG411" s="31"/>
      <c r="BH411" s="31"/>
      <c r="BI411" s="31"/>
      <c r="BJ411" s="31"/>
      <c r="BK411" s="31"/>
      <c r="BL411" s="31"/>
    </row>
    <row r="412" spans="1:79" ht="42.95" customHeight="1" x14ac:dyDescent="0.2">
      <c r="A412" s="74" t="s">
        <v>135</v>
      </c>
      <c r="B412" s="74"/>
      <c r="C412" s="74"/>
      <c r="D412" s="74"/>
      <c r="E412" s="74"/>
      <c r="F412" s="74"/>
      <c r="G412" s="27" t="s">
        <v>19</v>
      </c>
      <c r="H412" s="27"/>
      <c r="I412" s="27"/>
      <c r="J412" s="27"/>
      <c r="K412" s="27"/>
      <c r="L412" s="27"/>
      <c r="M412" s="27"/>
      <c r="N412" s="27"/>
      <c r="O412" s="27"/>
      <c r="P412" s="27"/>
      <c r="Q412" s="27"/>
      <c r="R412" s="27"/>
      <c r="S412" s="27"/>
      <c r="T412" s="27" t="s">
        <v>15</v>
      </c>
      <c r="U412" s="27"/>
      <c r="V412" s="27"/>
      <c r="W412" s="27"/>
      <c r="X412" s="27"/>
      <c r="Y412" s="27"/>
      <c r="Z412" s="27" t="s">
        <v>14</v>
      </c>
      <c r="AA412" s="27"/>
      <c r="AB412" s="27"/>
      <c r="AC412" s="27"/>
      <c r="AD412" s="27"/>
      <c r="AE412" s="27" t="s">
        <v>321</v>
      </c>
      <c r="AF412" s="27"/>
      <c r="AG412" s="27"/>
      <c r="AH412" s="27"/>
      <c r="AI412" s="27"/>
      <c r="AJ412" s="27"/>
      <c r="AK412" s="27" t="s">
        <v>326</v>
      </c>
      <c r="AL412" s="27"/>
      <c r="AM412" s="27"/>
      <c r="AN412" s="27"/>
      <c r="AO412" s="27"/>
      <c r="AP412" s="27"/>
      <c r="AQ412" s="27" t="s">
        <v>339</v>
      </c>
      <c r="AR412" s="27"/>
      <c r="AS412" s="27"/>
      <c r="AT412" s="27"/>
      <c r="AU412" s="27"/>
      <c r="AV412" s="27"/>
      <c r="AW412" s="27" t="s">
        <v>18</v>
      </c>
      <c r="AX412" s="27"/>
      <c r="AY412" s="27"/>
      <c r="AZ412" s="27"/>
      <c r="BA412" s="27"/>
      <c r="BB412" s="27"/>
      <c r="BC412" s="27"/>
      <c r="BD412" s="27"/>
      <c r="BE412" s="27" t="s">
        <v>156</v>
      </c>
      <c r="BF412" s="27"/>
      <c r="BG412" s="27"/>
      <c r="BH412" s="27"/>
      <c r="BI412" s="27"/>
      <c r="BJ412" s="27"/>
      <c r="BK412" s="27"/>
      <c r="BL412" s="27"/>
    </row>
    <row r="413" spans="1:79" ht="21.75" customHeight="1" x14ac:dyDescent="0.2">
      <c r="A413" s="74"/>
      <c r="B413" s="74"/>
      <c r="C413" s="74"/>
      <c r="D413" s="74"/>
      <c r="E413" s="74"/>
      <c r="F413" s="74"/>
      <c r="G413" s="27"/>
      <c r="H413" s="27"/>
      <c r="I413" s="27"/>
      <c r="J413" s="27"/>
      <c r="K413" s="27"/>
      <c r="L413" s="27"/>
      <c r="M413" s="27"/>
      <c r="N413" s="27"/>
      <c r="O413" s="27"/>
      <c r="P413" s="27"/>
      <c r="Q413" s="27"/>
      <c r="R413" s="27"/>
      <c r="S413" s="27"/>
      <c r="T413" s="27"/>
      <c r="U413" s="27"/>
      <c r="V413" s="27"/>
      <c r="W413" s="27"/>
      <c r="X413" s="27"/>
      <c r="Y413" s="27"/>
      <c r="Z413" s="27"/>
      <c r="AA413" s="27"/>
      <c r="AB413" s="27"/>
      <c r="AC413" s="27"/>
      <c r="AD413" s="27"/>
      <c r="AE413" s="27"/>
      <c r="AF413" s="27"/>
      <c r="AG413" s="27"/>
      <c r="AH413" s="27"/>
      <c r="AI413" s="27"/>
      <c r="AJ413" s="27"/>
      <c r="AK413" s="27"/>
      <c r="AL413" s="27"/>
      <c r="AM413" s="27"/>
      <c r="AN413" s="27"/>
      <c r="AO413" s="27"/>
      <c r="AP413" s="27"/>
      <c r="AQ413" s="27"/>
      <c r="AR413" s="27"/>
      <c r="AS413" s="27"/>
      <c r="AT413" s="27"/>
      <c r="AU413" s="27"/>
      <c r="AV413" s="27"/>
      <c r="AW413" s="27"/>
      <c r="AX413" s="27"/>
      <c r="AY413" s="27"/>
      <c r="AZ413" s="27"/>
      <c r="BA413" s="27"/>
      <c r="BB413" s="27"/>
      <c r="BC413" s="27"/>
      <c r="BD413" s="27"/>
      <c r="BE413" s="27"/>
      <c r="BF413" s="27"/>
      <c r="BG413" s="27"/>
      <c r="BH413" s="27"/>
      <c r="BI413" s="27"/>
      <c r="BJ413" s="27"/>
      <c r="BK413" s="27"/>
      <c r="BL413" s="27"/>
    </row>
    <row r="414" spans="1:79" ht="15" customHeight="1" x14ac:dyDescent="0.2">
      <c r="A414" s="27">
        <v>1</v>
      </c>
      <c r="B414" s="27"/>
      <c r="C414" s="27"/>
      <c r="D414" s="27"/>
      <c r="E414" s="27"/>
      <c r="F414" s="27"/>
      <c r="G414" s="27">
        <v>2</v>
      </c>
      <c r="H414" s="27"/>
      <c r="I414" s="27"/>
      <c r="J414" s="27"/>
      <c r="K414" s="27"/>
      <c r="L414" s="27"/>
      <c r="M414" s="27"/>
      <c r="N414" s="27"/>
      <c r="O414" s="27"/>
      <c r="P414" s="27"/>
      <c r="Q414" s="27"/>
      <c r="R414" s="27"/>
      <c r="S414" s="27"/>
      <c r="T414" s="27">
        <v>3</v>
      </c>
      <c r="U414" s="27"/>
      <c r="V414" s="27"/>
      <c r="W414" s="27"/>
      <c r="X414" s="27"/>
      <c r="Y414" s="27"/>
      <c r="Z414" s="27">
        <v>4</v>
      </c>
      <c r="AA414" s="27"/>
      <c r="AB414" s="27"/>
      <c r="AC414" s="27"/>
      <c r="AD414" s="27"/>
      <c r="AE414" s="27">
        <v>5</v>
      </c>
      <c r="AF414" s="27"/>
      <c r="AG414" s="27"/>
      <c r="AH414" s="27"/>
      <c r="AI414" s="27"/>
      <c r="AJ414" s="27"/>
      <c r="AK414" s="27">
        <v>6</v>
      </c>
      <c r="AL414" s="27"/>
      <c r="AM414" s="27"/>
      <c r="AN414" s="27"/>
      <c r="AO414" s="27"/>
      <c r="AP414" s="27"/>
      <c r="AQ414" s="27">
        <v>7</v>
      </c>
      <c r="AR414" s="27"/>
      <c r="AS414" s="27"/>
      <c r="AT414" s="27"/>
      <c r="AU414" s="27"/>
      <c r="AV414" s="27"/>
      <c r="AW414" s="26">
        <v>8</v>
      </c>
      <c r="AX414" s="26"/>
      <c r="AY414" s="26"/>
      <c r="AZ414" s="26"/>
      <c r="BA414" s="26"/>
      <c r="BB414" s="26"/>
      <c r="BC414" s="26"/>
      <c r="BD414" s="26"/>
      <c r="BE414" s="26">
        <v>9</v>
      </c>
      <c r="BF414" s="26"/>
      <c r="BG414" s="26"/>
      <c r="BH414" s="26"/>
      <c r="BI414" s="26"/>
      <c r="BJ414" s="26"/>
      <c r="BK414" s="26"/>
      <c r="BL414" s="26"/>
    </row>
    <row r="415" spans="1:79" s="1" customFormat="1" ht="18.75" hidden="1" customHeight="1" x14ac:dyDescent="0.2">
      <c r="A415" s="26" t="s">
        <v>64</v>
      </c>
      <c r="B415" s="26"/>
      <c r="C415" s="26"/>
      <c r="D415" s="26"/>
      <c r="E415" s="26"/>
      <c r="F415" s="26"/>
      <c r="G415" s="67" t="s">
        <v>57</v>
      </c>
      <c r="H415" s="67"/>
      <c r="I415" s="67"/>
      <c r="J415" s="67"/>
      <c r="K415" s="67"/>
      <c r="L415" s="67"/>
      <c r="M415" s="67"/>
      <c r="N415" s="67"/>
      <c r="O415" s="67"/>
      <c r="P415" s="67"/>
      <c r="Q415" s="67"/>
      <c r="R415" s="67"/>
      <c r="S415" s="67"/>
      <c r="T415" s="30" t="s">
        <v>80</v>
      </c>
      <c r="U415" s="30"/>
      <c r="V415" s="30"/>
      <c r="W415" s="30"/>
      <c r="X415" s="30"/>
      <c r="Y415" s="30"/>
      <c r="Z415" s="30" t="s">
        <v>81</v>
      </c>
      <c r="AA415" s="30"/>
      <c r="AB415" s="30"/>
      <c r="AC415" s="30"/>
      <c r="AD415" s="30"/>
      <c r="AE415" s="30" t="s">
        <v>82</v>
      </c>
      <c r="AF415" s="30"/>
      <c r="AG415" s="30"/>
      <c r="AH415" s="30"/>
      <c r="AI415" s="30"/>
      <c r="AJ415" s="30"/>
      <c r="AK415" s="30" t="s">
        <v>83</v>
      </c>
      <c r="AL415" s="30"/>
      <c r="AM415" s="30"/>
      <c r="AN415" s="30"/>
      <c r="AO415" s="30"/>
      <c r="AP415" s="30"/>
      <c r="AQ415" s="30" t="s">
        <v>84</v>
      </c>
      <c r="AR415" s="30"/>
      <c r="AS415" s="30"/>
      <c r="AT415" s="30"/>
      <c r="AU415" s="30"/>
      <c r="AV415" s="30"/>
      <c r="AW415" s="67" t="s">
        <v>87</v>
      </c>
      <c r="AX415" s="67"/>
      <c r="AY415" s="67"/>
      <c r="AZ415" s="67"/>
      <c r="BA415" s="67"/>
      <c r="BB415" s="67"/>
      <c r="BC415" s="67"/>
      <c r="BD415" s="67"/>
      <c r="BE415" s="67" t="s">
        <v>88</v>
      </c>
      <c r="BF415" s="67"/>
      <c r="BG415" s="67"/>
      <c r="BH415" s="67"/>
      <c r="BI415" s="67"/>
      <c r="BJ415" s="67"/>
      <c r="BK415" s="67"/>
      <c r="BL415" s="67"/>
      <c r="CA415" s="1" t="s">
        <v>54</v>
      </c>
    </row>
    <row r="416" spans="1:79" s="6" customFormat="1" ht="12.75" customHeight="1" x14ac:dyDescent="0.2">
      <c r="A416" s="85"/>
      <c r="B416" s="85"/>
      <c r="C416" s="85"/>
      <c r="D416" s="85"/>
      <c r="E416" s="85"/>
      <c r="F416" s="85"/>
      <c r="G416" s="120" t="s">
        <v>147</v>
      </c>
      <c r="H416" s="120"/>
      <c r="I416" s="120"/>
      <c r="J416" s="120"/>
      <c r="K416" s="120"/>
      <c r="L416" s="120"/>
      <c r="M416" s="120"/>
      <c r="N416" s="120"/>
      <c r="O416" s="120"/>
      <c r="P416" s="120"/>
      <c r="Q416" s="120"/>
      <c r="R416" s="120"/>
      <c r="S416" s="120"/>
      <c r="T416" s="116"/>
      <c r="U416" s="116"/>
      <c r="V416" s="116"/>
      <c r="W416" s="116"/>
      <c r="X416" s="116"/>
      <c r="Y416" s="116"/>
      <c r="Z416" s="116"/>
      <c r="AA416" s="116"/>
      <c r="AB416" s="116"/>
      <c r="AC416" s="116"/>
      <c r="AD416" s="116"/>
      <c r="AE416" s="116"/>
      <c r="AF416" s="116"/>
      <c r="AG416" s="116"/>
      <c r="AH416" s="116"/>
      <c r="AI416" s="116"/>
      <c r="AJ416" s="116"/>
      <c r="AK416" s="116"/>
      <c r="AL416" s="116"/>
      <c r="AM416" s="116"/>
      <c r="AN416" s="116"/>
      <c r="AO416" s="116"/>
      <c r="AP416" s="116"/>
      <c r="AQ416" s="116"/>
      <c r="AR416" s="116"/>
      <c r="AS416" s="116"/>
      <c r="AT416" s="116"/>
      <c r="AU416" s="116"/>
      <c r="AV416" s="116"/>
      <c r="AW416" s="120"/>
      <c r="AX416" s="120"/>
      <c r="AY416" s="120"/>
      <c r="AZ416" s="120"/>
      <c r="BA416" s="120"/>
      <c r="BB416" s="120"/>
      <c r="BC416" s="120"/>
      <c r="BD416" s="120"/>
      <c r="BE416" s="120"/>
      <c r="BF416" s="120"/>
      <c r="BG416" s="120"/>
      <c r="BH416" s="120"/>
      <c r="BI416" s="120"/>
      <c r="BJ416" s="120"/>
      <c r="BK416" s="120"/>
      <c r="BL416" s="120"/>
      <c r="CA416" s="6" t="s">
        <v>55</v>
      </c>
    </row>
    <row r="418" spans="1:64" ht="14.25" customHeight="1" x14ac:dyDescent="0.2">
      <c r="A418" s="29" t="s">
        <v>327</v>
      </c>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c r="AA418" s="29"/>
      <c r="AB418" s="29"/>
      <c r="AC418" s="29"/>
      <c r="AD418" s="29"/>
      <c r="AE418" s="29"/>
      <c r="AF418" s="29"/>
      <c r="AG418" s="29"/>
      <c r="AH418" s="29"/>
      <c r="AI418" s="29"/>
      <c r="AJ418" s="29"/>
      <c r="AK418" s="29"/>
      <c r="AL418" s="29"/>
      <c r="AM418" s="29"/>
      <c r="AN418" s="29"/>
      <c r="AO418" s="29"/>
      <c r="AP418" s="29"/>
      <c r="AQ418" s="29"/>
      <c r="AR418" s="29"/>
      <c r="AS418" s="29"/>
      <c r="AT418" s="29"/>
      <c r="AU418" s="29"/>
      <c r="AV418" s="29"/>
      <c r="AW418" s="29"/>
      <c r="AX418" s="29"/>
      <c r="AY418" s="29"/>
      <c r="AZ418" s="29"/>
      <c r="BA418" s="29"/>
      <c r="BB418" s="29"/>
      <c r="BC418" s="29"/>
      <c r="BD418" s="29"/>
      <c r="BE418" s="29"/>
      <c r="BF418" s="29"/>
      <c r="BG418" s="29"/>
      <c r="BH418" s="29"/>
      <c r="BI418" s="29"/>
      <c r="BJ418" s="29"/>
      <c r="BK418" s="29"/>
      <c r="BL418" s="29"/>
    </row>
    <row r="419" spans="1:64" ht="45" customHeight="1" x14ac:dyDescent="0.2">
      <c r="A419" s="125" t="s">
        <v>309</v>
      </c>
      <c r="B419" s="126"/>
      <c r="C419" s="126"/>
      <c r="D419" s="126"/>
      <c r="E419" s="126"/>
      <c r="F419" s="126"/>
      <c r="G419" s="126"/>
      <c r="H419" s="126"/>
      <c r="I419" s="126"/>
      <c r="J419" s="126"/>
      <c r="K419" s="126"/>
      <c r="L419" s="126"/>
      <c r="M419" s="126"/>
      <c r="N419" s="126"/>
      <c r="O419" s="126"/>
      <c r="P419" s="126"/>
      <c r="Q419" s="126"/>
      <c r="R419" s="126"/>
      <c r="S419" s="126"/>
      <c r="T419" s="126"/>
      <c r="U419" s="126"/>
      <c r="V419" s="126"/>
      <c r="W419" s="126"/>
      <c r="X419" s="126"/>
      <c r="Y419" s="126"/>
      <c r="Z419" s="126"/>
      <c r="AA419" s="126"/>
      <c r="AB419" s="126"/>
      <c r="AC419" s="126"/>
      <c r="AD419" s="126"/>
      <c r="AE419" s="126"/>
      <c r="AF419" s="126"/>
      <c r="AG419" s="126"/>
      <c r="AH419" s="126"/>
      <c r="AI419" s="126"/>
      <c r="AJ419" s="126"/>
      <c r="AK419" s="126"/>
      <c r="AL419" s="126"/>
      <c r="AM419" s="126"/>
      <c r="AN419" s="126"/>
      <c r="AO419" s="126"/>
      <c r="AP419" s="126"/>
      <c r="AQ419" s="126"/>
      <c r="AR419" s="126"/>
      <c r="AS419" s="126"/>
      <c r="AT419" s="126"/>
      <c r="AU419" s="126"/>
      <c r="AV419" s="126"/>
      <c r="AW419" s="126"/>
      <c r="AX419" s="126"/>
      <c r="AY419" s="126"/>
      <c r="AZ419" s="126"/>
      <c r="BA419" s="126"/>
      <c r="BB419" s="126"/>
      <c r="BC419" s="126"/>
      <c r="BD419" s="126"/>
      <c r="BE419" s="126"/>
      <c r="BF419" s="126"/>
      <c r="BG419" s="126"/>
      <c r="BH419" s="126"/>
      <c r="BI419" s="126"/>
      <c r="BJ419" s="126"/>
      <c r="BK419" s="126"/>
      <c r="BL419" s="126"/>
    </row>
    <row r="420" spans="1:64" ht="1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row>
    <row r="422" spans="1:64" ht="14.25" x14ac:dyDescent="0.2">
      <c r="A422" s="29" t="s">
        <v>354</v>
      </c>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c r="AA422" s="29"/>
      <c r="AB422" s="29"/>
      <c r="AC422" s="29"/>
      <c r="AD422" s="29"/>
      <c r="AE422" s="29"/>
      <c r="AF422" s="29"/>
      <c r="AG422" s="29"/>
      <c r="AH422" s="29"/>
      <c r="AI422" s="29"/>
      <c r="AJ422" s="29"/>
      <c r="AK422" s="29"/>
      <c r="AL422" s="29"/>
      <c r="AM422" s="29"/>
      <c r="AN422" s="29"/>
      <c r="AO422" s="29"/>
      <c r="AP422" s="29"/>
      <c r="AQ422" s="29"/>
      <c r="AR422" s="29"/>
      <c r="AS422" s="29"/>
      <c r="AT422" s="29"/>
      <c r="AU422" s="29"/>
      <c r="AV422" s="29"/>
      <c r="AW422" s="29"/>
      <c r="AX422" s="29"/>
      <c r="AY422" s="29"/>
      <c r="AZ422" s="29"/>
      <c r="BA422" s="29"/>
      <c r="BB422" s="29"/>
      <c r="BC422" s="29"/>
      <c r="BD422" s="29"/>
      <c r="BE422" s="29"/>
      <c r="BF422" s="29"/>
      <c r="BG422" s="29"/>
      <c r="BH422" s="29"/>
      <c r="BI422" s="29"/>
      <c r="BJ422" s="29"/>
      <c r="BK422" s="29"/>
      <c r="BL422" s="29"/>
    </row>
    <row r="423" spans="1:64" ht="14.25" x14ac:dyDescent="0.2">
      <c r="A423" s="29" t="s">
        <v>328</v>
      </c>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c r="AA423" s="29"/>
      <c r="AB423" s="29"/>
      <c r="AC423" s="29"/>
      <c r="AD423" s="29"/>
      <c r="AE423" s="29"/>
      <c r="AF423" s="29"/>
      <c r="AG423" s="29"/>
      <c r="AH423" s="29"/>
      <c r="AI423" s="29"/>
      <c r="AJ423" s="29"/>
      <c r="AK423" s="29"/>
      <c r="AL423" s="29"/>
      <c r="AM423" s="29"/>
      <c r="AN423" s="29"/>
      <c r="AO423" s="29"/>
      <c r="AP423" s="29"/>
      <c r="AQ423" s="29"/>
      <c r="AR423" s="29"/>
      <c r="AS423" s="29"/>
      <c r="AT423" s="29"/>
      <c r="AU423" s="29"/>
      <c r="AV423" s="29"/>
      <c r="AW423" s="29"/>
      <c r="AX423" s="29"/>
      <c r="AY423" s="29"/>
      <c r="AZ423" s="29"/>
      <c r="BA423" s="29"/>
      <c r="BB423" s="29"/>
      <c r="BC423" s="29"/>
      <c r="BD423" s="29"/>
      <c r="BE423" s="29"/>
      <c r="BF423" s="29"/>
      <c r="BG423" s="29"/>
      <c r="BH423" s="29"/>
      <c r="BI423" s="29"/>
      <c r="BJ423" s="29"/>
      <c r="BK423" s="29"/>
      <c r="BL423" s="29"/>
    </row>
    <row r="424" spans="1:64" ht="15" customHeight="1" x14ac:dyDescent="0.2">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c r="AA424" s="60"/>
      <c r="AB424" s="60"/>
      <c r="AC424" s="60"/>
      <c r="AD424" s="60"/>
      <c r="AE424" s="60"/>
      <c r="AF424" s="60"/>
      <c r="AG424" s="60"/>
      <c r="AH424" s="60"/>
      <c r="AI424" s="60"/>
      <c r="AJ424" s="60"/>
      <c r="AK424" s="60"/>
      <c r="AL424" s="60"/>
      <c r="AM424" s="60"/>
      <c r="AN424" s="60"/>
      <c r="AO424" s="60"/>
      <c r="AP424" s="60"/>
      <c r="AQ424" s="60"/>
      <c r="AR424" s="60"/>
      <c r="AS424" s="60"/>
      <c r="AT424" s="60"/>
      <c r="AU424" s="60"/>
      <c r="AV424" s="60"/>
      <c r="AW424" s="60"/>
      <c r="AX424" s="60"/>
      <c r="AY424" s="60"/>
      <c r="AZ424" s="60"/>
      <c r="BA424" s="60"/>
      <c r="BB424" s="60"/>
      <c r="BC424" s="60"/>
      <c r="BD424" s="60"/>
      <c r="BE424" s="60"/>
      <c r="BF424" s="60"/>
      <c r="BG424" s="60"/>
      <c r="BH424" s="60"/>
      <c r="BI424" s="60"/>
      <c r="BJ424" s="60"/>
      <c r="BK424" s="60"/>
      <c r="BL424" s="60"/>
    </row>
    <row r="425" spans="1:64" ht="1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row>
    <row r="428" spans="1:64" ht="18.95" customHeight="1" x14ac:dyDescent="0.2">
      <c r="A428" s="129" t="s">
        <v>312</v>
      </c>
      <c r="B428" s="126"/>
      <c r="C428" s="126"/>
      <c r="D428" s="126"/>
      <c r="E428" s="126"/>
      <c r="F428" s="126"/>
      <c r="G428" s="126"/>
      <c r="H428" s="126"/>
      <c r="I428" s="126"/>
      <c r="J428" s="126"/>
      <c r="K428" s="126"/>
      <c r="L428" s="126"/>
      <c r="M428" s="126"/>
      <c r="N428" s="126"/>
      <c r="O428" s="126"/>
      <c r="P428" s="126"/>
      <c r="Q428" s="126"/>
      <c r="R428" s="126"/>
      <c r="S428" s="126"/>
      <c r="T428" s="126"/>
      <c r="U428" s="126"/>
      <c r="V428" s="126"/>
      <c r="W428" s="126"/>
      <c r="X428" s="126"/>
      <c r="Y428" s="126"/>
      <c r="Z428" s="126"/>
      <c r="AA428" s="126"/>
      <c r="AB428" s="22"/>
      <c r="AC428" s="22"/>
      <c r="AD428" s="22"/>
      <c r="AE428" s="22"/>
      <c r="AF428" s="22"/>
      <c r="AG428" s="22"/>
      <c r="AH428" s="42"/>
      <c r="AI428" s="42"/>
      <c r="AJ428" s="42"/>
      <c r="AK428" s="42"/>
      <c r="AL428" s="42"/>
      <c r="AM428" s="42"/>
      <c r="AN428" s="42"/>
      <c r="AO428" s="42"/>
      <c r="AP428" s="42"/>
      <c r="AQ428" s="22"/>
      <c r="AR428" s="22"/>
      <c r="AS428" s="22"/>
      <c r="AT428" s="22"/>
      <c r="AU428" s="130" t="s">
        <v>314</v>
      </c>
      <c r="AV428" s="128"/>
      <c r="AW428" s="128"/>
      <c r="AX428" s="128"/>
      <c r="AY428" s="128"/>
      <c r="AZ428" s="128"/>
      <c r="BA428" s="128"/>
      <c r="BB428" s="128"/>
      <c r="BC428" s="128"/>
      <c r="BD428" s="128"/>
      <c r="BE428" s="128"/>
      <c r="BF428" s="128"/>
    </row>
    <row r="429" spans="1:64" ht="12.75" customHeight="1" x14ac:dyDescent="0.2">
      <c r="AB429" s="23"/>
      <c r="AC429" s="23"/>
      <c r="AD429" s="23"/>
      <c r="AE429" s="23"/>
      <c r="AF429" s="23"/>
      <c r="AG429" s="23"/>
      <c r="AH429" s="28" t="s">
        <v>1</v>
      </c>
      <c r="AI429" s="28"/>
      <c r="AJ429" s="28"/>
      <c r="AK429" s="28"/>
      <c r="AL429" s="28"/>
      <c r="AM429" s="28"/>
      <c r="AN429" s="28"/>
      <c r="AO429" s="28"/>
      <c r="AP429" s="28"/>
      <c r="AQ429" s="23"/>
      <c r="AR429" s="23"/>
      <c r="AS429" s="23"/>
      <c r="AT429" s="23"/>
      <c r="AU429" s="28" t="s">
        <v>171</v>
      </c>
      <c r="AV429" s="28"/>
      <c r="AW429" s="28"/>
      <c r="AX429" s="28"/>
      <c r="AY429" s="28"/>
      <c r="AZ429" s="28"/>
      <c r="BA429" s="28"/>
      <c r="BB429" s="28"/>
      <c r="BC429" s="28"/>
      <c r="BD429" s="28"/>
      <c r="BE429" s="28"/>
      <c r="BF429" s="28"/>
    </row>
    <row r="430" spans="1:64" ht="15" x14ac:dyDescent="0.2">
      <c r="AB430" s="23"/>
      <c r="AC430" s="23"/>
      <c r="AD430" s="23"/>
      <c r="AE430" s="23"/>
      <c r="AF430" s="23"/>
      <c r="AG430" s="23"/>
      <c r="AH430" s="24"/>
      <c r="AI430" s="24"/>
      <c r="AJ430" s="24"/>
      <c r="AK430" s="24"/>
      <c r="AL430" s="24"/>
      <c r="AM430" s="24"/>
      <c r="AN430" s="24"/>
      <c r="AO430" s="24"/>
      <c r="AP430" s="24"/>
      <c r="AQ430" s="23"/>
      <c r="AR430" s="23"/>
      <c r="AS430" s="23"/>
      <c r="AT430" s="23"/>
      <c r="AU430" s="24"/>
      <c r="AV430" s="24"/>
      <c r="AW430" s="24"/>
      <c r="AX430" s="24"/>
      <c r="AY430" s="24"/>
      <c r="AZ430" s="24"/>
      <c r="BA430" s="24"/>
      <c r="BB430" s="24"/>
      <c r="BC430" s="24"/>
      <c r="BD430" s="24"/>
      <c r="BE430" s="24"/>
      <c r="BF430" s="24"/>
    </row>
    <row r="431" spans="1:64" ht="18" customHeight="1" x14ac:dyDescent="0.2">
      <c r="A431" s="129" t="s">
        <v>313</v>
      </c>
      <c r="B431" s="126"/>
      <c r="C431" s="126"/>
      <c r="D431" s="126"/>
      <c r="E431" s="126"/>
      <c r="F431" s="126"/>
      <c r="G431" s="126"/>
      <c r="H431" s="126"/>
      <c r="I431" s="126"/>
      <c r="J431" s="126"/>
      <c r="K431" s="126"/>
      <c r="L431" s="126"/>
      <c r="M431" s="126"/>
      <c r="N431" s="126"/>
      <c r="O431" s="126"/>
      <c r="P431" s="126"/>
      <c r="Q431" s="126"/>
      <c r="R431" s="126"/>
      <c r="S431" s="126"/>
      <c r="T431" s="126"/>
      <c r="U431" s="126"/>
      <c r="V431" s="126"/>
      <c r="W431" s="126"/>
      <c r="X431" s="126"/>
      <c r="Y431" s="126"/>
      <c r="Z431" s="126"/>
      <c r="AA431" s="126"/>
      <c r="AB431" s="23"/>
      <c r="AC431" s="23"/>
      <c r="AD431" s="23"/>
      <c r="AE431" s="23"/>
      <c r="AF431" s="23"/>
      <c r="AG431" s="23"/>
      <c r="AH431" s="43"/>
      <c r="AI431" s="43"/>
      <c r="AJ431" s="43"/>
      <c r="AK431" s="43"/>
      <c r="AL431" s="43"/>
      <c r="AM431" s="43"/>
      <c r="AN431" s="43"/>
      <c r="AO431" s="43"/>
      <c r="AP431" s="43"/>
      <c r="AQ431" s="23"/>
      <c r="AR431" s="23"/>
      <c r="AS431" s="23"/>
      <c r="AT431" s="23"/>
      <c r="AU431" s="131" t="s">
        <v>315</v>
      </c>
      <c r="AV431" s="128"/>
      <c r="AW431" s="128"/>
      <c r="AX431" s="128"/>
      <c r="AY431" s="128"/>
      <c r="AZ431" s="128"/>
      <c r="BA431" s="128"/>
      <c r="BB431" s="128"/>
      <c r="BC431" s="128"/>
      <c r="BD431" s="128"/>
      <c r="BE431" s="128"/>
      <c r="BF431" s="128"/>
    </row>
    <row r="432" spans="1:64" ht="12" customHeight="1" x14ac:dyDescent="0.2">
      <c r="AB432" s="23"/>
      <c r="AC432" s="23"/>
      <c r="AD432" s="23"/>
      <c r="AE432" s="23"/>
      <c r="AF432" s="23"/>
      <c r="AG432" s="23"/>
      <c r="AH432" s="28" t="s">
        <v>1</v>
      </c>
      <c r="AI432" s="28"/>
      <c r="AJ432" s="28"/>
      <c r="AK432" s="28"/>
      <c r="AL432" s="28"/>
      <c r="AM432" s="28"/>
      <c r="AN432" s="28"/>
      <c r="AO432" s="28"/>
      <c r="AP432" s="28"/>
      <c r="AQ432" s="23"/>
      <c r="AR432" s="23"/>
      <c r="AS432" s="23"/>
      <c r="AT432" s="23"/>
      <c r="AU432" s="28" t="s">
        <v>171</v>
      </c>
      <c r="AV432" s="28"/>
      <c r="AW432" s="28"/>
      <c r="AX432" s="28"/>
      <c r="AY432" s="28"/>
      <c r="AZ432" s="28"/>
      <c r="BA432" s="28"/>
      <c r="BB432" s="28"/>
      <c r="BC432" s="28"/>
      <c r="BD432" s="28"/>
      <c r="BE432" s="28"/>
      <c r="BF432" s="28"/>
    </row>
  </sheetData>
  <mergeCells count="3797">
    <mergeCell ref="AP376:AT376"/>
    <mergeCell ref="AU376:AY376"/>
    <mergeCell ref="AZ376:BD376"/>
    <mergeCell ref="A376:F376"/>
    <mergeCell ref="G376:S376"/>
    <mergeCell ref="T376:Z376"/>
    <mergeCell ref="AA376:AE376"/>
    <mergeCell ref="AF376:AJ376"/>
    <mergeCell ref="AK376:AO376"/>
    <mergeCell ref="A375:F375"/>
    <mergeCell ref="G375:S375"/>
    <mergeCell ref="T375:Z375"/>
    <mergeCell ref="AA375:AE375"/>
    <mergeCell ref="AF375:AJ375"/>
    <mergeCell ref="AK375:AO375"/>
    <mergeCell ref="AP375:AT375"/>
    <mergeCell ref="AU375:AY375"/>
    <mergeCell ref="AZ375:BD375"/>
    <mergeCell ref="AU366:AY366"/>
    <mergeCell ref="AZ366:BD366"/>
    <mergeCell ref="BE366:BI366"/>
    <mergeCell ref="BJ366:BN366"/>
    <mergeCell ref="BO366:BS366"/>
    <mergeCell ref="BE365:BI365"/>
    <mergeCell ref="BJ365:BN365"/>
    <mergeCell ref="BO365:BS365"/>
    <mergeCell ref="A366:F366"/>
    <mergeCell ref="G366:S366"/>
    <mergeCell ref="T366:Z366"/>
    <mergeCell ref="AA366:AE366"/>
    <mergeCell ref="AF366:AJ366"/>
    <mergeCell ref="AK366:AO366"/>
    <mergeCell ref="AP366:AT366"/>
    <mergeCell ref="A365:F365"/>
    <mergeCell ref="G365:S365"/>
    <mergeCell ref="T365:Z365"/>
    <mergeCell ref="AA365:AE365"/>
    <mergeCell ref="AF365:AJ365"/>
    <mergeCell ref="AK365:AO365"/>
    <mergeCell ref="AP365:AT365"/>
    <mergeCell ref="AU365:AY365"/>
    <mergeCell ref="AZ365:BD365"/>
    <mergeCell ref="BJ354:BL354"/>
    <mergeCell ref="AR354:AT354"/>
    <mergeCell ref="AU354:AW354"/>
    <mergeCell ref="AX354:AZ354"/>
    <mergeCell ref="BA354:BC354"/>
    <mergeCell ref="BD354:BF354"/>
    <mergeCell ref="BG354:BI354"/>
    <mergeCell ref="BJ353:BL353"/>
    <mergeCell ref="A354:C354"/>
    <mergeCell ref="D354:V354"/>
    <mergeCell ref="W354:Y354"/>
    <mergeCell ref="Z354:AB354"/>
    <mergeCell ref="AC354:AE354"/>
    <mergeCell ref="AF354:AH354"/>
    <mergeCell ref="AI354:AK354"/>
    <mergeCell ref="AL354:AN354"/>
    <mergeCell ref="AO354:AQ354"/>
    <mergeCell ref="AR353:AT353"/>
    <mergeCell ref="AU353:AW353"/>
    <mergeCell ref="AX353:AZ353"/>
    <mergeCell ref="BA353:BC353"/>
    <mergeCell ref="BD353:BF353"/>
    <mergeCell ref="BG353:BI353"/>
    <mergeCell ref="BJ352:BL352"/>
    <mergeCell ref="A353:C353"/>
    <mergeCell ref="D353:V353"/>
    <mergeCell ref="W353:Y353"/>
    <mergeCell ref="Z353:AB353"/>
    <mergeCell ref="AC353:AE353"/>
    <mergeCell ref="AF353:AH353"/>
    <mergeCell ref="AI353:AK353"/>
    <mergeCell ref="AL353:AN353"/>
    <mergeCell ref="AO353:AQ353"/>
    <mergeCell ref="AR352:AT352"/>
    <mergeCell ref="AU352:AW352"/>
    <mergeCell ref="AX352:AZ352"/>
    <mergeCell ref="BA352:BC352"/>
    <mergeCell ref="BD352:BF352"/>
    <mergeCell ref="BG352:BI352"/>
    <mergeCell ref="BJ351:BL351"/>
    <mergeCell ref="A352:C352"/>
    <mergeCell ref="D352:V352"/>
    <mergeCell ref="W352:Y352"/>
    <mergeCell ref="Z352:AB352"/>
    <mergeCell ref="AC352:AE352"/>
    <mergeCell ref="AF352:AH352"/>
    <mergeCell ref="AI352:AK352"/>
    <mergeCell ref="AL352:AN352"/>
    <mergeCell ref="AO352:AQ352"/>
    <mergeCell ref="AR351:AT351"/>
    <mergeCell ref="AU351:AW351"/>
    <mergeCell ref="AX351:AZ351"/>
    <mergeCell ref="BA351:BC351"/>
    <mergeCell ref="BD351:BF351"/>
    <mergeCell ref="BG351:BI351"/>
    <mergeCell ref="A351:C351"/>
    <mergeCell ref="D351:V351"/>
    <mergeCell ref="W351:Y351"/>
    <mergeCell ref="Z351:AB351"/>
    <mergeCell ref="AC351:AE351"/>
    <mergeCell ref="AO341:AS341"/>
    <mergeCell ref="AT341:AX341"/>
    <mergeCell ref="AY341:BC341"/>
    <mergeCell ref="BD341:BH341"/>
    <mergeCell ref="BI341:BM341"/>
    <mergeCell ref="BN341:BR341"/>
    <mergeCell ref="AT340:AX340"/>
    <mergeCell ref="AY340:BC340"/>
    <mergeCell ref="BD340:BH340"/>
    <mergeCell ref="BI340:BM340"/>
    <mergeCell ref="BN340:BR340"/>
    <mergeCell ref="A341:T341"/>
    <mergeCell ref="U341:Y341"/>
    <mergeCell ref="Z341:AD341"/>
    <mergeCell ref="AE341:AI341"/>
    <mergeCell ref="AJ341:AN341"/>
    <mergeCell ref="A340:T340"/>
    <mergeCell ref="U340:Y340"/>
    <mergeCell ref="Z340:AD340"/>
    <mergeCell ref="AE340:AI340"/>
    <mergeCell ref="AJ340:AN340"/>
    <mergeCell ref="AO340:AS340"/>
    <mergeCell ref="AO339:AS339"/>
    <mergeCell ref="AT339:AX339"/>
    <mergeCell ref="AY339:BC339"/>
    <mergeCell ref="BD339:BH339"/>
    <mergeCell ref="BI339:BM339"/>
    <mergeCell ref="BN339:BR339"/>
    <mergeCell ref="AT338:AX338"/>
    <mergeCell ref="AY338:BC338"/>
    <mergeCell ref="BD338:BH338"/>
    <mergeCell ref="BI338:BM338"/>
    <mergeCell ref="BN338:BR338"/>
    <mergeCell ref="A339:T339"/>
    <mergeCell ref="U339:Y339"/>
    <mergeCell ref="Z339:AD339"/>
    <mergeCell ref="AE339:AI339"/>
    <mergeCell ref="AJ339:AN339"/>
    <mergeCell ref="AY337:BC337"/>
    <mergeCell ref="BD337:BH337"/>
    <mergeCell ref="BI337:BM337"/>
    <mergeCell ref="BN337:BR337"/>
    <mergeCell ref="A338:T338"/>
    <mergeCell ref="U338:Y338"/>
    <mergeCell ref="Z338:AD338"/>
    <mergeCell ref="AE338:AI338"/>
    <mergeCell ref="AJ338:AN338"/>
    <mergeCell ref="AO338:AS338"/>
    <mergeCell ref="BD336:BH336"/>
    <mergeCell ref="BI336:BM336"/>
    <mergeCell ref="BN336:BR336"/>
    <mergeCell ref="A337:T337"/>
    <mergeCell ref="U337:Y337"/>
    <mergeCell ref="Z337:AD337"/>
    <mergeCell ref="AE337:AI337"/>
    <mergeCell ref="AJ337:AN337"/>
    <mergeCell ref="AO337:AS337"/>
    <mergeCell ref="AT337:AX337"/>
    <mergeCell ref="Z336:AD336"/>
    <mergeCell ref="AE336:AI336"/>
    <mergeCell ref="AJ336:AN336"/>
    <mergeCell ref="AO336:AS336"/>
    <mergeCell ref="AT336:AX336"/>
    <mergeCell ref="AY336:BC336"/>
    <mergeCell ref="A335:T335"/>
    <mergeCell ref="U335:Y335"/>
    <mergeCell ref="Z335:AD335"/>
    <mergeCell ref="AE335:AI335"/>
    <mergeCell ref="AJ335:AN335"/>
    <mergeCell ref="AO335:AS335"/>
    <mergeCell ref="AT335:AX335"/>
    <mergeCell ref="AY335:BC335"/>
    <mergeCell ref="BD335:BH335"/>
    <mergeCell ref="BE326:BI326"/>
    <mergeCell ref="BE325:BI325"/>
    <mergeCell ref="A326:C326"/>
    <mergeCell ref="D326:P326"/>
    <mergeCell ref="Q326:U326"/>
    <mergeCell ref="V326:AE326"/>
    <mergeCell ref="AF326:AJ326"/>
    <mergeCell ref="AK326:AO326"/>
    <mergeCell ref="AP326:AT326"/>
    <mergeCell ref="AU326:AY326"/>
    <mergeCell ref="AZ326:BD326"/>
    <mergeCell ref="BE324:BI324"/>
    <mergeCell ref="A325:C325"/>
    <mergeCell ref="D325:P325"/>
    <mergeCell ref="Q325:U325"/>
    <mergeCell ref="V325:AE325"/>
    <mergeCell ref="AF325:AJ325"/>
    <mergeCell ref="AK325:AO325"/>
    <mergeCell ref="AP325:AT325"/>
    <mergeCell ref="AU325:AY325"/>
    <mergeCell ref="AZ325:BD325"/>
    <mergeCell ref="BE323:BI323"/>
    <mergeCell ref="A324:C324"/>
    <mergeCell ref="D324:P324"/>
    <mergeCell ref="Q324:U324"/>
    <mergeCell ref="V324:AE324"/>
    <mergeCell ref="AF324:AJ324"/>
    <mergeCell ref="AK324:AO324"/>
    <mergeCell ref="AP324:AT324"/>
    <mergeCell ref="AU324:AY324"/>
    <mergeCell ref="AZ324:BD324"/>
    <mergeCell ref="BE322:BI322"/>
    <mergeCell ref="A323:C323"/>
    <mergeCell ref="D323:P323"/>
    <mergeCell ref="Q323:U323"/>
    <mergeCell ref="V323:AE323"/>
    <mergeCell ref="AF323:AJ323"/>
    <mergeCell ref="AK323:AO323"/>
    <mergeCell ref="AP323:AT323"/>
    <mergeCell ref="AU323:AY323"/>
    <mergeCell ref="AZ323:BD323"/>
    <mergeCell ref="BE321:BI321"/>
    <mergeCell ref="A322:C322"/>
    <mergeCell ref="D322:P322"/>
    <mergeCell ref="Q322:U322"/>
    <mergeCell ref="V322:AE322"/>
    <mergeCell ref="AF322:AJ322"/>
    <mergeCell ref="AK322:AO322"/>
    <mergeCell ref="AP322:AT322"/>
    <mergeCell ref="AU322:AY322"/>
    <mergeCell ref="AZ322:BD322"/>
    <mergeCell ref="BE320:BI320"/>
    <mergeCell ref="A321:C321"/>
    <mergeCell ref="D321:P321"/>
    <mergeCell ref="Q321:U321"/>
    <mergeCell ref="V321:AE321"/>
    <mergeCell ref="AF321:AJ321"/>
    <mergeCell ref="AK321:AO321"/>
    <mergeCell ref="AP321:AT321"/>
    <mergeCell ref="AU321:AY321"/>
    <mergeCell ref="AZ321:BD321"/>
    <mergeCell ref="BE319:BI319"/>
    <mergeCell ref="A320:C320"/>
    <mergeCell ref="D320:P320"/>
    <mergeCell ref="Q320:U320"/>
    <mergeCell ref="V320:AE320"/>
    <mergeCell ref="AF320:AJ320"/>
    <mergeCell ref="AK320:AO320"/>
    <mergeCell ref="AP320:AT320"/>
    <mergeCell ref="AU320:AY320"/>
    <mergeCell ref="AZ320:BD320"/>
    <mergeCell ref="BE318:BI318"/>
    <mergeCell ref="A319:C319"/>
    <mergeCell ref="D319:P319"/>
    <mergeCell ref="Q319:U319"/>
    <mergeCell ref="V319:AE319"/>
    <mergeCell ref="AF319:AJ319"/>
    <mergeCell ref="AK319:AO319"/>
    <mergeCell ref="AP319:AT319"/>
    <mergeCell ref="AU319:AY319"/>
    <mergeCell ref="AZ319:BD319"/>
    <mergeCell ref="BE317:BI317"/>
    <mergeCell ref="A318:C318"/>
    <mergeCell ref="D318:P318"/>
    <mergeCell ref="Q318:U318"/>
    <mergeCell ref="V318:AE318"/>
    <mergeCell ref="AF318:AJ318"/>
    <mergeCell ref="AK318:AO318"/>
    <mergeCell ref="AP318:AT318"/>
    <mergeCell ref="AU318:AY318"/>
    <mergeCell ref="AZ318:BD318"/>
    <mergeCell ref="V317:AE317"/>
    <mergeCell ref="AF317:AJ317"/>
    <mergeCell ref="AK317:AO317"/>
    <mergeCell ref="AP317:AT317"/>
    <mergeCell ref="AU317:AY317"/>
    <mergeCell ref="AZ317:BD317"/>
    <mergeCell ref="A316:C316"/>
    <mergeCell ref="D316:P316"/>
    <mergeCell ref="Q316:U316"/>
    <mergeCell ref="V316:AE316"/>
    <mergeCell ref="AF316:AJ316"/>
    <mergeCell ref="AK316:AO316"/>
    <mergeCell ref="AP316:AT316"/>
    <mergeCell ref="AU316:AY316"/>
    <mergeCell ref="AZ316:BD316"/>
    <mergeCell ref="BE308:BI308"/>
    <mergeCell ref="BJ308:BN308"/>
    <mergeCell ref="BO308:BS308"/>
    <mergeCell ref="BT308:BX308"/>
    <mergeCell ref="BT307:BX307"/>
    <mergeCell ref="A308:C308"/>
    <mergeCell ref="D308:P308"/>
    <mergeCell ref="Q308:U308"/>
    <mergeCell ref="V308:AE308"/>
    <mergeCell ref="AF308:AJ308"/>
    <mergeCell ref="AK308:AO308"/>
    <mergeCell ref="AP308:AT308"/>
    <mergeCell ref="AU308:AY308"/>
    <mergeCell ref="AZ308:BD308"/>
    <mergeCell ref="AP307:AT307"/>
    <mergeCell ref="AU307:AY307"/>
    <mergeCell ref="AZ307:BD307"/>
    <mergeCell ref="BE307:BI307"/>
    <mergeCell ref="BJ307:BN307"/>
    <mergeCell ref="BO307:BS307"/>
    <mergeCell ref="BE306:BI306"/>
    <mergeCell ref="BJ306:BN306"/>
    <mergeCell ref="BO306:BS306"/>
    <mergeCell ref="BT306:BX306"/>
    <mergeCell ref="A307:C307"/>
    <mergeCell ref="D307:P307"/>
    <mergeCell ref="Q307:U307"/>
    <mergeCell ref="V307:AE307"/>
    <mergeCell ref="AF307:AJ307"/>
    <mergeCell ref="AK307:AO307"/>
    <mergeCell ref="BT305:BX305"/>
    <mergeCell ref="A306:C306"/>
    <mergeCell ref="D306:P306"/>
    <mergeCell ref="Q306:U306"/>
    <mergeCell ref="V306:AE306"/>
    <mergeCell ref="AF306:AJ306"/>
    <mergeCell ref="AK306:AO306"/>
    <mergeCell ref="AP306:AT306"/>
    <mergeCell ref="AU306:AY306"/>
    <mergeCell ref="AZ306:BD306"/>
    <mergeCell ref="AP305:AT305"/>
    <mergeCell ref="AU305:AY305"/>
    <mergeCell ref="AZ305:BD305"/>
    <mergeCell ref="BE305:BI305"/>
    <mergeCell ref="BJ305:BN305"/>
    <mergeCell ref="BO305:BS305"/>
    <mergeCell ref="BE304:BI304"/>
    <mergeCell ref="BJ304:BN304"/>
    <mergeCell ref="BO304:BS304"/>
    <mergeCell ref="BT304:BX304"/>
    <mergeCell ref="A305:C305"/>
    <mergeCell ref="D305:P305"/>
    <mergeCell ref="Q305:U305"/>
    <mergeCell ref="V305:AE305"/>
    <mergeCell ref="AF305:AJ305"/>
    <mergeCell ref="AK305:AO305"/>
    <mergeCell ref="BT303:BX303"/>
    <mergeCell ref="A304:C304"/>
    <mergeCell ref="D304:P304"/>
    <mergeCell ref="Q304:U304"/>
    <mergeCell ref="V304:AE304"/>
    <mergeCell ref="AF304:AJ304"/>
    <mergeCell ref="AK304:AO304"/>
    <mergeCell ref="AP304:AT304"/>
    <mergeCell ref="AU304:AY304"/>
    <mergeCell ref="AZ304:BD304"/>
    <mergeCell ref="AP303:AT303"/>
    <mergeCell ref="AU303:AY303"/>
    <mergeCell ref="AZ303:BD303"/>
    <mergeCell ref="BE303:BI303"/>
    <mergeCell ref="BJ303:BN303"/>
    <mergeCell ref="BO303:BS303"/>
    <mergeCell ref="BE302:BI302"/>
    <mergeCell ref="BJ302:BN302"/>
    <mergeCell ref="BO302:BS302"/>
    <mergeCell ref="BT302:BX302"/>
    <mergeCell ref="A303:C303"/>
    <mergeCell ref="D303:P303"/>
    <mergeCell ref="Q303:U303"/>
    <mergeCell ref="V303:AE303"/>
    <mergeCell ref="AF303:AJ303"/>
    <mergeCell ref="AK303:AO303"/>
    <mergeCell ref="BT301:BX301"/>
    <mergeCell ref="A302:C302"/>
    <mergeCell ref="D302:P302"/>
    <mergeCell ref="Q302:U302"/>
    <mergeCell ref="V302:AE302"/>
    <mergeCell ref="AF302:AJ302"/>
    <mergeCell ref="AK302:AO302"/>
    <mergeCell ref="AP302:AT302"/>
    <mergeCell ref="AU302:AY302"/>
    <mergeCell ref="AZ302:BD302"/>
    <mergeCell ref="AP301:AT301"/>
    <mergeCell ref="AU301:AY301"/>
    <mergeCell ref="AZ301:BD301"/>
    <mergeCell ref="BE301:BI301"/>
    <mergeCell ref="BJ301:BN301"/>
    <mergeCell ref="BO301:BS301"/>
    <mergeCell ref="BE300:BI300"/>
    <mergeCell ref="BJ300:BN300"/>
    <mergeCell ref="BO300:BS300"/>
    <mergeCell ref="BT300:BX300"/>
    <mergeCell ref="A301:C301"/>
    <mergeCell ref="D301:P301"/>
    <mergeCell ref="Q301:U301"/>
    <mergeCell ref="V301:AE301"/>
    <mergeCell ref="AF301:AJ301"/>
    <mergeCell ref="AK301:AO301"/>
    <mergeCell ref="BT299:BX299"/>
    <mergeCell ref="A300:C300"/>
    <mergeCell ref="D300:P300"/>
    <mergeCell ref="Q300:U300"/>
    <mergeCell ref="V300:AE300"/>
    <mergeCell ref="AF300:AJ300"/>
    <mergeCell ref="AK300:AO300"/>
    <mergeCell ref="AP300:AT300"/>
    <mergeCell ref="AU300:AY300"/>
    <mergeCell ref="AZ300:BD300"/>
    <mergeCell ref="AP299:AT299"/>
    <mergeCell ref="AU299:AY299"/>
    <mergeCell ref="AZ299:BD299"/>
    <mergeCell ref="BE299:BI299"/>
    <mergeCell ref="BJ299:BN299"/>
    <mergeCell ref="BO299:BS299"/>
    <mergeCell ref="A299:C299"/>
    <mergeCell ref="D299:P299"/>
    <mergeCell ref="Q299:U299"/>
    <mergeCell ref="V299:AE299"/>
    <mergeCell ref="AF299:AJ299"/>
    <mergeCell ref="AK299:AO299"/>
    <mergeCell ref="AU298:AY298"/>
    <mergeCell ref="AZ298:BD298"/>
    <mergeCell ref="BE298:BI298"/>
    <mergeCell ref="BJ298:BN298"/>
    <mergeCell ref="BO298:BS298"/>
    <mergeCell ref="BT298:BX298"/>
    <mergeCell ref="A298:C298"/>
    <mergeCell ref="D298:P298"/>
    <mergeCell ref="Q298:U298"/>
    <mergeCell ref="V298:AE298"/>
    <mergeCell ref="AF298:AJ298"/>
    <mergeCell ref="AK298:AO298"/>
    <mergeCell ref="AP298:AT298"/>
    <mergeCell ref="AT288:AX288"/>
    <mergeCell ref="AY288:BC288"/>
    <mergeCell ref="BD288:BH288"/>
    <mergeCell ref="AT287:AX287"/>
    <mergeCell ref="AY287:BC287"/>
    <mergeCell ref="BD287:BH287"/>
    <mergeCell ref="A288:C288"/>
    <mergeCell ref="D288:T288"/>
    <mergeCell ref="U288:Y288"/>
    <mergeCell ref="Z288:AD288"/>
    <mergeCell ref="AE288:AI288"/>
    <mergeCell ref="AJ288:AN288"/>
    <mergeCell ref="AO288:AS288"/>
    <mergeCell ref="AT286:AX286"/>
    <mergeCell ref="AY286:BC286"/>
    <mergeCell ref="BD286:BH286"/>
    <mergeCell ref="A287:C287"/>
    <mergeCell ref="D287:T287"/>
    <mergeCell ref="U287:Y287"/>
    <mergeCell ref="Z287:AD287"/>
    <mergeCell ref="AE287:AI287"/>
    <mergeCell ref="AJ287:AN287"/>
    <mergeCell ref="AO287:AS287"/>
    <mergeCell ref="AT285:AX285"/>
    <mergeCell ref="AY285:BC285"/>
    <mergeCell ref="BD285:BH285"/>
    <mergeCell ref="A286:C286"/>
    <mergeCell ref="D286:T286"/>
    <mergeCell ref="U286:Y286"/>
    <mergeCell ref="Z286:AD286"/>
    <mergeCell ref="AE286:AI286"/>
    <mergeCell ref="AJ286:AN286"/>
    <mergeCell ref="AO286:AS286"/>
    <mergeCell ref="AT284:AX284"/>
    <mergeCell ref="AY284:BC284"/>
    <mergeCell ref="BD284:BH284"/>
    <mergeCell ref="A285:C285"/>
    <mergeCell ref="D285:T285"/>
    <mergeCell ref="U285:Y285"/>
    <mergeCell ref="Z285:AD285"/>
    <mergeCell ref="AE285:AI285"/>
    <mergeCell ref="AJ285:AN285"/>
    <mergeCell ref="AO285:AS285"/>
    <mergeCell ref="AT283:AX283"/>
    <mergeCell ref="AY283:BC283"/>
    <mergeCell ref="BD283:BH283"/>
    <mergeCell ref="A284:C284"/>
    <mergeCell ref="D284:T284"/>
    <mergeCell ref="U284:Y284"/>
    <mergeCell ref="Z284:AD284"/>
    <mergeCell ref="AE284:AI284"/>
    <mergeCell ref="AJ284:AN284"/>
    <mergeCell ref="AO284:AS284"/>
    <mergeCell ref="AT282:AX282"/>
    <mergeCell ref="AY282:BC282"/>
    <mergeCell ref="BD282:BH282"/>
    <mergeCell ref="A283:C283"/>
    <mergeCell ref="D283:T283"/>
    <mergeCell ref="U283:Y283"/>
    <mergeCell ref="Z283:AD283"/>
    <mergeCell ref="AE283:AI283"/>
    <mergeCell ref="AJ283:AN283"/>
    <mergeCell ref="AO283:AS283"/>
    <mergeCell ref="AT281:AX281"/>
    <mergeCell ref="AY281:BC281"/>
    <mergeCell ref="BD281:BH281"/>
    <mergeCell ref="A282:C282"/>
    <mergeCell ref="D282:T282"/>
    <mergeCell ref="U282:Y282"/>
    <mergeCell ref="Z282:AD282"/>
    <mergeCell ref="AE282:AI282"/>
    <mergeCell ref="AJ282:AN282"/>
    <mergeCell ref="AO282:AS282"/>
    <mergeCell ref="AT280:AX280"/>
    <mergeCell ref="AY280:BC280"/>
    <mergeCell ref="BD280:BH280"/>
    <mergeCell ref="A281:C281"/>
    <mergeCell ref="D281:T281"/>
    <mergeCell ref="U281:Y281"/>
    <mergeCell ref="Z281:AD281"/>
    <mergeCell ref="AE281:AI281"/>
    <mergeCell ref="AJ281:AN281"/>
    <mergeCell ref="AO281:AS281"/>
    <mergeCell ref="AT279:AX279"/>
    <mergeCell ref="AY279:BC279"/>
    <mergeCell ref="BD279:BH279"/>
    <mergeCell ref="A280:C280"/>
    <mergeCell ref="D280:T280"/>
    <mergeCell ref="U280:Y280"/>
    <mergeCell ref="Z280:AD280"/>
    <mergeCell ref="AE280:AI280"/>
    <mergeCell ref="AJ280:AN280"/>
    <mergeCell ref="AO280:AS280"/>
    <mergeCell ref="AT278:AX278"/>
    <mergeCell ref="AY278:BC278"/>
    <mergeCell ref="BD278:BH278"/>
    <mergeCell ref="A279:C279"/>
    <mergeCell ref="D279:T279"/>
    <mergeCell ref="U279:Y279"/>
    <mergeCell ref="Z279:AD279"/>
    <mergeCell ref="AE279:AI279"/>
    <mergeCell ref="AJ279:AN279"/>
    <mergeCell ref="AO279:AS279"/>
    <mergeCell ref="AT277:AX277"/>
    <mergeCell ref="AY277:BC277"/>
    <mergeCell ref="BD277:BH277"/>
    <mergeCell ref="A278:C278"/>
    <mergeCell ref="D278:T278"/>
    <mergeCell ref="U278:Y278"/>
    <mergeCell ref="Z278:AD278"/>
    <mergeCell ref="AE278:AI278"/>
    <mergeCell ref="AJ278:AN278"/>
    <mergeCell ref="AO278:AS278"/>
    <mergeCell ref="AT276:AX276"/>
    <mergeCell ref="AY276:BC276"/>
    <mergeCell ref="BD276:BH276"/>
    <mergeCell ref="A277:C277"/>
    <mergeCell ref="D277:T277"/>
    <mergeCell ref="U277:Y277"/>
    <mergeCell ref="Z277:AD277"/>
    <mergeCell ref="AE277:AI277"/>
    <mergeCell ref="AJ277:AN277"/>
    <mergeCell ref="AO277:AS277"/>
    <mergeCell ref="AT275:AX275"/>
    <mergeCell ref="AY275:BC275"/>
    <mergeCell ref="BD275:BH275"/>
    <mergeCell ref="A276:C276"/>
    <mergeCell ref="D276:T276"/>
    <mergeCell ref="U276:Y276"/>
    <mergeCell ref="Z276:AD276"/>
    <mergeCell ref="AE276:AI276"/>
    <mergeCell ref="AJ276:AN276"/>
    <mergeCell ref="AO276:AS276"/>
    <mergeCell ref="AT274:AX274"/>
    <mergeCell ref="AY274:BC274"/>
    <mergeCell ref="BD274:BH274"/>
    <mergeCell ref="A275:C275"/>
    <mergeCell ref="D275:T275"/>
    <mergeCell ref="U275:Y275"/>
    <mergeCell ref="Z275:AD275"/>
    <mergeCell ref="AE275:AI275"/>
    <mergeCell ref="AJ275:AN275"/>
    <mergeCell ref="AO275:AS275"/>
    <mergeCell ref="AT273:AX273"/>
    <mergeCell ref="AY273:BC273"/>
    <mergeCell ref="BD273:BH273"/>
    <mergeCell ref="A274:C274"/>
    <mergeCell ref="D274:T274"/>
    <mergeCell ref="U274:Y274"/>
    <mergeCell ref="Z274:AD274"/>
    <mergeCell ref="AE274:AI274"/>
    <mergeCell ref="AJ274:AN274"/>
    <mergeCell ref="AO274:AS274"/>
    <mergeCell ref="AT272:AX272"/>
    <mergeCell ref="AY272:BC272"/>
    <mergeCell ref="BD272:BH272"/>
    <mergeCell ref="A273:C273"/>
    <mergeCell ref="D273:T273"/>
    <mergeCell ref="U273:Y273"/>
    <mergeCell ref="Z273:AD273"/>
    <mergeCell ref="AE273:AI273"/>
    <mergeCell ref="AJ273:AN273"/>
    <mergeCell ref="AO273:AS273"/>
    <mergeCell ref="AT271:AX271"/>
    <mergeCell ref="AY271:BC271"/>
    <mergeCell ref="BD271:BH271"/>
    <mergeCell ref="A272:C272"/>
    <mergeCell ref="D272:T272"/>
    <mergeCell ref="U272:Y272"/>
    <mergeCell ref="Z272:AD272"/>
    <mergeCell ref="AE272:AI272"/>
    <mergeCell ref="AJ272:AN272"/>
    <mergeCell ref="AO272:AS272"/>
    <mergeCell ref="AT270:AX270"/>
    <mergeCell ref="AY270:BC270"/>
    <mergeCell ref="BD270:BH270"/>
    <mergeCell ref="A271:C271"/>
    <mergeCell ref="D271:T271"/>
    <mergeCell ref="U271:Y271"/>
    <mergeCell ref="Z271:AD271"/>
    <mergeCell ref="AE271:AI271"/>
    <mergeCell ref="AJ271:AN271"/>
    <mergeCell ref="AO271:AS271"/>
    <mergeCell ref="AT269:AX269"/>
    <mergeCell ref="AY269:BC269"/>
    <mergeCell ref="BD269:BH269"/>
    <mergeCell ref="A270:C270"/>
    <mergeCell ref="D270:T270"/>
    <mergeCell ref="U270:Y270"/>
    <mergeCell ref="Z270:AD270"/>
    <mergeCell ref="AE270:AI270"/>
    <mergeCell ref="AJ270:AN270"/>
    <mergeCell ref="AO270:AS270"/>
    <mergeCell ref="AT268:AX268"/>
    <mergeCell ref="AY268:BC268"/>
    <mergeCell ref="BD268:BH268"/>
    <mergeCell ref="A269:C269"/>
    <mergeCell ref="D269:T269"/>
    <mergeCell ref="U269:Y269"/>
    <mergeCell ref="Z269:AD269"/>
    <mergeCell ref="AE269:AI269"/>
    <mergeCell ref="AJ269:AN269"/>
    <mergeCell ref="AO269:AS269"/>
    <mergeCell ref="AT267:AX267"/>
    <mergeCell ref="AY267:BC267"/>
    <mergeCell ref="BD267:BH267"/>
    <mergeCell ref="A268:C268"/>
    <mergeCell ref="D268:T268"/>
    <mergeCell ref="U268:Y268"/>
    <mergeCell ref="Z268:AD268"/>
    <mergeCell ref="AE268:AI268"/>
    <mergeCell ref="AJ268:AN268"/>
    <mergeCell ref="AO268:AS268"/>
    <mergeCell ref="AT266:AX266"/>
    <mergeCell ref="AY266:BC266"/>
    <mergeCell ref="BD266:BH266"/>
    <mergeCell ref="A267:C267"/>
    <mergeCell ref="D267:T267"/>
    <mergeCell ref="U267:Y267"/>
    <mergeCell ref="Z267:AD267"/>
    <mergeCell ref="AE267:AI267"/>
    <mergeCell ref="AJ267:AN267"/>
    <mergeCell ref="AO267:AS267"/>
    <mergeCell ref="AT265:AX265"/>
    <mergeCell ref="AY265:BC265"/>
    <mergeCell ref="BD265:BH265"/>
    <mergeCell ref="A266:C266"/>
    <mergeCell ref="D266:T266"/>
    <mergeCell ref="U266:Y266"/>
    <mergeCell ref="Z266:AD266"/>
    <mergeCell ref="AE266:AI266"/>
    <mergeCell ref="AJ266:AN266"/>
    <mergeCell ref="AO266:AS266"/>
    <mergeCell ref="AT264:AX264"/>
    <mergeCell ref="AY264:BC264"/>
    <mergeCell ref="BD264:BH264"/>
    <mergeCell ref="A265:C265"/>
    <mergeCell ref="D265:T265"/>
    <mergeCell ref="U265:Y265"/>
    <mergeCell ref="Z265:AD265"/>
    <mergeCell ref="AE265:AI265"/>
    <mergeCell ref="AJ265:AN265"/>
    <mergeCell ref="AO265:AS265"/>
    <mergeCell ref="AT263:AX263"/>
    <mergeCell ref="AY263:BC263"/>
    <mergeCell ref="BD263:BH263"/>
    <mergeCell ref="A264:C264"/>
    <mergeCell ref="D264:T264"/>
    <mergeCell ref="U264:Y264"/>
    <mergeCell ref="Z264:AD264"/>
    <mergeCell ref="AE264:AI264"/>
    <mergeCell ref="AJ264:AN264"/>
    <mergeCell ref="AO264:AS264"/>
    <mergeCell ref="AT262:AX262"/>
    <mergeCell ref="AY262:BC262"/>
    <mergeCell ref="BD262:BH262"/>
    <mergeCell ref="A263:C263"/>
    <mergeCell ref="D263:T263"/>
    <mergeCell ref="U263:Y263"/>
    <mergeCell ref="Z263:AD263"/>
    <mergeCell ref="AE263:AI263"/>
    <mergeCell ref="AJ263:AN263"/>
    <mergeCell ref="AO263:AS263"/>
    <mergeCell ref="AT261:AX261"/>
    <mergeCell ref="AY261:BC261"/>
    <mergeCell ref="BD261:BH261"/>
    <mergeCell ref="A262:C262"/>
    <mergeCell ref="D262:T262"/>
    <mergeCell ref="U262:Y262"/>
    <mergeCell ref="Z262:AD262"/>
    <mergeCell ref="AE262:AI262"/>
    <mergeCell ref="AJ262:AN262"/>
    <mergeCell ref="AO262:AS262"/>
    <mergeCell ref="AT260:AX260"/>
    <mergeCell ref="AY260:BC260"/>
    <mergeCell ref="BD260:BH260"/>
    <mergeCell ref="A261:C261"/>
    <mergeCell ref="D261:T261"/>
    <mergeCell ref="U261:Y261"/>
    <mergeCell ref="Z261:AD261"/>
    <mergeCell ref="AE261:AI261"/>
    <mergeCell ref="AJ261:AN261"/>
    <mergeCell ref="AO261:AS261"/>
    <mergeCell ref="AT259:AX259"/>
    <mergeCell ref="AY259:BC259"/>
    <mergeCell ref="BD259:BH259"/>
    <mergeCell ref="A260:C260"/>
    <mergeCell ref="D260:T260"/>
    <mergeCell ref="U260:Y260"/>
    <mergeCell ref="Z260:AD260"/>
    <mergeCell ref="AE260:AI260"/>
    <mergeCell ref="AJ260:AN260"/>
    <mergeCell ref="AO260:AS260"/>
    <mergeCell ref="AT258:AX258"/>
    <mergeCell ref="AY258:BC258"/>
    <mergeCell ref="BD258:BH258"/>
    <mergeCell ref="A259:C259"/>
    <mergeCell ref="D259:T259"/>
    <mergeCell ref="U259:Y259"/>
    <mergeCell ref="Z259:AD259"/>
    <mergeCell ref="AE259:AI259"/>
    <mergeCell ref="AJ259:AN259"/>
    <mergeCell ref="AO259:AS259"/>
    <mergeCell ref="AT257:AX257"/>
    <mergeCell ref="AY257:BC257"/>
    <mergeCell ref="BD257:BH257"/>
    <mergeCell ref="A258:C258"/>
    <mergeCell ref="D258:T258"/>
    <mergeCell ref="U258:Y258"/>
    <mergeCell ref="Z258:AD258"/>
    <mergeCell ref="AE258:AI258"/>
    <mergeCell ref="AJ258:AN258"/>
    <mergeCell ref="AO258:AS258"/>
    <mergeCell ref="AT256:AX256"/>
    <mergeCell ref="AY256:BC256"/>
    <mergeCell ref="BD256:BH256"/>
    <mergeCell ref="A257:C257"/>
    <mergeCell ref="D257:T257"/>
    <mergeCell ref="U257:Y257"/>
    <mergeCell ref="Z257:AD257"/>
    <mergeCell ref="AE257:AI257"/>
    <mergeCell ref="AJ257:AN257"/>
    <mergeCell ref="AO257:AS257"/>
    <mergeCell ref="AT255:AX255"/>
    <mergeCell ref="AY255:BC255"/>
    <mergeCell ref="BD255:BH255"/>
    <mergeCell ref="A256:C256"/>
    <mergeCell ref="D256:T256"/>
    <mergeCell ref="U256:Y256"/>
    <mergeCell ref="Z256:AD256"/>
    <mergeCell ref="AE256:AI256"/>
    <mergeCell ref="AJ256:AN256"/>
    <mergeCell ref="AO256:AS256"/>
    <mergeCell ref="AT254:AX254"/>
    <mergeCell ref="AY254:BC254"/>
    <mergeCell ref="BD254:BH254"/>
    <mergeCell ref="A255:C255"/>
    <mergeCell ref="D255:T255"/>
    <mergeCell ref="U255:Y255"/>
    <mergeCell ref="Z255:AD255"/>
    <mergeCell ref="AE255:AI255"/>
    <mergeCell ref="AJ255:AN255"/>
    <mergeCell ref="AO255:AS255"/>
    <mergeCell ref="AT253:AX253"/>
    <mergeCell ref="AY253:BC253"/>
    <mergeCell ref="BD253:BH253"/>
    <mergeCell ref="A254:C254"/>
    <mergeCell ref="D254:T254"/>
    <mergeCell ref="U254:Y254"/>
    <mergeCell ref="Z254:AD254"/>
    <mergeCell ref="AE254:AI254"/>
    <mergeCell ref="AJ254:AN254"/>
    <mergeCell ref="AO254:AS254"/>
    <mergeCell ref="AT252:AX252"/>
    <mergeCell ref="AY252:BC252"/>
    <mergeCell ref="BD252:BH252"/>
    <mergeCell ref="A253:C253"/>
    <mergeCell ref="D253:T253"/>
    <mergeCell ref="U253:Y253"/>
    <mergeCell ref="Z253:AD253"/>
    <mergeCell ref="AE253:AI253"/>
    <mergeCell ref="AJ253:AN253"/>
    <mergeCell ref="AO253:AS253"/>
    <mergeCell ref="AT251:AX251"/>
    <mergeCell ref="AY251:BC251"/>
    <mergeCell ref="BD251:BH251"/>
    <mergeCell ref="A252:C252"/>
    <mergeCell ref="D252:T252"/>
    <mergeCell ref="U252:Y252"/>
    <mergeCell ref="Z252:AD252"/>
    <mergeCell ref="AE252:AI252"/>
    <mergeCell ref="AJ252:AN252"/>
    <mergeCell ref="AO252:AS252"/>
    <mergeCell ref="AT250:AX250"/>
    <mergeCell ref="AY250:BC250"/>
    <mergeCell ref="BD250:BH250"/>
    <mergeCell ref="A251:C251"/>
    <mergeCell ref="D251:T251"/>
    <mergeCell ref="U251:Y251"/>
    <mergeCell ref="Z251:AD251"/>
    <mergeCell ref="AE251:AI251"/>
    <mergeCell ref="AJ251:AN251"/>
    <mergeCell ref="AO251:AS251"/>
    <mergeCell ref="AT249:AX249"/>
    <mergeCell ref="AY249:BC249"/>
    <mergeCell ref="BD249:BH249"/>
    <mergeCell ref="A250:C250"/>
    <mergeCell ref="D250:T250"/>
    <mergeCell ref="U250:Y250"/>
    <mergeCell ref="Z250:AD250"/>
    <mergeCell ref="AE250:AI250"/>
    <mergeCell ref="AJ250:AN250"/>
    <mergeCell ref="AO250:AS250"/>
    <mergeCell ref="AT248:AX248"/>
    <mergeCell ref="AY248:BC248"/>
    <mergeCell ref="BD248:BH248"/>
    <mergeCell ref="A249:C249"/>
    <mergeCell ref="D249:T249"/>
    <mergeCell ref="U249:Y249"/>
    <mergeCell ref="Z249:AD249"/>
    <mergeCell ref="AE249:AI249"/>
    <mergeCell ref="AJ249:AN249"/>
    <mergeCell ref="AO249:AS249"/>
    <mergeCell ref="AT247:AX247"/>
    <mergeCell ref="AY247:BC247"/>
    <mergeCell ref="BD247:BH247"/>
    <mergeCell ref="A248:C248"/>
    <mergeCell ref="D248:T248"/>
    <mergeCell ref="U248:Y248"/>
    <mergeCell ref="Z248:AD248"/>
    <mergeCell ref="AE248:AI248"/>
    <mergeCell ref="AJ248:AN248"/>
    <mergeCell ref="AO248:AS248"/>
    <mergeCell ref="AT246:AX246"/>
    <mergeCell ref="AY246:BC246"/>
    <mergeCell ref="BD246:BH246"/>
    <mergeCell ref="A247:C247"/>
    <mergeCell ref="D247:T247"/>
    <mergeCell ref="U247:Y247"/>
    <mergeCell ref="Z247:AD247"/>
    <mergeCell ref="AE247:AI247"/>
    <mergeCell ref="AJ247:AN247"/>
    <mergeCell ref="AO247:AS247"/>
    <mergeCell ref="AT245:AX245"/>
    <mergeCell ref="AY245:BC245"/>
    <mergeCell ref="BD245:BH245"/>
    <mergeCell ref="A246:C246"/>
    <mergeCell ref="D246:T246"/>
    <mergeCell ref="U246:Y246"/>
    <mergeCell ref="Z246:AD246"/>
    <mergeCell ref="AE246:AI246"/>
    <mergeCell ref="AJ246:AN246"/>
    <mergeCell ref="AO246:AS246"/>
    <mergeCell ref="AT244:AX244"/>
    <mergeCell ref="AY244:BC244"/>
    <mergeCell ref="BD244:BH244"/>
    <mergeCell ref="A245:C245"/>
    <mergeCell ref="D245:T245"/>
    <mergeCell ref="U245:Y245"/>
    <mergeCell ref="Z245:AD245"/>
    <mergeCell ref="AE245:AI245"/>
    <mergeCell ref="AJ245:AN245"/>
    <mergeCell ref="AO245:AS245"/>
    <mergeCell ref="AT243:AX243"/>
    <mergeCell ref="AY243:BC243"/>
    <mergeCell ref="BD243:BH243"/>
    <mergeCell ref="A244:C244"/>
    <mergeCell ref="D244:T244"/>
    <mergeCell ref="U244:Y244"/>
    <mergeCell ref="Z244:AD244"/>
    <mergeCell ref="AE244:AI244"/>
    <mergeCell ref="AJ244:AN244"/>
    <mergeCell ref="AO244:AS244"/>
    <mergeCell ref="AT242:AX242"/>
    <mergeCell ref="AY242:BC242"/>
    <mergeCell ref="BD242:BH242"/>
    <mergeCell ref="A243:C243"/>
    <mergeCell ref="D243:T243"/>
    <mergeCell ref="U243:Y243"/>
    <mergeCell ref="Z243:AD243"/>
    <mergeCell ref="AE243:AI243"/>
    <mergeCell ref="AJ243:AN243"/>
    <mergeCell ref="AO243:AS243"/>
    <mergeCell ref="AT241:AX241"/>
    <mergeCell ref="AY241:BC241"/>
    <mergeCell ref="BD241:BH241"/>
    <mergeCell ref="A242:C242"/>
    <mergeCell ref="D242:T242"/>
    <mergeCell ref="U242:Y242"/>
    <mergeCell ref="Z242:AD242"/>
    <mergeCell ref="AE242:AI242"/>
    <mergeCell ref="AJ242:AN242"/>
    <mergeCell ref="AO242:AS242"/>
    <mergeCell ref="AT240:AX240"/>
    <mergeCell ref="AY240:BC240"/>
    <mergeCell ref="BD240:BH240"/>
    <mergeCell ref="A241:C241"/>
    <mergeCell ref="D241:T241"/>
    <mergeCell ref="U241:Y241"/>
    <mergeCell ref="Z241:AD241"/>
    <mergeCell ref="AE241:AI241"/>
    <mergeCell ref="AJ241:AN241"/>
    <mergeCell ref="AO241:AS241"/>
    <mergeCell ref="AT239:AX239"/>
    <mergeCell ref="AY239:BC239"/>
    <mergeCell ref="BD239:BH239"/>
    <mergeCell ref="A240:C240"/>
    <mergeCell ref="D240:T240"/>
    <mergeCell ref="U240:Y240"/>
    <mergeCell ref="Z240:AD240"/>
    <mergeCell ref="AE240:AI240"/>
    <mergeCell ref="AJ240:AN240"/>
    <mergeCell ref="AO240:AS240"/>
    <mergeCell ref="AT238:AX238"/>
    <mergeCell ref="AY238:BC238"/>
    <mergeCell ref="BD238:BH238"/>
    <mergeCell ref="A239:C239"/>
    <mergeCell ref="D239:T239"/>
    <mergeCell ref="U239:Y239"/>
    <mergeCell ref="Z239:AD239"/>
    <mergeCell ref="AE239:AI239"/>
    <mergeCell ref="AJ239:AN239"/>
    <mergeCell ref="AO239:AS239"/>
    <mergeCell ref="AT237:AX237"/>
    <mergeCell ref="AY237:BC237"/>
    <mergeCell ref="BD237:BH237"/>
    <mergeCell ref="A238:C238"/>
    <mergeCell ref="D238:T238"/>
    <mergeCell ref="U238:Y238"/>
    <mergeCell ref="Z238:AD238"/>
    <mergeCell ref="AE238:AI238"/>
    <mergeCell ref="AJ238:AN238"/>
    <mergeCell ref="AO238:AS238"/>
    <mergeCell ref="AT236:AX236"/>
    <mergeCell ref="AY236:BC236"/>
    <mergeCell ref="BD236:BH236"/>
    <mergeCell ref="A237:C237"/>
    <mergeCell ref="D237:T237"/>
    <mergeCell ref="U237:Y237"/>
    <mergeCell ref="Z237:AD237"/>
    <mergeCell ref="AE237:AI237"/>
    <mergeCell ref="AJ237:AN237"/>
    <mergeCell ref="AO237:AS237"/>
    <mergeCell ref="AT235:AX235"/>
    <mergeCell ref="AY235:BC235"/>
    <mergeCell ref="BD235:BH235"/>
    <mergeCell ref="A236:C236"/>
    <mergeCell ref="D236:T236"/>
    <mergeCell ref="U236:Y236"/>
    <mergeCell ref="Z236:AD236"/>
    <mergeCell ref="AE236:AI236"/>
    <mergeCell ref="AJ236:AN236"/>
    <mergeCell ref="AO236:AS236"/>
    <mergeCell ref="AT234:AX234"/>
    <mergeCell ref="AY234:BC234"/>
    <mergeCell ref="BD234:BH234"/>
    <mergeCell ref="A235:C235"/>
    <mergeCell ref="D235:T235"/>
    <mergeCell ref="U235:Y235"/>
    <mergeCell ref="Z235:AD235"/>
    <mergeCell ref="AE235:AI235"/>
    <mergeCell ref="AJ235:AN235"/>
    <mergeCell ref="AO235:AS235"/>
    <mergeCell ref="AT233:AX233"/>
    <mergeCell ref="AY233:BC233"/>
    <mergeCell ref="BD233:BH233"/>
    <mergeCell ref="A234:C234"/>
    <mergeCell ref="D234:T234"/>
    <mergeCell ref="U234:Y234"/>
    <mergeCell ref="Z234:AD234"/>
    <mergeCell ref="AE234:AI234"/>
    <mergeCell ref="AJ234:AN234"/>
    <mergeCell ref="AO234:AS234"/>
    <mergeCell ref="AT232:AX232"/>
    <mergeCell ref="AY232:BC232"/>
    <mergeCell ref="BD232:BH232"/>
    <mergeCell ref="A233:C233"/>
    <mergeCell ref="D233:T233"/>
    <mergeCell ref="U233:Y233"/>
    <mergeCell ref="Z233:AD233"/>
    <mergeCell ref="AE233:AI233"/>
    <mergeCell ref="AJ233:AN233"/>
    <mergeCell ref="AO233:AS233"/>
    <mergeCell ref="AT231:AX231"/>
    <mergeCell ref="AY231:BC231"/>
    <mergeCell ref="BD231:BH231"/>
    <mergeCell ref="A232:C232"/>
    <mergeCell ref="D232:T232"/>
    <mergeCell ref="U232:Y232"/>
    <mergeCell ref="Z232:AD232"/>
    <mergeCell ref="AE232:AI232"/>
    <mergeCell ref="AJ232:AN232"/>
    <mergeCell ref="AO232:AS232"/>
    <mergeCell ref="AT230:AX230"/>
    <mergeCell ref="AY230:BC230"/>
    <mergeCell ref="BD230:BH230"/>
    <mergeCell ref="A231:C231"/>
    <mergeCell ref="D231:T231"/>
    <mergeCell ref="U231:Y231"/>
    <mergeCell ref="Z231:AD231"/>
    <mergeCell ref="AE231:AI231"/>
    <mergeCell ref="AJ231:AN231"/>
    <mergeCell ref="AO231:AS231"/>
    <mergeCell ref="AT229:AX229"/>
    <mergeCell ref="AY229:BC229"/>
    <mergeCell ref="BD229:BH229"/>
    <mergeCell ref="A230:C230"/>
    <mergeCell ref="D230:T230"/>
    <mergeCell ref="U230:Y230"/>
    <mergeCell ref="Z230:AD230"/>
    <mergeCell ref="AE230:AI230"/>
    <mergeCell ref="AJ230:AN230"/>
    <mergeCell ref="AO230:AS230"/>
    <mergeCell ref="AT228:AX228"/>
    <mergeCell ref="AY228:BC228"/>
    <mergeCell ref="BD228:BH228"/>
    <mergeCell ref="A229:C229"/>
    <mergeCell ref="D229:T229"/>
    <mergeCell ref="U229:Y229"/>
    <mergeCell ref="Z229:AD229"/>
    <mergeCell ref="AE229:AI229"/>
    <mergeCell ref="AJ229:AN229"/>
    <mergeCell ref="AO229:AS229"/>
    <mergeCell ref="AT227:AX227"/>
    <mergeCell ref="AY227:BC227"/>
    <mergeCell ref="BD227:BH227"/>
    <mergeCell ref="A228:C228"/>
    <mergeCell ref="D228:T228"/>
    <mergeCell ref="U228:Y228"/>
    <mergeCell ref="Z228:AD228"/>
    <mergeCell ref="AE228:AI228"/>
    <mergeCell ref="AJ228:AN228"/>
    <mergeCell ref="AO228:AS228"/>
    <mergeCell ref="AT226:AX226"/>
    <mergeCell ref="AY226:BC226"/>
    <mergeCell ref="BD226:BH226"/>
    <mergeCell ref="A227:C227"/>
    <mergeCell ref="D227:T227"/>
    <mergeCell ref="U227:Y227"/>
    <mergeCell ref="Z227:AD227"/>
    <mergeCell ref="AE227:AI227"/>
    <mergeCell ref="AJ227:AN227"/>
    <mergeCell ref="AO227:AS227"/>
    <mergeCell ref="AT225:AX225"/>
    <mergeCell ref="AY225:BC225"/>
    <mergeCell ref="BD225:BH225"/>
    <mergeCell ref="A226:C226"/>
    <mergeCell ref="D226:T226"/>
    <mergeCell ref="U226:Y226"/>
    <mergeCell ref="Z226:AD226"/>
    <mergeCell ref="AE226:AI226"/>
    <mergeCell ref="AJ226:AN226"/>
    <mergeCell ref="AO226:AS226"/>
    <mergeCell ref="AT224:AX224"/>
    <mergeCell ref="AY224:BC224"/>
    <mergeCell ref="BD224:BH224"/>
    <mergeCell ref="A225:C225"/>
    <mergeCell ref="D225:T225"/>
    <mergeCell ref="U225:Y225"/>
    <mergeCell ref="Z225:AD225"/>
    <mergeCell ref="AE225:AI225"/>
    <mergeCell ref="AJ225:AN225"/>
    <mergeCell ref="AO225:AS225"/>
    <mergeCell ref="AT223:AX223"/>
    <mergeCell ref="AY223:BC223"/>
    <mergeCell ref="BD223:BH223"/>
    <mergeCell ref="A224:C224"/>
    <mergeCell ref="D224:T224"/>
    <mergeCell ref="U224:Y224"/>
    <mergeCell ref="Z224:AD224"/>
    <mergeCell ref="AE224:AI224"/>
    <mergeCell ref="AJ224:AN224"/>
    <mergeCell ref="AO224:AS224"/>
    <mergeCell ref="AT222:AX222"/>
    <mergeCell ref="AY222:BC222"/>
    <mergeCell ref="BD222:BH222"/>
    <mergeCell ref="A223:C223"/>
    <mergeCell ref="D223:T223"/>
    <mergeCell ref="U223:Y223"/>
    <mergeCell ref="Z223:AD223"/>
    <mergeCell ref="AE223:AI223"/>
    <mergeCell ref="AJ223:AN223"/>
    <mergeCell ref="AO223:AS223"/>
    <mergeCell ref="AT221:AX221"/>
    <mergeCell ref="AY221:BC221"/>
    <mergeCell ref="BD221:BH221"/>
    <mergeCell ref="A222:C222"/>
    <mergeCell ref="D222:T222"/>
    <mergeCell ref="U222:Y222"/>
    <mergeCell ref="Z222:AD222"/>
    <mergeCell ref="AE222:AI222"/>
    <mergeCell ref="AJ222:AN222"/>
    <mergeCell ref="AO222:AS222"/>
    <mergeCell ref="AT220:AX220"/>
    <mergeCell ref="AY220:BC220"/>
    <mergeCell ref="BD220:BH220"/>
    <mergeCell ref="A221:C221"/>
    <mergeCell ref="D221:T221"/>
    <mergeCell ref="U221:Y221"/>
    <mergeCell ref="Z221:AD221"/>
    <mergeCell ref="AE221:AI221"/>
    <mergeCell ref="AJ221:AN221"/>
    <mergeCell ref="AO221:AS221"/>
    <mergeCell ref="AT219:AX219"/>
    <mergeCell ref="AY219:BC219"/>
    <mergeCell ref="BD219:BH219"/>
    <mergeCell ref="A220:C220"/>
    <mergeCell ref="D220:T220"/>
    <mergeCell ref="U220:Y220"/>
    <mergeCell ref="Z220:AD220"/>
    <mergeCell ref="AE220:AI220"/>
    <mergeCell ref="AJ220:AN220"/>
    <mergeCell ref="AO220:AS220"/>
    <mergeCell ref="AT218:AX218"/>
    <mergeCell ref="AY218:BC218"/>
    <mergeCell ref="BD218:BH218"/>
    <mergeCell ref="A219:C219"/>
    <mergeCell ref="D219:T219"/>
    <mergeCell ref="U219:Y219"/>
    <mergeCell ref="Z219:AD219"/>
    <mergeCell ref="AE219:AI219"/>
    <mergeCell ref="AJ219:AN219"/>
    <mergeCell ref="AO219:AS219"/>
    <mergeCell ref="AT217:AX217"/>
    <mergeCell ref="AY217:BC217"/>
    <mergeCell ref="BD217:BH217"/>
    <mergeCell ref="A218:C218"/>
    <mergeCell ref="D218:T218"/>
    <mergeCell ref="U218:Y218"/>
    <mergeCell ref="Z218:AD218"/>
    <mergeCell ref="AE218:AI218"/>
    <mergeCell ref="AJ218:AN218"/>
    <mergeCell ref="AO218:AS218"/>
    <mergeCell ref="AT216:AX216"/>
    <mergeCell ref="AY216:BC216"/>
    <mergeCell ref="BD216:BH216"/>
    <mergeCell ref="A217:C217"/>
    <mergeCell ref="D217:T217"/>
    <mergeCell ref="U217:Y217"/>
    <mergeCell ref="Z217:AD217"/>
    <mergeCell ref="AE217:AI217"/>
    <mergeCell ref="AJ217:AN217"/>
    <mergeCell ref="AO217:AS217"/>
    <mergeCell ref="AT215:AX215"/>
    <mergeCell ref="AY215:BC215"/>
    <mergeCell ref="BD215:BH215"/>
    <mergeCell ref="A216:C216"/>
    <mergeCell ref="D216:T216"/>
    <mergeCell ref="U216:Y216"/>
    <mergeCell ref="Z216:AD216"/>
    <mergeCell ref="AE216:AI216"/>
    <mergeCell ref="AJ216:AN216"/>
    <mergeCell ref="AO216:AS216"/>
    <mergeCell ref="AT214:AX214"/>
    <mergeCell ref="AY214:BC214"/>
    <mergeCell ref="BD214:BH214"/>
    <mergeCell ref="A215:C215"/>
    <mergeCell ref="D215:T215"/>
    <mergeCell ref="U215:Y215"/>
    <mergeCell ref="Z215:AD215"/>
    <mergeCell ref="AE215:AI215"/>
    <mergeCell ref="AJ215:AN215"/>
    <mergeCell ref="AO215:AS215"/>
    <mergeCell ref="AT213:AX213"/>
    <mergeCell ref="AY213:BC213"/>
    <mergeCell ref="BD213:BH213"/>
    <mergeCell ref="A214:C214"/>
    <mergeCell ref="D214:T214"/>
    <mergeCell ref="U214:Y214"/>
    <mergeCell ref="Z214:AD214"/>
    <mergeCell ref="AE214:AI214"/>
    <mergeCell ref="AJ214:AN214"/>
    <mergeCell ref="AO214:AS214"/>
    <mergeCell ref="AT212:AX212"/>
    <mergeCell ref="AY212:BC212"/>
    <mergeCell ref="BD212:BH212"/>
    <mergeCell ref="A213:C213"/>
    <mergeCell ref="D213:T213"/>
    <mergeCell ref="U213:Y213"/>
    <mergeCell ref="Z213:AD213"/>
    <mergeCell ref="AE213:AI213"/>
    <mergeCell ref="AJ213:AN213"/>
    <mergeCell ref="AO213:AS213"/>
    <mergeCell ref="AT211:AX211"/>
    <mergeCell ref="AY211:BC211"/>
    <mergeCell ref="BD211:BH211"/>
    <mergeCell ref="A212:C212"/>
    <mergeCell ref="D212:T212"/>
    <mergeCell ref="U212:Y212"/>
    <mergeCell ref="Z212:AD212"/>
    <mergeCell ref="AE212:AI212"/>
    <mergeCell ref="AJ212:AN212"/>
    <mergeCell ref="AO212:AS212"/>
    <mergeCell ref="D211:T211"/>
    <mergeCell ref="U211:Y211"/>
    <mergeCell ref="Z211:AD211"/>
    <mergeCell ref="AE211:AI211"/>
    <mergeCell ref="AJ211:AN211"/>
    <mergeCell ref="AO211:AS211"/>
    <mergeCell ref="A210:C210"/>
    <mergeCell ref="D210:T210"/>
    <mergeCell ref="U210:Y210"/>
    <mergeCell ref="Z210:AD210"/>
    <mergeCell ref="AE210:AI210"/>
    <mergeCell ref="AJ210:AN210"/>
    <mergeCell ref="AO210:AS210"/>
    <mergeCell ref="BB201:BF201"/>
    <mergeCell ref="BG201:BK201"/>
    <mergeCell ref="BL201:BP201"/>
    <mergeCell ref="BQ201:BT201"/>
    <mergeCell ref="BU201:BY201"/>
    <mergeCell ref="BU200:BY200"/>
    <mergeCell ref="A201:C201"/>
    <mergeCell ref="D201:T201"/>
    <mergeCell ref="U201:Y201"/>
    <mergeCell ref="Z201:AD201"/>
    <mergeCell ref="AE201:AH201"/>
    <mergeCell ref="AI201:AM201"/>
    <mergeCell ref="AN201:AR201"/>
    <mergeCell ref="AS201:AW201"/>
    <mergeCell ref="AX201:BA201"/>
    <mergeCell ref="AS200:AW200"/>
    <mergeCell ref="AX200:BA200"/>
    <mergeCell ref="BB200:BF200"/>
    <mergeCell ref="BG200:BK200"/>
    <mergeCell ref="BL200:BP200"/>
    <mergeCell ref="BQ200:BT200"/>
    <mergeCell ref="BL199:BP199"/>
    <mergeCell ref="BQ199:BT199"/>
    <mergeCell ref="BU199:BY199"/>
    <mergeCell ref="A200:C200"/>
    <mergeCell ref="D200:T200"/>
    <mergeCell ref="U200:Y200"/>
    <mergeCell ref="Z200:AD200"/>
    <mergeCell ref="AE200:AH200"/>
    <mergeCell ref="AI200:AM200"/>
    <mergeCell ref="AN200:AR200"/>
    <mergeCell ref="AI199:AM199"/>
    <mergeCell ref="AN199:AR199"/>
    <mergeCell ref="AS199:AW199"/>
    <mergeCell ref="AX199:BA199"/>
    <mergeCell ref="BB199:BF199"/>
    <mergeCell ref="BG199:BK199"/>
    <mergeCell ref="BB198:BF198"/>
    <mergeCell ref="BG198:BK198"/>
    <mergeCell ref="BL198:BP198"/>
    <mergeCell ref="BQ198:BT198"/>
    <mergeCell ref="BU198:BY198"/>
    <mergeCell ref="A199:C199"/>
    <mergeCell ref="D199:T199"/>
    <mergeCell ref="U199:Y199"/>
    <mergeCell ref="Z199:AD199"/>
    <mergeCell ref="AE199:AH199"/>
    <mergeCell ref="BU197:BY197"/>
    <mergeCell ref="A198:C198"/>
    <mergeCell ref="D198:T198"/>
    <mergeCell ref="U198:Y198"/>
    <mergeCell ref="Z198:AD198"/>
    <mergeCell ref="AE198:AH198"/>
    <mergeCell ref="AI198:AM198"/>
    <mergeCell ref="AN198:AR198"/>
    <mergeCell ref="AS198:AW198"/>
    <mergeCell ref="AX198:BA198"/>
    <mergeCell ref="AS197:AW197"/>
    <mergeCell ref="AX197:BA197"/>
    <mergeCell ref="BB197:BF197"/>
    <mergeCell ref="BG197:BK197"/>
    <mergeCell ref="BL197:BP197"/>
    <mergeCell ref="BQ197:BT197"/>
    <mergeCell ref="BL196:BP196"/>
    <mergeCell ref="BQ196:BT196"/>
    <mergeCell ref="BU196:BY196"/>
    <mergeCell ref="A197:C197"/>
    <mergeCell ref="D197:T197"/>
    <mergeCell ref="U197:Y197"/>
    <mergeCell ref="Z197:AD197"/>
    <mergeCell ref="AE197:AH197"/>
    <mergeCell ref="AI197:AM197"/>
    <mergeCell ref="AN197:AR197"/>
    <mergeCell ref="AI196:AM196"/>
    <mergeCell ref="AN196:AR196"/>
    <mergeCell ref="AS196:AW196"/>
    <mergeCell ref="AX196:BA196"/>
    <mergeCell ref="BB196:BF196"/>
    <mergeCell ref="BG196:BK196"/>
    <mergeCell ref="BB195:BF195"/>
    <mergeCell ref="BG195:BK195"/>
    <mergeCell ref="BL195:BP195"/>
    <mergeCell ref="BQ195:BT195"/>
    <mergeCell ref="BU195:BY195"/>
    <mergeCell ref="A196:C196"/>
    <mergeCell ref="D196:T196"/>
    <mergeCell ref="U196:Y196"/>
    <mergeCell ref="Z196:AD196"/>
    <mergeCell ref="AE196:AH196"/>
    <mergeCell ref="BU194:BY194"/>
    <mergeCell ref="A195:C195"/>
    <mergeCell ref="D195:T195"/>
    <mergeCell ref="U195:Y195"/>
    <mergeCell ref="Z195:AD195"/>
    <mergeCell ref="AE195:AH195"/>
    <mergeCell ref="AI195:AM195"/>
    <mergeCell ref="AN195:AR195"/>
    <mergeCell ref="AS195:AW195"/>
    <mergeCell ref="AX195:BA195"/>
    <mergeCell ref="AS194:AW194"/>
    <mergeCell ref="AX194:BA194"/>
    <mergeCell ref="BB194:BF194"/>
    <mergeCell ref="BG194:BK194"/>
    <mergeCell ref="BL194:BP194"/>
    <mergeCell ref="BQ194:BT194"/>
    <mergeCell ref="BL193:BP193"/>
    <mergeCell ref="BQ193:BT193"/>
    <mergeCell ref="BU193:BY193"/>
    <mergeCell ref="A194:C194"/>
    <mergeCell ref="D194:T194"/>
    <mergeCell ref="U194:Y194"/>
    <mergeCell ref="Z194:AD194"/>
    <mergeCell ref="AE194:AH194"/>
    <mergeCell ref="AI194:AM194"/>
    <mergeCell ref="AN194:AR194"/>
    <mergeCell ref="AI193:AM193"/>
    <mergeCell ref="AN193:AR193"/>
    <mergeCell ref="AS193:AW193"/>
    <mergeCell ref="AX193:BA193"/>
    <mergeCell ref="BB193:BF193"/>
    <mergeCell ref="BG193:BK193"/>
    <mergeCell ref="BB192:BF192"/>
    <mergeCell ref="BG192:BK192"/>
    <mergeCell ref="BL192:BP192"/>
    <mergeCell ref="BQ192:BT192"/>
    <mergeCell ref="BU192:BY192"/>
    <mergeCell ref="A193:C193"/>
    <mergeCell ref="D193:T193"/>
    <mergeCell ref="U193:Y193"/>
    <mergeCell ref="Z193:AD193"/>
    <mergeCell ref="AE193:AH193"/>
    <mergeCell ref="BU191:BY191"/>
    <mergeCell ref="A192:C192"/>
    <mergeCell ref="D192:T192"/>
    <mergeCell ref="U192:Y192"/>
    <mergeCell ref="Z192:AD192"/>
    <mergeCell ref="AE192:AH192"/>
    <mergeCell ref="AI192:AM192"/>
    <mergeCell ref="AN192:AR192"/>
    <mergeCell ref="AS192:AW192"/>
    <mergeCell ref="AX192:BA192"/>
    <mergeCell ref="AS191:AW191"/>
    <mergeCell ref="AX191:BA191"/>
    <mergeCell ref="BB191:BF191"/>
    <mergeCell ref="BG191:BK191"/>
    <mergeCell ref="BL191:BP191"/>
    <mergeCell ref="BQ191:BT191"/>
    <mergeCell ref="BL190:BP190"/>
    <mergeCell ref="BQ190:BT190"/>
    <mergeCell ref="BU190:BY190"/>
    <mergeCell ref="A191:C191"/>
    <mergeCell ref="D191:T191"/>
    <mergeCell ref="U191:Y191"/>
    <mergeCell ref="Z191:AD191"/>
    <mergeCell ref="AE191:AH191"/>
    <mergeCell ref="AI191:AM191"/>
    <mergeCell ref="AN191:AR191"/>
    <mergeCell ref="AI190:AM190"/>
    <mergeCell ref="AN190:AR190"/>
    <mergeCell ref="AS190:AW190"/>
    <mergeCell ref="AX190:BA190"/>
    <mergeCell ref="BB190:BF190"/>
    <mergeCell ref="BG190:BK190"/>
    <mergeCell ref="BB189:BF189"/>
    <mergeCell ref="BG189:BK189"/>
    <mergeCell ref="BL189:BP189"/>
    <mergeCell ref="BQ189:BT189"/>
    <mergeCell ref="BU189:BY189"/>
    <mergeCell ref="A190:C190"/>
    <mergeCell ref="D190:T190"/>
    <mergeCell ref="U190:Y190"/>
    <mergeCell ref="Z190:AD190"/>
    <mergeCell ref="AE190:AH190"/>
    <mergeCell ref="BU188:BY188"/>
    <mergeCell ref="A189:C189"/>
    <mergeCell ref="D189:T189"/>
    <mergeCell ref="U189:Y189"/>
    <mergeCell ref="Z189:AD189"/>
    <mergeCell ref="AE189:AH189"/>
    <mergeCell ref="AI189:AM189"/>
    <mergeCell ref="AN189:AR189"/>
    <mergeCell ref="AS189:AW189"/>
    <mergeCell ref="AX189:BA189"/>
    <mergeCell ref="AS188:AW188"/>
    <mergeCell ref="AX188:BA188"/>
    <mergeCell ref="BB188:BF188"/>
    <mergeCell ref="BG188:BK188"/>
    <mergeCell ref="BL188:BP188"/>
    <mergeCell ref="BQ188:BT188"/>
    <mergeCell ref="BL187:BP187"/>
    <mergeCell ref="BQ187:BT187"/>
    <mergeCell ref="BU187:BY187"/>
    <mergeCell ref="A188:C188"/>
    <mergeCell ref="D188:T188"/>
    <mergeCell ref="U188:Y188"/>
    <mergeCell ref="Z188:AD188"/>
    <mergeCell ref="AE188:AH188"/>
    <mergeCell ref="AI188:AM188"/>
    <mergeCell ref="AN188:AR188"/>
    <mergeCell ref="AI187:AM187"/>
    <mergeCell ref="AN187:AR187"/>
    <mergeCell ref="AS187:AW187"/>
    <mergeCell ref="AX187:BA187"/>
    <mergeCell ref="BB187:BF187"/>
    <mergeCell ref="BG187:BK187"/>
    <mergeCell ref="BB186:BF186"/>
    <mergeCell ref="BG186:BK186"/>
    <mergeCell ref="BL186:BP186"/>
    <mergeCell ref="BQ186:BT186"/>
    <mergeCell ref="BU186:BY186"/>
    <mergeCell ref="A187:C187"/>
    <mergeCell ref="D187:T187"/>
    <mergeCell ref="U187:Y187"/>
    <mergeCell ref="Z187:AD187"/>
    <mergeCell ref="AE187:AH187"/>
    <mergeCell ref="BU185:BY185"/>
    <mergeCell ref="A186:C186"/>
    <mergeCell ref="D186:T186"/>
    <mergeCell ref="U186:Y186"/>
    <mergeCell ref="Z186:AD186"/>
    <mergeCell ref="AE186:AH186"/>
    <mergeCell ref="AI186:AM186"/>
    <mergeCell ref="AN186:AR186"/>
    <mergeCell ref="AS186:AW186"/>
    <mergeCell ref="AX186:BA186"/>
    <mergeCell ref="AS185:AW185"/>
    <mergeCell ref="AX185:BA185"/>
    <mergeCell ref="BB185:BF185"/>
    <mergeCell ref="BG185:BK185"/>
    <mergeCell ref="BL185:BP185"/>
    <mergeCell ref="BQ185:BT185"/>
    <mergeCell ref="BL184:BP184"/>
    <mergeCell ref="BQ184:BT184"/>
    <mergeCell ref="BU184:BY184"/>
    <mergeCell ref="A185:C185"/>
    <mergeCell ref="D185:T185"/>
    <mergeCell ref="U185:Y185"/>
    <mergeCell ref="Z185:AD185"/>
    <mergeCell ref="AE185:AH185"/>
    <mergeCell ref="AI185:AM185"/>
    <mergeCell ref="AN185:AR185"/>
    <mergeCell ref="AI184:AM184"/>
    <mergeCell ref="AN184:AR184"/>
    <mergeCell ref="AS184:AW184"/>
    <mergeCell ref="AX184:BA184"/>
    <mergeCell ref="BB184:BF184"/>
    <mergeCell ref="BG184:BK184"/>
    <mergeCell ref="BB183:BF183"/>
    <mergeCell ref="BG183:BK183"/>
    <mergeCell ref="BL183:BP183"/>
    <mergeCell ref="BQ183:BT183"/>
    <mergeCell ref="BU183:BY183"/>
    <mergeCell ref="A184:C184"/>
    <mergeCell ref="D184:T184"/>
    <mergeCell ref="U184:Y184"/>
    <mergeCell ref="Z184:AD184"/>
    <mergeCell ref="AE184:AH184"/>
    <mergeCell ref="BU182:BY182"/>
    <mergeCell ref="A183:C183"/>
    <mergeCell ref="D183:T183"/>
    <mergeCell ref="U183:Y183"/>
    <mergeCell ref="Z183:AD183"/>
    <mergeCell ref="AE183:AH183"/>
    <mergeCell ref="AI183:AM183"/>
    <mergeCell ref="AN183:AR183"/>
    <mergeCell ref="AS183:AW183"/>
    <mergeCell ref="AX183:BA183"/>
    <mergeCell ref="AS182:AW182"/>
    <mergeCell ref="AX182:BA182"/>
    <mergeCell ref="BB182:BF182"/>
    <mergeCell ref="BG182:BK182"/>
    <mergeCell ref="BL182:BP182"/>
    <mergeCell ref="BQ182:BT182"/>
    <mergeCell ref="BL181:BP181"/>
    <mergeCell ref="BQ181:BT181"/>
    <mergeCell ref="BU181:BY181"/>
    <mergeCell ref="A182:C182"/>
    <mergeCell ref="D182:T182"/>
    <mergeCell ref="U182:Y182"/>
    <mergeCell ref="Z182:AD182"/>
    <mergeCell ref="AE182:AH182"/>
    <mergeCell ref="AI182:AM182"/>
    <mergeCell ref="AN182:AR182"/>
    <mergeCell ref="AI181:AM181"/>
    <mergeCell ref="AN181:AR181"/>
    <mergeCell ref="AS181:AW181"/>
    <mergeCell ref="AX181:BA181"/>
    <mergeCell ref="BB181:BF181"/>
    <mergeCell ref="BG181:BK181"/>
    <mergeCell ref="BB180:BF180"/>
    <mergeCell ref="BG180:BK180"/>
    <mergeCell ref="BL180:BP180"/>
    <mergeCell ref="BQ180:BT180"/>
    <mergeCell ref="BU180:BY180"/>
    <mergeCell ref="A181:C181"/>
    <mergeCell ref="D181:T181"/>
    <mergeCell ref="U181:Y181"/>
    <mergeCell ref="Z181:AD181"/>
    <mergeCell ref="AE181:AH181"/>
    <mergeCell ref="BU179:BY179"/>
    <mergeCell ref="A180:C180"/>
    <mergeCell ref="D180:T180"/>
    <mergeCell ref="U180:Y180"/>
    <mergeCell ref="Z180:AD180"/>
    <mergeCell ref="AE180:AH180"/>
    <mergeCell ref="AI180:AM180"/>
    <mergeCell ref="AN180:AR180"/>
    <mergeCell ref="AS180:AW180"/>
    <mergeCell ref="AX180:BA180"/>
    <mergeCell ref="AS179:AW179"/>
    <mergeCell ref="AX179:BA179"/>
    <mergeCell ref="BB179:BF179"/>
    <mergeCell ref="BG179:BK179"/>
    <mergeCell ref="BL179:BP179"/>
    <mergeCell ref="BQ179:BT179"/>
    <mergeCell ref="BL178:BP178"/>
    <mergeCell ref="BQ178:BT178"/>
    <mergeCell ref="BU178:BY178"/>
    <mergeCell ref="A179:C179"/>
    <mergeCell ref="D179:T179"/>
    <mergeCell ref="U179:Y179"/>
    <mergeCell ref="Z179:AD179"/>
    <mergeCell ref="AE179:AH179"/>
    <mergeCell ref="AI179:AM179"/>
    <mergeCell ref="AN179:AR179"/>
    <mergeCell ref="AI178:AM178"/>
    <mergeCell ref="AN178:AR178"/>
    <mergeCell ref="AS178:AW178"/>
    <mergeCell ref="AX178:BA178"/>
    <mergeCell ref="BB178:BF178"/>
    <mergeCell ref="BG178:BK178"/>
    <mergeCell ref="BB177:BF177"/>
    <mergeCell ref="BG177:BK177"/>
    <mergeCell ref="BL177:BP177"/>
    <mergeCell ref="BQ177:BT177"/>
    <mergeCell ref="BU177:BY177"/>
    <mergeCell ref="A178:C178"/>
    <mergeCell ref="D178:T178"/>
    <mergeCell ref="U178:Y178"/>
    <mergeCell ref="Z178:AD178"/>
    <mergeCell ref="AE178:AH178"/>
    <mergeCell ref="BU176:BY176"/>
    <mergeCell ref="A177:C177"/>
    <mergeCell ref="D177:T177"/>
    <mergeCell ref="U177:Y177"/>
    <mergeCell ref="Z177:AD177"/>
    <mergeCell ref="AE177:AH177"/>
    <mergeCell ref="AI177:AM177"/>
    <mergeCell ref="AN177:AR177"/>
    <mergeCell ref="AS177:AW177"/>
    <mergeCell ref="AX177:BA177"/>
    <mergeCell ref="AS176:AW176"/>
    <mergeCell ref="AX176:BA176"/>
    <mergeCell ref="BB176:BF176"/>
    <mergeCell ref="BG176:BK176"/>
    <mergeCell ref="BL176:BP176"/>
    <mergeCell ref="BQ176:BT176"/>
    <mergeCell ref="BL175:BP175"/>
    <mergeCell ref="BQ175:BT175"/>
    <mergeCell ref="BU175:BY175"/>
    <mergeCell ref="A176:C176"/>
    <mergeCell ref="D176:T176"/>
    <mergeCell ref="U176:Y176"/>
    <mergeCell ref="Z176:AD176"/>
    <mergeCell ref="AE176:AH176"/>
    <mergeCell ref="AI176:AM176"/>
    <mergeCell ref="AN176:AR176"/>
    <mergeCell ref="AI175:AM175"/>
    <mergeCell ref="AN175:AR175"/>
    <mergeCell ref="AS175:AW175"/>
    <mergeCell ref="AX175:BA175"/>
    <mergeCell ref="BB175:BF175"/>
    <mergeCell ref="BG175:BK175"/>
    <mergeCell ref="BB174:BF174"/>
    <mergeCell ref="BG174:BK174"/>
    <mergeCell ref="BL174:BP174"/>
    <mergeCell ref="BQ174:BT174"/>
    <mergeCell ref="BU174:BY174"/>
    <mergeCell ref="A175:C175"/>
    <mergeCell ref="D175:T175"/>
    <mergeCell ref="U175:Y175"/>
    <mergeCell ref="Z175:AD175"/>
    <mergeCell ref="AE175:AH175"/>
    <mergeCell ref="BU173:BY173"/>
    <mergeCell ref="A174:C174"/>
    <mergeCell ref="D174:T174"/>
    <mergeCell ref="U174:Y174"/>
    <mergeCell ref="Z174:AD174"/>
    <mergeCell ref="AE174:AH174"/>
    <mergeCell ref="AI174:AM174"/>
    <mergeCell ref="AN174:AR174"/>
    <mergeCell ref="AS174:AW174"/>
    <mergeCell ref="AX174:BA174"/>
    <mergeCell ref="AS173:AW173"/>
    <mergeCell ref="AX173:BA173"/>
    <mergeCell ref="BB173:BF173"/>
    <mergeCell ref="BG173:BK173"/>
    <mergeCell ref="BL173:BP173"/>
    <mergeCell ref="BQ173:BT173"/>
    <mergeCell ref="BL172:BP172"/>
    <mergeCell ref="BQ172:BT172"/>
    <mergeCell ref="BU172:BY172"/>
    <mergeCell ref="A173:C173"/>
    <mergeCell ref="D173:T173"/>
    <mergeCell ref="U173:Y173"/>
    <mergeCell ref="Z173:AD173"/>
    <mergeCell ref="AE173:AH173"/>
    <mergeCell ref="AI173:AM173"/>
    <mergeCell ref="AN173:AR173"/>
    <mergeCell ref="AI172:AM172"/>
    <mergeCell ref="AN172:AR172"/>
    <mergeCell ref="AS172:AW172"/>
    <mergeCell ref="AX172:BA172"/>
    <mergeCell ref="BB172:BF172"/>
    <mergeCell ref="BG172:BK172"/>
    <mergeCell ref="BB171:BF171"/>
    <mergeCell ref="BG171:BK171"/>
    <mergeCell ref="BL171:BP171"/>
    <mergeCell ref="BQ171:BT171"/>
    <mergeCell ref="BU171:BY171"/>
    <mergeCell ref="A172:C172"/>
    <mergeCell ref="D172:T172"/>
    <mergeCell ref="U172:Y172"/>
    <mergeCell ref="Z172:AD172"/>
    <mergeCell ref="AE172:AH172"/>
    <mergeCell ref="BU170:BY170"/>
    <mergeCell ref="A171:C171"/>
    <mergeCell ref="D171:T171"/>
    <mergeCell ref="U171:Y171"/>
    <mergeCell ref="Z171:AD171"/>
    <mergeCell ref="AE171:AH171"/>
    <mergeCell ref="AI171:AM171"/>
    <mergeCell ref="AN171:AR171"/>
    <mergeCell ref="AS171:AW171"/>
    <mergeCell ref="AX171:BA171"/>
    <mergeCell ref="AS170:AW170"/>
    <mergeCell ref="AX170:BA170"/>
    <mergeCell ref="BB170:BF170"/>
    <mergeCell ref="BG170:BK170"/>
    <mergeCell ref="BL170:BP170"/>
    <mergeCell ref="BQ170:BT170"/>
    <mergeCell ref="BL169:BP169"/>
    <mergeCell ref="BQ169:BT169"/>
    <mergeCell ref="BU169:BY169"/>
    <mergeCell ref="A170:C170"/>
    <mergeCell ref="D170:T170"/>
    <mergeCell ref="U170:Y170"/>
    <mergeCell ref="Z170:AD170"/>
    <mergeCell ref="AE170:AH170"/>
    <mergeCell ref="AI170:AM170"/>
    <mergeCell ref="AN170:AR170"/>
    <mergeCell ref="AI169:AM169"/>
    <mergeCell ref="AN169:AR169"/>
    <mergeCell ref="AS169:AW169"/>
    <mergeCell ref="AX169:BA169"/>
    <mergeCell ref="BB169:BF169"/>
    <mergeCell ref="BG169:BK169"/>
    <mergeCell ref="BB168:BF168"/>
    <mergeCell ref="BG168:BK168"/>
    <mergeCell ref="BL168:BP168"/>
    <mergeCell ref="BQ168:BT168"/>
    <mergeCell ref="BU168:BY168"/>
    <mergeCell ref="A169:C169"/>
    <mergeCell ref="D169:T169"/>
    <mergeCell ref="U169:Y169"/>
    <mergeCell ref="Z169:AD169"/>
    <mergeCell ref="AE169:AH169"/>
    <mergeCell ref="BU167:BY167"/>
    <mergeCell ref="A168:C168"/>
    <mergeCell ref="D168:T168"/>
    <mergeCell ref="U168:Y168"/>
    <mergeCell ref="Z168:AD168"/>
    <mergeCell ref="AE168:AH168"/>
    <mergeCell ref="AI168:AM168"/>
    <mergeCell ref="AN168:AR168"/>
    <mergeCell ref="AS168:AW168"/>
    <mergeCell ref="AX168:BA168"/>
    <mergeCell ref="AS167:AW167"/>
    <mergeCell ref="AX167:BA167"/>
    <mergeCell ref="BB167:BF167"/>
    <mergeCell ref="BG167:BK167"/>
    <mergeCell ref="BL167:BP167"/>
    <mergeCell ref="BQ167:BT167"/>
    <mergeCell ref="BL166:BP166"/>
    <mergeCell ref="BQ166:BT166"/>
    <mergeCell ref="BU166:BY166"/>
    <mergeCell ref="A167:C167"/>
    <mergeCell ref="D167:T167"/>
    <mergeCell ref="U167:Y167"/>
    <mergeCell ref="Z167:AD167"/>
    <mergeCell ref="AE167:AH167"/>
    <mergeCell ref="AI167:AM167"/>
    <mergeCell ref="AN167:AR167"/>
    <mergeCell ref="AI166:AM166"/>
    <mergeCell ref="AN166:AR166"/>
    <mergeCell ref="AS166:AW166"/>
    <mergeCell ref="AX166:BA166"/>
    <mergeCell ref="BB166:BF166"/>
    <mergeCell ref="BG166:BK166"/>
    <mergeCell ref="BB165:BF165"/>
    <mergeCell ref="BG165:BK165"/>
    <mergeCell ref="BL165:BP165"/>
    <mergeCell ref="BQ165:BT165"/>
    <mergeCell ref="BU165:BY165"/>
    <mergeCell ref="A166:C166"/>
    <mergeCell ref="D166:T166"/>
    <mergeCell ref="U166:Y166"/>
    <mergeCell ref="Z166:AD166"/>
    <mergeCell ref="AE166:AH166"/>
    <mergeCell ref="BU164:BY164"/>
    <mergeCell ref="A165:C165"/>
    <mergeCell ref="D165:T165"/>
    <mergeCell ref="U165:Y165"/>
    <mergeCell ref="Z165:AD165"/>
    <mergeCell ref="AE165:AH165"/>
    <mergeCell ref="AI165:AM165"/>
    <mergeCell ref="AN165:AR165"/>
    <mergeCell ref="AS165:AW165"/>
    <mergeCell ref="AX165:BA165"/>
    <mergeCell ref="AS164:AW164"/>
    <mergeCell ref="AX164:BA164"/>
    <mergeCell ref="BB164:BF164"/>
    <mergeCell ref="BG164:BK164"/>
    <mergeCell ref="BL164:BP164"/>
    <mergeCell ref="BQ164:BT164"/>
    <mergeCell ref="BL163:BP163"/>
    <mergeCell ref="BQ163:BT163"/>
    <mergeCell ref="BU163:BY163"/>
    <mergeCell ref="A164:C164"/>
    <mergeCell ref="D164:T164"/>
    <mergeCell ref="U164:Y164"/>
    <mergeCell ref="Z164:AD164"/>
    <mergeCell ref="AE164:AH164"/>
    <mergeCell ref="AI164:AM164"/>
    <mergeCell ref="AN164:AR164"/>
    <mergeCell ref="AI163:AM163"/>
    <mergeCell ref="AN163:AR163"/>
    <mergeCell ref="AS163:AW163"/>
    <mergeCell ref="AX163:BA163"/>
    <mergeCell ref="BB163:BF163"/>
    <mergeCell ref="BG163:BK163"/>
    <mergeCell ref="BB162:BF162"/>
    <mergeCell ref="BG162:BK162"/>
    <mergeCell ref="BL162:BP162"/>
    <mergeCell ref="BQ162:BT162"/>
    <mergeCell ref="BU162:BY162"/>
    <mergeCell ref="A163:C163"/>
    <mergeCell ref="D163:T163"/>
    <mergeCell ref="U163:Y163"/>
    <mergeCell ref="Z163:AD163"/>
    <mergeCell ref="AE163:AH163"/>
    <mergeCell ref="BU161:BY161"/>
    <mergeCell ref="A162:C162"/>
    <mergeCell ref="D162:T162"/>
    <mergeCell ref="U162:Y162"/>
    <mergeCell ref="Z162:AD162"/>
    <mergeCell ref="AE162:AH162"/>
    <mergeCell ref="AI162:AM162"/>
    <mergeCell ref="AN162:AR162"/>
    <mergeCell ref="AS162:AW162"/>
    <mergeCell ref="AX162:BA162"/>
    <mergeCell ref="AS161:AW161"/>
    <mergeCell ref="AX161:BA161"/>
    <mergeCell ref="BB161:BF161"/>
    <mergeCell ref="BG161:BK161"/>
    <mergeCell ref="BL161:BP161"/>
    <mergeCell ref="BQ161:BT161"/>
    <mergeCell ref="BL160:BP160"/>
    <mergeCell ref="BQ160:BT160"/>
    <mergeCell ref="BU160:BY160"/>
    <mergeCell ref="A161:C161"/>
    <mergeCell ref="D161:T161"/>
    <mergeCell ref="U161:Y161"/>
    <mergeCell ref="Z161:AD161"/>
    <mergeCell ref="AE161:AH161"/>
    <mergeCell ref="AI161:AM161"/>
    <mergeCell ref="AN161:AR161"/>
    <mergeCell ref="AI160:AM160"/>
    <mergeCell ref="AN160:AR160"/>
    <mergeCell ref="AS160:AW160"/>
    <mergeCell ref="AX160:BA160"/>
    <mergeCell ref="BB160:BF160"/>
    <mergeCell ref="BG160:BK160"/>
    <mergeCell ref="BB159:BF159"/>
    <mergeCell ref="BG159:BK159"/>
    <mergeCell ref="BL159:BP159"/>
    <mergeCell ref="BQ159:BT159"/>
    <mergeCell ref="BU159:BY159"/>
    <mergeCell ref="A160:C160"/>
    <mergeCell ref="D160:T160"/>
    <mergeCell ref="U160:Y160"/>
    <mergeCell ref="Z160:AD160"/>
    <mergeCell ref="AE160:AH160"/>
    <mergeCell ref="BU158:BY158"/>
    <mergeCell ref="A159:C159"/>
    <mergeCell ref="D159:T159"/>
    <mergeCell ref="U159:Y159"/>
    <mergeCell ref="Z159:AD159"/>
    <mergeCell ref="AE159:AH159"/>
    <mergeCell ref="AI159:AM159"/>
    <mergeCell ref="AN159:AR159"/>
    <mergeCell ref="AS159:AW159"/>
    <mergeCell ref="AX159:BA159"/>
    <mergeCell ref="AS158:AW158"/>
    <mergeCell ref="AX158:BA158"/>
    <mergeCell ref="BB158:BF158"/>
    <mergeCell ref="BG158:BK158"/>
    <mergeCell ref="BL158:BP158"/>
    <mergeCell ref="BQ158:BT158"/>
    <mergeCell ref="BL157:BP157"/>
    <mergeCell ref="BQ157:BT157"/>
    <mergeCell ref="BU157:BY157"/>
    <mergeCell ref="A158:C158"/>
    <mergeCell ref="D158:T158"/>
    <mergeCell ref="U158:Y158"/>
    <mergeCell ref="Z158:AD158"/>
    <mergeCell ref="AE158:AH158"/>
    <mergeCell ref="AI158:AM158"/>
    <mergeCell ref="AN158:AR158"/>
    <mergeCell ref="AI157:AM157"/>
    <mergeCell ref="AN157:AR157"/>
    <mergeCell ref="AS157:AW157"/>
    <mergeCell ref="AX157:BA157"/>
    <mergeCell ref="BB157:BF157"/>
    <mergeCell ref="BG157:BK157"/>
    <mergeCell ref="BB156:BF156"/>
    <mergeCell ref="BG156:BK156"/>
    <mergeCell ref="BL156:BP156"/>
    <mergeCell ref="BQ156:BT156"/>
    <mergeCell ref="BU156:BY156"/>
    <mergeCell ref="A157:C157"/>
    <mergeCell ref="D157:T157"/>
    <mergeCell ref="U157:Y157"/>
    <mergeCell ref="Z157:AD157"/>
    <mergeCell ref="AE157:AH157"/>
    <mergeCell ref="BU155:BY155"/>
    <mergeCell ref="A156:C156"/>
    <mergeCell ref="D156:T156"/>
    <mergeCell ref="U156:Y156"/>
    <mergeCell ref="Z156:AD156"/>
    <mergeCell ref="AE156:AH156"/>
    <mergeCell ref="AI156:AM156"/>
    <mergeCell ref="AN156:AR156"/>
    <mergeCell ref="AS156:AW156"/>
    <mergeCell ref="AX156:BA156"/>
    <mergeCell ref="AS155:AW155"/>
    <mergeCell ref="AX155:BA155"/>
    <mergeCell ref="BB155:BF155"/>
    <mergeCell ref="BG155:BK155"/>
    <mergeCell ref="BL155:BP155"/>
    <mergeCell ref="BQ155:BT155"/>
    <mergeCell ref="BL154:BP154"/>
    <mergeCell ref="BQ154:BT154"/>
    <mergeCell ref="BU154:BY154"/>
    <mergeCell ref="A155:C155"/>
    <mergeCell ref="D155:T155"/>
    <mergeCell ref="U155:Y155"/>
    <mergeCell ref="Z155:AD155"/>
    <mergeCell ref="AE155:AH155"/>
    <mergeCell ref="AI155:AM155"/>
    <mergeCell ref="AN155:AR155"/>
    <mergeCell ref="AI154:AM154"/>
    <mergeCell ref="AN154:AR154"/>
    <mergeCell ref="AS154:AW154"/>
    <mergeCell ref="AX154:BA154"/>
    <mergeCell ref="BB154:BF154"/>
    <mergeCell ref="BG154:BK154"/>
    <mergeCell ref="BB153:BF153"/>
    <mergeCell ref="BG153:BK153"/>
    <mergeCell ref="BL153:BP153"/>
    <mergeCell ref="BQ153:BT153"/>
    <mergeCell ref="BU153:BY153"/>
    <mergeCell ref="A154:C154"/>
    <mergeCell ref="D154:T154"/>
    <mergeCell ref="U154:Y154"/>
    <mergeCell ref="Z154:AD154"/>
    <mergeCell ref="AE154:AH154"/>
    <mergeCell ref="BU152:BY152"/>
    <mergeCell ref="A153:C153"/>
    <mergeCell ref="D153:T153"/>
    <mergeCell ref="U153:Y153"/>
    <mergeCell ref="Z153:AD153"/>
    <mergeCell ref="AE153:AH153"/>
    <mergeCell ref="AI153:AM153"/>
    <mergeCell ref="AN153:AR153"/>
    <mergeCell ref="AS153:AW153"/>
    <mergeCell ref="AX153:BA153"/>
    <mergeCell ref="AS152:AW152"/>
    <mergeCell ref="AX152:BA152"/>
    <mergeCell ref="BB152:BF152"/>
    <mergeCell ref="BG152:BK152"/>
    <mergeCell ref="BL152:BP152"/>
    <mergeCell ref="BQ152:BT152"/>
    <mergeCell ref="BL151:BP151"/>
    <mergeCell ref="BQ151:BT151"/>
    <mergeCell ref="BU151:BY151"/>
    <mergeCell ref="A152:C152"/>
    <mergeCell ref="D152:T152"/>
    <mergeCell ref="U152:Y152"/>
    <mergeCell ref="Z152:AD152"/>
    <mergeCell ref="AE152:AH152"/>
    <mergeCell ref="AI152:AM152"/>
    <mergeCell ref="AN152:AR152"/>
    <mergeCell ref="AI151:AM151"/>
    <mergeCell ref="AN151:AR151"/>
    <mergeCell ref="AS151:AW151"/>
    <mergeCell ref="AX151:BA151"/>
    <mergeCell ref="BB151:BF151"/>
    <mergeCell ref="BG151:BK151"/>
    <mergeCell ref="BB150:BF150"/>
    <mergeCell ref="BG150:BK150"/>
    <mergeCell ref="BL150:BP150"/>
    <mergeCell ref="BQ150:BT150"/>
    <mergeCell ref="BU150:BY150"/>
    <mergeCell ref="A151:C151"/>
    <mergeCell ref="D151:T151"/>
    <mergeCell ref="U151:Y151"/>
    <mergeCell ref="Z151:AD151"/>
    <mergeCell ref="AE151:AH151"/>
    <mergeCell ref="BU149:BY149"/>
    <mergeCell ref="A150:C150"/>
    <mergeCell ref="D150:T150"/>
    <mergeCell ref="U150:Y150"/>
    <mergeCell ref="Z150:AD150"/>
    <mergeCell ref="AE150:AH150"/>
    <mergeCell ref="AI150:AM150"/>
    <mergeCell ref="AN150:AR150"/>
    <mergeCell ref="AS150:AW150"/>
    <mergeCell ref="AX150:BA150"/>
    <mergeCell ref="AS149:AW149"/>
    <mergeCell ref="AX149:BA149"/>
    <mergeCell ref="BB149:BF149"/>
    <mergeCell ref="BG149:BK149"/>
    <mergeCell ref="BL149:BP149"/>
    <mergeCell ref="BQ149:BT149"/>
    <mergeCell ref="BL148:BP148"/>
    <mergeCell ref="BQ148:BT148"/>
    <mergeCell ref="BU148:BY148"/>
    <mergeCell ref="A149:C149"/>
    <mergeCell ref="D149:T149"/>
    <mergeCell ref="U149:Y149"/>
    <mergeCell ref="Z149:AD149"/>
    <mergeCell ref="AE149:AH149"/>
    <mergeCell ref="AI149:AM149"/>
    <mergeCell ref="AN149:AR149"/>
    <mergeCell ref="AI148:AM148"/>
    <mergeCell ref="AN148:AR148"/>
    <mergeCell ref="AS148:AW148"/>
    <mergeCell ref="AX148:BA148"/>
    <mergeCell ref="BB148:BF148"/>
    <mergeCell ref="BG148:BK148"/>
    <mergeCell ref="BB147:BF147"/>
    <mergeCell ref="BG147:BK147"/>
    <mergeCell ref="BL147:BP147"/>
    <mergeCell ref="BQ147:BT147"/>
    <mergeCell ref="BU147:BY147"/>
    <mergeCell ref="A148:C148"/>
    <mergeCell ref="D148:T148"/>
    <mergeCell ref="U148:Y148"/>
    <mergeCell ref="Z148:AD148"/>
    <mergeCell ref="AE148:AH148"/>
    <mergeCell ref="BU146:BY146"/>
    <mergeCell ref="A147:C147"/>
    <mergeCell ref="D147:T147"/>
    <mergeCell ref="U147:Y147"/>
    <mergeCell ref="Z147:AD147"/>
    <mergeCell ref="AE147:AH147"/>
    <mergeCell ref="AI147:AM147"/>
    <mergeCell ref="AN147:AR147"/>
    <mergeCell ref="AS147:AW147"/>
    <mergeCell ref="AX147:BA147"/>
    <mergeCell ref="AS146:AW146"/>
    <mergeCell ref="AX146:BA146"/>
    <mergeCell ref="BB146:BF146"/>
    <mergeCell ref="BG146:BK146"/>
    <mergeCell ref="BL146:BP146"/>
    <mergeCell ref="BQ146:BT146"/>
    <mergeCell ref="BL145:BP145"/>
    <mergeCell ref="BQ145:BT145"/>
    <mergeCell ref="BU145:BY145"/>
    <mergeCell ref="A146:C146"/>
    <mergeCell ref="D146:T146"/>
    <mergeCell ref="U146:Y146"/>
    <mergeCell ref="Z146:AD146"/>
    <mergeCell ref="AE146:AH146"/>
    <mergeCell ref="AI146:AM146"/>
    <mergeCell ref="AN146:AR146"/>
    <mergeCell ref="AI145:AM145"/>
    <mergeCell ref="AN145:AR145"/>
    <mergeCell ref="AS145:AW145"/>
    <mergeCell ref="AX145:BA145"/>
    <mergeCell ref="BB145:BF145"/>
    <mergeCell ref="BG145:BK145"/>
    <mergeCell ref="BB144:BF144"/>
    <mergeCell ref="BG144:BK144"/>
    <mergeCell ref="BL144:BP144"/>
    <mergeCell ref="BQ144:BT144"/>
    <mergeCell ref="BU144:BY144"/>
    <mergeCell ref="A145:C145"/>
    <mergeCell ref="D145:T145"/>
    <mergeCell ref="U145:Y145"/>
    <mergeCell ref="Z145:AD145"/>
    <mergeCell ref="AE145:AH145"/>
    <mergeCell ref="BU143:BY143"/>
    <mergeCell ref="A144:C144"/>
    <mergeCell ref="D144:T144"/>
    <mergeCell ref="U144:Y144"/>
    <mergeCell ref="Z144:AD144"/>
    <mergeCell ref="AE144:AH144"/>
    <mergeCell ref="AI144:AM144"/>
    <mergeCell ref="AN144:AR144"/>
    <mergeCell ref="AS144:AW144"/>
    <mergeCell ref="AX144:BA144"/>
    <mergeCell ref="AS143:AW143"/>
    <mergeCell ref="AX143:BA143"/>
    <mergeCell ref="BB143:BF143"/>
    <mergeCell ref="BG143:BK143"/>
    <mergeCell ref="BL143:BP143"/>
    <mergeCell ref="BQ143:BT143"/>
    <mergeCell ref="BL142:BP142"/>
    <mergeCell ref="BQ142:BT142"/>
    <mergeCell ref="BU142:BY142"/>
    <mergeCell ref="A143:C143"/>
    <mergeCell ref="D143:T143"/>
    <mergeCell ref="U143:Y143"/>
    <mergeCell ref="Z143:AD143"/>
    <mergeCell ref="AE143:AH143"/>
    <mergeCell ref="AI143:AM143"/>
    <mergeCell ref="AN143:AR143"/>
    <mergeCell ref="AI142:AM142"/>
    <mergeCell ref="AN142:AR142"/>
    <mergeCell ref="AS142:AW142"/>
    <mergeCell ref="AX142:BA142"/>
    <mergeCell ref="BB142:BF142"/>
    <mergeCell ref="BG142:BK142"/>
    <mergeCell ref="BB141:BF141"/>
    <mergeCell ref="BG141:BK141"/>
    <mergeCell ref="BL141:BP141"/>
    <mergeCell ref="BQ141:BT141"/>
    <mergeCell ref="BU141:BY141"/>
    <mergeCell ref="A142:C142"/>
    <mergeCell ref="D142:T142"/>
    <mergeCell ref="U142:Y142"/>
    <mergeCell ref="Z142:AD142"/>
    <mergeCell ref="AE142:AH142"/>
    <mergeCell ref="BU140:BY140"/>
    <mergeCell ref="A141:C141"/>
    <mergeCell ref="D141:T141"/>
    <mergeCell ref="U141:Y141"/>
    <mergeCell ref="Z141:AD141"/>
    <mergeCell ref="AE141:AH141"/>
    <mergeCell ref="AI141:AM141"/>
    <mergeCell ref="AN141:AR141"/>
    <mergeCell ref="AS141:AW141"/>
    <mergeCell ref="AX141:BA141"/>
    <mergeCell ref="AS140:AW140"/>
    <mergeCell ref="AX140:BA140"/>
    <mergeCell ref="BB140:BF140"/>
    <mergeCell ref="BG140:BK140"/>
    <mergeCell ref="BL140:BP140"/>
    <mergeCell ref="BQ140:BT140"/>
    <mergeCell ref="BL139:BP139"/>
    <mergeCell ref="BQ139:BT139"/>
    <mergeCell ref="BU139:BY139"/>
    <mergeCell ref="A140:C140"/>
    <mergeCell ref="D140:T140"/>
    <mergeCell ref="U140:Y140"/>
    <mergeCell ref="Z140:AD140"/>
    <mergeCell ref="AE140:AH140"/>
    <mergeCell ref="AI140:AM140"/>
    <mergeCell ref="AN140:AR140"/>
    <mergeCell ref="AI139:AM139"/>
    <mergeCell ref="AN139:AR139"/>
    <mergeCell ref="AS139:AW139"/>
    <mergeCell ref="AX139:BA139"/>
    <mergeCell ref="BB139:BF139"/>
    <mergeCell ref="BG139:BK139"/>
    <mergeCell ref="BB138:BF138"/>
    <mergeCell ref="BG138:BK138"/>
    <mergeCell ref="BL138:BP138"/>
    <mergeCell ref="BQ138:BT138"/>
    <mergeCell ref="BU138:BY138"/>
    <mergeCell ref="A139:C139"/>
    <mergeCell ref="D139:T139"/>
    <mergeCell ref="U139:Y139"/>
    <mergeCell ref="Z139:AD139"/>
    <mergeCell ref="AE139:AH139"/>
    <mergeCell ref="BU137:BY137"/>
    <mergeCell ref="A138:C138"/>
    <mergeCell ref="D138:T138"/>
    <mergeCell ref="U138:Y138"/>
    <mergeCell ref="Z138:AD138"/>
    <mergeCell ref="AE138:AH138"/>
    <mergeCell ref="AI138:AM138"/>
    <mergeCell ref="AN138:AR138"/>
    <mergeCell ref="AS138:AW138"/>
    <mergeCell ref="AX138:BA138"/>
    <mergeCell ref="AS137:AW137"/>
    <mergeCell ref="AX137:BA137"/>
    <mergeCell ref="BB137:BF137"/>
    <mergeCell ref="BG137:BK137"/>
    <mergeCell ref="BL137:BP137"/>
    <mergeCell ref="BQ137:BT137"/>
    <mergeCell ref="BL136:BP136"/>
    <mergeCell ref="BQ136:BT136"/>
    <mergeCell ref="BU136:BY136"/>
    <mergeCell ref="A137:C137"/>
    <mergeCell ref="D137:T137"/>
    <mergeCell ref="U137:Y137"/>
    <mergeCell ref="Z137:AD137"/>
    <mergeCell ref="AE137:AH137"/>
    <mergeCell ref="AI137:AM137"/>
    <mergeCell ref="AN137:AR137"/>
    <mergeCell ref="AI136:AM136"/>
    <mergeCell ref="AN136:AR136"/>
    <mergeCell ref="AS136:AW136"/>
    <mergeCell ref="AX136:BA136"/>
    <mergeCell ref="BB136:BF136"/>
    <mergeCell ref="BG136:BK136"/>
    <mergeCell ref="BB135:BF135"/>
    <mergeCell ref="BG135:BK135"/>
    <mergeCell ref="BL135:BP135"/>
    <mergeCell ref="BQ135:BT135"/>
    <mergeCell ref="BU135:BY135"/>
    <mergeCell ref="A136:C136"/>
    <mergeCell ref="D136:T136"/>
    <mergeCell ref="U136:Y136"/>
    <mergeCell ref="Z136:AD136"/>
    <mergeCell ref="AE136:AH136"/>
    <mergeCell ref="BU134:BY134"/>
    <mergeCell ref="A135:C135"/>
    <mergeCell ref="D135:T135"/>
    <mergeCell ref="U135:Y135"/>
    <mergeCell ref="Z135:AD135"/>
    <mergeCell ref="AE135:AH135"/>
    <mergeCell ref="AI135:AM135"/>
    <mergeCell ref="AN135:AR135"/>
    <mergeCell ref="AS135:AW135"/>
    <mergeCell ref="AX135:BA135"/>
    <mergeCell ref="AS134:AW134"/>
    <mergeCell ref="AX134:BA134"/>
    <mergeCell ref="BB134:BF134"/>
    <mergeCell ref="BG134:BK134"/>
    <mergeCell ref="BL134:BP134"/>
    <mergeCell ref="BQ134:BT134"/>
    <mergeCell ref="BL133:BP133"/>
    <mergeCell ref="BQ133:BT133"/>
    <mergeCell ref="BU133:BY133"/>
    <mergeCell ref="A134:C134"/>
    <mergeCell ref="D134:T134"/>
    <mergeCell ref="U134:Y134"/>
    <mergeCell ref="Z134:AD134"/>
    <mergeCell ref="AE134:AH134"/>
    <mergeCell ref="AI134:AM134"/>
    <mergeCell ref="AN134:AR134"/>
    <mergeCell ref="AI133:AM133"/>
    <mergeCell ref="AN133:AR133"/>
    <mergeCell ref="AS133:AW133"/>
    <mergeCell ref="AX133:BA133"/>
    <mergeCell ref="BB133:BF133"/>
    <mergeCell ref="BG133:BK133"/>
    <mergeCell ref="BB132:BF132"/>
    <mergeCell ref="BG132:BK132"/>
    <mergeCell ref="BL132:BP132"/>
    <mergeCell ref="BQ132:BT132"/>
    <mergeCell ref="BU132:BY132"/>
    <mergeCell ref="A133:C133"/>
    <mergeCell ref="D133:T133"/>
    <mergeCell ref="U133:Y133"/>
    <mergeCell ref="Z133:AD133"/>
    <mergeCell ref="AE133:AH133"/>
    <mergeCell ref="BU131:BY131"/>
    <mergeCell ref="A132:C132"/>
    <mergeCell ref="D132:T132"/>
    <mergeCell ref="U132:Y132"/>
    <mergeCell ref="Z132:AD132"/>
    <mergeCell ref="AE132:AH132"/>
    <mergeCell ref="AI132:AM132"/>
    <mergeCell ref="AN132:AR132"/>
    <mergeCell ref="AS132:AW132"/>
    <mergeCell ref="AX132:BA132"/>
    <mergeCell ref="AS131:AW131"/>
    <mergeCell ref="AX131:BA131"/>
    <mergeCell ref="BB131:BF131"/>
    <mergeCell ref="BG131:BK131"/>
    <mergeCell ref="BL131:BP131"/>
    <mergeCell ref="BQ131:BT131"/>
    <mergeCell ref="BL130:BP130"/>
    <mergeCell ref="BQ130:BT130"/>
    <mergeCell ref="BU130:BY130"/>
    <mergeCell ref="A131:C131"/>
    <mergeCell ref="D131:T131"/>
    <mergeCell ref="U131:Y131"/>
    <mergeCell ref="Z131:AD131"/>
    <mergeCell ref="AE131:AH131"/>
    <mergeCell ref="AI131:AM131"/>
    <mergeCell ref="AN131:AR131"/>
    <mergeCell ref="AI130:AM130"/>
    <mergeCell ref="AN130:AR130"/>
    <mergeCell ref="AS130:AW130"/>
    <mergeCell ref="AX130:BA130"/>
    <mergeCell ref="BB130:BF130"/>
    <mergeCell ref="BG130:BK130"/>
    <mergeCell ref="BB129:BF129"/>
    <mergeCell ref="BG129:BK129"/>
    <mergeCell ref="BL129:BP129"/>
    <mergeCell ref="BQ129:BT129"/>
    <mergeCell ref="BU129:BY129"/>
    <mergeCell ref="A130:C130"/>
    <mergeCell ref="D130:T130"/>
    <mergeCell ref="U130:Y130"/>
    <mergeCell ref="Z130:AD130"/>
    <mergeCell ref="AE130:AH130"/>
    <mergeCell ref="BU128:BY128"/>
    <mergeCell ref="A129:C129"/>
    <mergeCell ref="D129:T129"/>
    <mergeCell ref="U129:Y129"/>
    <mergeCell ref="Z129:AD129"/>
    <mergeCell ref="AE129:AH129"/>
    <mergeCell ref="AI129:AM129"/>
    <mergeCell ref="AN129:AR129"/>
    <mergeCell ref="AS129:AW129"/>
    <mergeCell ref="AX129:BA129"/>
    <mergeCell ref="AS128:AW128"/>
    <mergeCell ref="AX128:BA128"/>
    <mergeCell ref="BB128:BF128"/>
    <mergeCell ref="BG128:BK128"/>
    <mergeCell ref="BL128:BP128"/>
    <mergeCell ref="BQ128:BT128"/>
    <mergeCell ref="BL127:BP127"/>
    <mergeCell ref="BQ127:BT127"/>
    <mergeCell ref="BU127:BY127"/>
    <mergeCell ref="A128:C128"/>
    <mergeCell ref="D128:T128"/>
    <mergeCell ref="U128:Y128"/>
    <mergeCell ref="Z128:AD128"/>
    <mergeCell ref="AE128:AH128"/>
    <mergeCell ref="AI128:AM128"/>
    <mergeCell ref="AN128:AR128"/>
    <mergeCell ref="AI127:AM127"/>
    <mergeCell ref="AN127:AR127"/>
    <mergeCell ref="AS127:AW127"/>
    <mergeCell ref="AX127:BA127"/>
    <mergeCell ref="BB127:BF127"/>
    <mergeCell ref="BG127:BK127"/>
    <mergeCell ref="BB126:BF126"/>
    <mergeCell ref="BG126:BK126"/>
    <mergeCell ref="BL126:BP126"/>
    <mergeCell ref="BQ126:BT126"/>
    <mergeCell ref="BU126:BY126"/>
    <mergeCell ref="A127:C127"/>
    <mergeCell ref="D127:T127"/>
    <mergeCell ref="U127:Y127"/>
    <mergeCell ref="Z127:AD127"/>
    <mergeCell ref="AE127:AH127"/>
    <mergeCell ref="BU125:BY125"/>
    <mergeCell ref="A126:C126"/>
    <mergeCell ref="D126:T126"/>
    <mergeCell ref="U126:Y126"/>
    <mergeCell ref="Z126:AD126"/>
    <mergeCell ref="AE126:AH126"/>
    <mergeCell ref="AI126:AM126"/>
    <mergeCell ref="AN126:AR126"/>
    <mergeCell ref="AS126:AW126"/>
    <mergeCell ref="AX126:BA126"/>
    <mergeCell ref="AS125:AW125"/>
    <mergeCell ref="AX125:BA125"/>
    <mergeCell ref="BB125:BF125"/>
    <mergeCell ref="BG125:BK125"/>
    <mergeCell ref="BL125:BP125"/>
    <mergeCell ref="BQ125:BT125"/>
    <mergeCell ref="BL124:BP124"/>
    <mergeCell ref="BQ124:BT124"/>
    <mergeCell ref="BU124:BY124"/>
    <mergeCell ref="A125:C125"/>
    <mergeCell ref="D125:T125"/>
    <mergeCell ref="U125:Y125"/>
    <mergeCell ref="Z125:AD125"/>
    <mergeCell ref="AE125:AH125"/>
    <mergeCell ref="AI125:AM125"/>
    <mergeCell ref="AN125:AR125"/>
    <mergeCell ref="AI124:AM124"/>
    <mergeCell ref="AN124:AR124"/>
    <mergeCell ref="AS124:AW124"/>
    <mergeCell ref="AX124:BA124"/>
    <mergeCell ref="BB124:BF124"/>
    <mergeCell ref="BG124:BK124"/>
    <mergeCell ref="BB123:BF123"/>
    <mergeCell ref="BG123:BK123"/>
    <mergeCell ref="BL123:BP123"/>
    <mergeCell ref="BQ123:BT123"/>
    <mergeCell ref="BU123:BY123"/>
    <mergeCell ref="A124:C124"/>
    <mergeCell ref="D124:T124"/>
    <mergeCell ref="U124:Y124"/>
    <mergeCell ref="Z124:AD124"/>
    <mergeCell ref="AE124:AH124"/>
    <mergeCell ref="A123:C123"/>
    <mergeCell ref="D123:T123"/>
    <mergeCell ref="U123:Y123"/>
    <mergeCell ref="Z123:AD123"/>
    <mergeCell ref="AE123:AH123"/>
    <mergeCell ref="AI123:AM123"/>
    <mergeCell ref="AN123:AR123"/>
    <mergeCell ref="AS123:AW123"/>
    <mergeCell ref="AX123:BA123"/>
    <mergeCell ref="BG104:BK104"/>
    <mergeCell ref="BG103:BK103"/>
    <mergeCell ref="A104:D104"/>
    <mergeCell ref="E104:W104"/>
    <mergeCell ref="X104:AB104"/>
    <mergeCell ref="AC104:AG104"/>
    <mergeCell ref="AH104:AL104"/>
    <mergeCell ref="AM104:AQ104"/>
    <mergeCell ref="AR104:AV104"/>
    <mergeCell ref="AW104:BA104"/>
    <mergeCell ref="BB104:BF104"/>
    <mergeCell ref="BG102:BK102"/>
    <mergeCell ref="A103:D103"/>
    <mergeCell ref="E103:W103"/>
    <mergeCell ref="X103:AB103"/>
    <mergeCell ref="AC103:AG103"/>
    <mergeCell ref="AH103:AL103"/>
    <mergeCell ref="AM103:AQ103"/>
    <mergeCell ref="AR103:AV103"/>
    <mergeCell ref="AW103:BA103"/>
    <mergeCell ref="BB103:BF103"/>
    <mergeCell ref="BG101:BK101"/>
    <mergeCell ref="A102:D102"/>
    <mergeCell ref="E102:W102"/>
    <mergeCell ref="X102:AB102"/>
    <mergeCell ref="AC102:AG102"/>
    <mergeCell ref="AH102:AL102"/>
    <mergeCell ref="AM102:AQ102"/>
    <mergeCell ref="AR102:AV102"/>
    <mergeCell ref="AW102:BA102"/>
    <mergeCell ref="BB102:BF102"/>
    <mergeCell ref="BG100:BK100"/>
    <mergeCell ref="A101:D101"/>
    <mergeCell ref="E101:W101"/>
    <mergeCell ref="X101:AB101"/>
    <mergeCell ref="AC101:AG101"/>
    <mergeCell ref="AH101:AL101"/>
    <mergeCell ref="AM101:AQ101"/>
    <mergeCell ref="AR101:AV101"/>
    <mergeCell ref="AW101:BA101"/>
    <mergeCell ref="BB101:BF101"/>
    <mergeCell ref="BG99:BK99"/>
    <mergeCell ref="A100:D100"/>
    <mergeCell ref="E100:W100"/>
    <mergeCell ref="X100:AB100"/>
    <mergeCell ref="AC100:AG100"/>
    <mergeCell ref="AH100:AL100"/>
    <mergeCell ref="AM100:AQ100"/>
    <mergeCell ref="AR100:AV100"/>
    <mergeCell ref="AW100:BA100"/>
    <mergeCell ref="BB100:BF100"/>
    <mergeCell ref="BG98:BK98"/>
    <mergeCell ref="A99:D99"/>
    <mergeCell ref="E99:W99"/>
    <mergeCell ref="X99:AB99"/>
    <mergeCell ref="AC99:AG99"/>
    <mergeCell ref="AH99:AL99"/>
    <mergeCell ref="AM99:AQ99"/>
    <mergeCell ref="AR99:AV99"/>
    <mergeCell ref="AW99:BA99"/>
    <mergeCell ref="BB99:BF99"/>
    <mergeCell ref="BG97:BK97"/>
    <mergeCell ref="A98:D98"/>
    <mergeCell ref="E98:W98"/>
    <mergeCell ref="X98:AB98"/>
    <mergeCell ref="AC98:AG98"/>
    <mergeCell ref="AH98:AL98"/>
    <mergeCell ref="AM98:AQ98"/>
    <mergeCell ref="AR98:AV98"/>
    <mergeCell ref="AW98:BA98"/>
    <mergeCell ref="BB98:BF98"/>
    <mergeCell ref="BG96:BK96"/>
    <mergeCell ref="A97:D97"/>
    <mergeCell ref="E97:W97"/>
    <mergeCell ref="X97:AB97"/>
    <mergeCell ref="AC97:AG97"/>
    <mergeCell ref="AH97:AL97"/>
    <mergeCell ref="AM97:AQ97"/>
    <mergeCell ref="AR97:AV97"/>
    <mergeCell ref="AW97:BA97"/>
    <mergeCell ref="BB97:BF97"/>
    <mergeCell ref="BG95:BK95"/>
    <mergeCell ref="A96:D96"/>
    <mergeCell ref="E96:W96"/>
    <mergeCell ref="X96:AB96"/>
    <mergeCell ref="AC96:AG96"/>
    <mergeCell ref="AH96:AL96"/>
    <mergeCell ref="AM96:AQ96"/>
    <mergeCell ref="AR96:AV96"/>
    <mergeCell ref="AW96:BA96"/>
    <mergeCell ref="BB96:BF96"/>
    <mergeCell ref="BG94:BK94"/>
    <mergeCell ref="A95:D95"/>
    <mergeCell ref="E95:W95"/>
    <mergeCell ref="X95:AB95"/>
    <mergeCell ref="AC95:AG95"/>
    <mergeCell ref="AH95:AL95"/>
    <mergeCell ref="AM95:AQ95"/>
    <mergeCell ref="AR95:AV95"/>
    <mergeCell ref="AW95:BA95"/>
    <mergeCell ref="BB95:BF95"/>
    <mergeCell ref="BG93:BK93"/>
    <mergeCell ref="A94:D94"/>
    <mergeCell ref="E94:W94"/>
    <mergeCell ref="X94:AB94"/>
    <mergeCell ref="AC94:AG94"/>
    <mergeCell ref="AH94:AL94"/>
    <mergeCell ref="AM94:AQ94"/>
    <mergeCell ref="AR94:AV94"/>
    <mergeCell ref="AW94:BA94"/>
    <mergeCell ref="BB94:BF94"/>
    <mergeCell ref="BG92:BK92"/>
    <mergeCell ref="A93:D93"/>
    <mergeCell ref="E93:W93"/>
    <mergeCell ref="X93:AB93"/>
    <mergeCell ref="AC93:AG93"/>
    <mergeCell ref="AH93:AL93"/>
    <mergeCell ref="AM93:AQ93"/>
    <mergeCell ref="AR93:AV93"/>
    <mergeCell ref="AW93:BA93"/>
    <mergeCell ref="BB93:BF93"/>
    <mergeCell ref="BG91:BK91"/>
    <mergeCell ref="A92:D92"/>
    <mergeCell ref="E92:W92"/>
    <mergeCell ref="X92:AB92"/>
    <mergeCell ref="AC92:AG92"/>
    <mergeCell ref="AH92:AL92"/>
    <mergeCell ref="AM92:AQ92"/>
    <mergeCell ref="AR92:AV92"/>
    <mergeCell ref="AW92:BA92"/>
    <mergeCell ref="BB92:BF92"/>
    <mergeCell ref="A91:D91"/>
    <mergeCell ref="E91:W91"/>
    <mergeCell ref="X91:AB91"/>
    <mergeCell ref="AC91:AG91"/>
    <mergeCell ref="AH91:AL91"/>
    <mergeCell ref="BL74:BP74"/>
    <mergeCell ref="BQ74:BT74"/>
    <mergeCell ref="BU74:BY74"/>
    <mergeCell ref="AI74:AM74"/>
    <mergeCell ref="AN74:AR74"/>
    <mergeCell ref="AS74:AW74"/>
    <mergeCell ref="AX74:BA74"/>
    <mergeCell ref="BB74:BF74"/>
    <mergeCell ref="BG74:BK74"/>
    <mergeCell ref="BB73:BF73"/>
    <mergeCell ref="BG73:BK73"/>
    <mergeCell ref="BL73:BP73"/>
    <mergeCell ref="BQ73:BT73"/>
    <mergeCell ref="BU73:BY73"/>
    <mergeCell ref="A74:D74"/>
    <mergeCell ref="E74:T74"/>
    <mergeCell ref="U74:Y74"/>
    <mergeCell ref="Z74:AD74"/>
    <mergeCell ref="AE74:AH74"/>
    <mergeCell ref="BU72:BY72"/>
    <mergeCell ref="A73:D73"/>
    <mergeCell ref="E73:T73"/>
    <mergeCell ref="U73:Y73"/>
    <mergeCell ref="Z73:AD73"/>
    <mergeCell ref="AE73:AH73"/>
    <mergeCell ref="AI73:AM73"/>
    <mergeCell ref="AN73:AR73"/>
    <mergeCell ref="AS73:AW73"/>
    <mergeCell ref="AX73:BA73"/>
    <mergeCell ref="AS72:AW72"/>
    <mergeCell ref="AX72:BA72"/>
    <mergeCell ref="BB72:BF72"/>
    <mergeCell ref="BG72:BK72"/>
    <mergeCell ref="BL72:BP72"/>
    <mergeCell ref="BQ72:BT72"/>
    <mergeCell ref="BL71:BP71"/>
    <mergeCell ref="BQ71:BT71"/>
    <mergeCell ref="BU71:BY71"/>
    <mergeCell ref="A72:D72"/>
    <mergeCell ref="E72:T72"/>
    <mergeCell ref="U72:Y72"/>
    <mergeCell ref="Z72:AD72"/>
    <mergeCell ref="AE72:AH72"/>
    <mergeCell ref="AI72:AM72"/>
    <mergeCell ref="AN72:AR72"/>
    <mergeCell ref="AI71:AM71"/>
    <mergeCell ref="AN71:AR71"/>
    <mergeCell ref="AS71:AW71"/>
    <mergeCell ref="AX71:BA71"/>
    <mergeCell ref="BB71:BF71"/>
    <mergeCell ref="BG71:BK71"/>
    <mergeCell ref="BB70:BF70"/>
    <mergeCell ref="BG70:BK70"/>
    <mergeCell ref="BL70:BP70"/>
    <mergeCell ref="BQ70:BT70"/>
    <mergeCell ref="BU70:BY70"/>
    <mergeCell ref="A71:D71"/>
    <mergeCell ref="E71:T71"/>
    <mergeCell ref="U71:Y71"/>
    <mergeCell ref="Z71:AD71"/>
    <mergeCell ref="AE71:AH71"/>
    <mergeCell ref="BU69:BY69"/>
    <mergeCell ref="A70:D70"/>
    <mergeCell ref="E70:T70"/>
    <mergeCell ref="U70:Y70"/>
    <mergeCell ref="Z70:AD70"/>
    <mergeCell ref="AE70:AH70"/>
    <mergeCell ref="AI70:AM70"/>
    <mergeCell ref="AN70:AR70"/>
    <mergeCell ref="AS70:AW70"/>
    <mergeCell ref="AX70:BA70"/>
    <mergeCell ref="AS69:AW69"/>
    <mergeCell ref="AX69:BA69"/>
    <mergeCell ref="BB69:BF69"/>
    <mergeCell ref="BG69:BK69"/>
    <mergeCell ref="BL69:BP69"/>
    <mergeCell ref="BQ69:BT69"/>
    <mergeCell ref="BL68:BP68"/>
    <mergeCell ref="BQ68:BT68"/>
    <mergeCell ref="BU68:BY68"/>
    <mergeCell ref="A69:D69"/>
    <mergeCell ref="E69:T69"/>
    <mergeCell ref="U69:Y69"/>
    <mergeCell ref="Z69:AD69"/>
    <mergeCell ref="AE69:AH69"/>
    <mergeCell ref="AI69:AM69"/>
    <mergeCell ref="AN69:AR69"/>
    <mergeCell ref="AI68:AM68"/>
    <mergeCell ref="AN68:AR68"/>
    <mergeCell ref="AS68:AW68"/>
    <mergeCell ref="AX68:BA68"/>
    <mergeCell ref="BB68:BF68"/>
    <mergeCell ref="BG68:BK68"/>
    <mergeCell ref="BB67:BF67"/>
    <mergeCell ref="BG67:BK67"/>
    <mergeCell ref="BL67:BP67"/>
    <mergeCell ref="BQ67:BT67"/>
    <mergeCell ref="BU67:BY67"/>
    <mergeCell ref="A68:D68"/>
    <mergeCell ref="E68:T68"/>
    <mergeCell ref="U68:Y68"/>
    <mergeCell ref="Z68:AD68"/>
    <mergeCell ref="AE68:AH68"/>
    <mergeCell ref="BU66:BY66"/>
    <mergeCell ref="A67:D67"/>
    <mergeCell ref="E67:T67"/>
    <mergeCell ref="U67:Y67"/>
    <mergeCell ref="Z67:AD67"/>
    <mergeCell ref="AE67:AH67"/>
    <mergeCell ref="AI67:AM67"/>
    <mergeCell ref="AN67:AR67"/>
    <mergeCell ref="AS67:AW67"/>
    <mergeCell ref="AX67:BA67"/>
    <mergeCell ref="AS66:AW66"/>
    <mergeCell ref="AX66:BA66"/>
    <mergeCell ref="BB66:BF66"/>
    <mergeCell ref="BG66:BK66"/>
    <mergeCell ref="BL66:BP66"/>
    <mergeCell ref="BQ66:BT66"/>
    <mergeCell ref="BL65:BP65"/>
    <mergeCell ref="BQ65:BT65"/>
    <mergeCell ref="BU65:BY65"/>
    <mergeCell ref="A66:D66"/>
    <mergeCell ref="E66:T66"/>
    <mergeCell ref="U66:Y66"/>
    <mergeCell ref="Z66:AD66"/>
    <mergeCell ref="AE66:AH66"/>
    <mergeCell ref="AI66:AM66"/>
    <mergeCell ref="AN66:AR66"/>
    <mergeCell ref="AI65:AM65"/>
    <mergeCell ref="AN65:AR65"/>
    <mergeCell ref="AS65:AW65"/>
    <mergeCell ref="AX65:BA65"/>
    <mergeCell ref="BB65:BF65"/>
    <mergeCell ref="BG65:BK65"/>
    <mergeCell ref="BB64:BF64"/>
    <mergeCell ref="BG64:BK64"/>
    <mergeCell ref="BL64:BP64"/>
    <mergeCell ref="BQ64:BT64"/>
    <mergeCell ref="BU64:BY64"/>
    <mergeCell ref="A65:D65"/>
    <mergeCell ref="E65:T65"/>
    <mergeCell ref="U65:Y65"/>
    <mergeCell ref="Z65:AD65"/>
    <mergeCell ref="AE65:AH65"/>
    <mergeCell ref="BU63:BY63"/>
    <mergeCell ref="A64:D64"/>
    <mergeCell ref="E64:T64"/>
    <mergeCell ref="U64:Y64"/>
    <mergeCell ref="Z64:AD64"/>
    <mergeCell ref="AE64:AH64"/>
    <mergeCell ref="AI64:AM64"/>
    <mergeCell ref="AN64:AR64"/>
    <mergeCell ref="AS64:AW64"/>
    <mergeCell ref="AX64:BA64"/>
    <mergeCell ref="AS63:AW63"/>
    <mergeCell ref="AX63:BA63"/>
    <mergeCell ref="BB63:BF63"/>
    <mergeCell ref="BG63:BK63"/>
    <mergeCell ref="BL63:BP63"/>
    <mergeCell ref="BQ63:BT63"/>
    <mergeCell ref="BL62:BP62"/>
    <mergeCell ref="BQ62:BT62"/>
    <mergeCell ref="BU62:BY62"/>
    <mergeCell ref="A63:D63"/>
    <mergeCell ref="E63:T63"/>
    <mergeCell ref="U63:Y63"/>
    <mergeCell ref="Z63:AD63"/>
    <mergeCell ref="AE63:AH63"/>
    <mergeCell ref="AI63:AM63"/>
    <mergeCell ref="AN63:AR63"/>
    <mergeCell ref="AI62:AM62"/>
    <mergeCell ref="AN62:AR62"/>
    <mergeCell ref="AS62:AW62"/>
    <mergeCell ref="AX62:BA62"/>
    <mergeCell ref="BB62:BF62"/>
    <mergeCell ref="BG62:BK62"/>
    <mergeCell ref="BB61:BF61"/>
    <mergeCell ref="BG61:BK61"/>
    <mergeCell ref="BL61:BP61"/>
    <mergeCell ref="BQ61:BT61"/>
    <mergeCell ref="BU61:BY61"/>
    <mergeCell ref="A62:D62"/>
    <mergeCell ref="E62:T62"/>
    <mergeCell ref="U62:Y62"/>
    <mergeCell ref="Z62:AD62"/>
    <mergeCell ref="AE62:AH62"/>
    <mergeCell ref="A61:D61"/>
    <mergeCell ref="E61:T61"/>
    <mergeCell ref="U61:Y61"/>
    <mergeCell ref="Z61:AD61"/>
    <mergeCell ref="AE61:AH61"/>
    <mergeCell ref="AI61:AM61"/>
    <mergeCell ref="AN61:AR61"/>
    <mergeCell ref="AS61:AW61"/>
    <mergeCell ref="AX61:BA61"/>
    <mergeCell ref="BG50:BK50"/>
    <mergeCell ref="BG49:BK49"/>
    <mergeCell ref="A50:D50"/>
    <mergeCell ref="E50:W50"/>
    <mergeCell ref="X50:AB50"/>
    <mergeCell ref="AC50:AG50"/>
    <mergeCell ref="AH50:AL50"/>
    <mergeCell ref="AM50:AQ50"/>
    <mergeCell ref="AR50:AV50"/>
    <mergeCell ref="AW50:BA50"/>
    <mergeCell ref="BB50:BF50"/>
    <mergeCell ref="BG48:BK48"/>
    <mergeCell ref="A49:D49"/>
    <mergeCell ref="E49:W49"/>
    <mergeCell ref="X49:AB49"/>
    <mergeCell ref="AC49:AG49"/>
    <mergeCell ref="AH49:AL49"/>
    <mergeCell ref="AM49:AQ49"/>
    <mergeCell ref="AR49:AV49"/>
    <mergeCell ref="AW49:BA49"/>
    <mergeCell ref="BB49:BF49"/>
    <mergeCell ref="BG47:BK47"/>
    <mergeCell ref="A48:D48"/>
    <mergeCell ref="E48:W48"/>
    <mergeCell ref="X48:AB48"/>
    <mergeCell ref="AC48:AG48"/>
    <mergeCell ref="AH48:AL48"/>
    <mergeCell ref="AM48:AQ48"/>
    <mergeCell ref="AR48:AV48"/>
    <mergeCell ref="AW48:BA48"/>
    <mergeCell ref="BB48:BF48"/>
    <mergeCell ref="BG46:BK46"/>
    <mergeCell ref="A47:D47"/>
    <mergeCell ref="E47:W47"/>
    <mergeCell ref="X47:AB47"/>
    <mergeCell ref="AC47:AG47"/>
    <mergeCell ref="AH47:AL47"/>
    <mergeCell ref="AM47:AQ47"/>
    <mergeCell ref="AR47:AV47"/>
    <mergeCell ref="AW47:BA47"/>
    <mergeCell ref="BB47:BF47"/>
    <mergeCell ref="BG45:BK45"/>
    <mergeCell ref="A46:D46"/>
    <mergeCell ref="E46:W46"/>
    <mergeCell ref="X46:AB46"/>
    <mergeCell ref="AC46:AG46"/>
    <mergeCell ref="AH46:AL46"/>
    <mergeCell ref="AM46:AQ46"/>
    <mergeCell ref="AR46:AV46"/>
    <mergeCell ref="AW46:BA46"/>
    <mergeCell ref="BB46:BF46"/>
    <mergeCell ref="A45:D45"/>
    <mergeCell ref="E45:W45"/>
    <mergeCell ref="X45:AB45"/>
    <mergeCell ref="AC45:AG45"/>
    <mergeCell ref="AH45:AL45"/>
    <mergeCell ref="BU36:BY36"/>
    <mergeCell ref="AS36:AW36"/>
    <mergeCell ref="AX36:BA36"/>
    <mergeCell ref="BB36:BF36"/>
    <mergeCell ref="BG36:BK36"/>
    <mergeCell ref="BL36:BP36"/>
    <mergeCell ref="BQ36:BT36"/>
    <mergeCell ref="BL35:BP35"/>
    <mergeCell ref="BQ35:BT35"/>
    <mergeCell ref="BU35:BY35"/>
    <mergeCell ref="A36:D36"/>
    <mergeCell ref="E36:T36"/>
    <mergeCell ref="U36:Y36"/>
    <mergeCell ref="Z36:AD36"/>
    <mergeCell ref="AE36:AH36"/>
    <mergeCell ref="AI36:AM36"/>
    <mergeCell ref="AN36:AR36"/>
    <mergeCell ref="AI35:AM35"/>
    <mergeCell ref="AN35:AR35"/>
    <mergeCell ref="AS35:AW35"/>
    <mergeCell ref="AX35:BA35"/>
    <mergeCell ref="BB35:BF35"/>
    <mergeCell ref="BG35:BK35"/>
    <mergeCell ref="BB34:BF34"/>
    <mergeCell ref="BG34:BK34"/>
    <mergeCell ref="BL34:BP34"/>
    <mergeCell ref="BQ34:BT34"/>
    <mergeCell ref="BU34:BY34"/>
    <mergeCell ref="A35:D35"/>
    <mergeCell ref="E35:T35"/>
    <mergeCell ref="U35:Y35"/>
    <mergeCell ref="Z35:AD35"/>
    <mergeCell ref="AE35:AH35"/>
    <mergeCell ref="BU33:BY33"/>
    <mergeCell ref="A34:D34"/>
    <mergeCell ref="E34:T34"/>
    <mergeCell ref="U34:Y34"/>
    <mergeCell ref="Z34:AD34"/>
    <mergeCell ref="AE34:AH34"/>
    <mergeCell ref="AI34:AM34"/>
    <mergeCell ref="AN34:AR34"/>
    <mergeCell ref="AS34:AW34"/>
    <mergeCell ref="AX34:BA34"/>
    <mergeCell ref="AS33:AW33"/>
    <mergeCell ref="AX33:BA33"/>
    <mergeCell ref="BB33:BF33"/>
    <mergeCell ref="BG33:BK33"/>
    <mergeCell ref="BL33:BP33"/>
    <mergeCell ref="BQ33:BT33"/>
    <mergeCell ref="BL32:BP32"/>
    <mergeCell ref="BQ32:BT32"/>
    <mergeCell ref="BU32:BY32"/>
    <mergeCell ref="A33:D33"/>
    <mergeCell ref="E33:T33"/>
    <mergeCell ref="U33:Y33"/>
    <mergeCell ref="Z33:AD33"/>
    <mergeCell ref="AE33:AH33"/>
    <mergeCell ref="AI33:AM33"/>
    <mergeCell ref="AN33:AR33"/>
    <mergeCell ref="AI32:AM32"/>
    <mergeCell ref="AN32:AR32"/>
    <mergeCell ref="AS32:AW32"/>
    <mergeCell ref="AX32:BA32"/>
    <mergeCell ref="BB32:BF32"/>
    <mergeCell ref="BG32:BK32"/>
    <mergeCell ref="BB31:BF31"/>
    <mergeCell ref="BG31:BK31"/>
    <mergeCell ref="BL31:BP31"/>
    <mergeCell ref="BQ31:BT31"/>
    <mergeCell ref="BU31:BY31"/>
    <mergeCell ref="A32:D32"/>
    <mergeCell ref="E32:T32"/>
    <mergeCell ref="U32:Y32"/>
    <mergeCell ref="Z32:AD32"/>
    <mergeCell ref="AE32:AH32"/>
    <mergeCell ref="A431:AA431"/>
    <mergeCell ref="AH431:AP431"/>
    <mergeCell ref="AU431:BF431"/>
    <mergeCell ref="AH432:AP432"/>
    <mergeCell ref="AU432:BF432"/>
    <mergeCell ref="A31:D31"/>
    <mergeCell ref="E31:T31"/>
    <mergeCell ref="U31:Y31"/>
    <mergeCell ref="Z31:AD31"/>
    <mergeCell ref="AE31:AH31"/>
    <mergeCell ref="A424:BL424"/>
    <mergeCell ref="A428:AA428"/>
    <mergeCell ref="AH428:AP428"/>
    <mergeCell ref="AU428:BF428"/>
    <mergeCell ref="AH429:AP429"/>
    <mergeCell ref="AU429:BF429"/>
    <mergeCell ref="AW416:BD416"/>
    <mergeCell ref="BE416:BL416"/>
    <mergeCell ref="A418:BL418"/>
    <mergeCell ref="A419:BL419"/>
    <mergeCell ref="A422:BL422"/>
    <mergeCell ref="A423:BL423"/>
    <mergeCell ref="AQ415:AV415"/>
    <mergeCell ref="AW415:BD415"/>
    <mergeCell ref="BE415:BL415"/>
    <mergeCell ref="A416:F416"/>
    <mergeCell ref="G416:S416"/>
    <mergeCell ref="T416:Y416"/>
    <mergeCell ref="Z416:AD416"/>
    <mergeCell ref="AE416:AJ416"/>
    <mergeCell ref="AK416:AP416"/>
    <mergeCell ref="AQ416:AV416"/>
    <mergeCell ref="A415:F415"/>
    <mergeCell ref="G415:S415"/>
    <mergeCell ref="T415:Y415"/>
    <mergeCell ref="Z415:AD415"/>
    <mergeCell ref="AE415:AJ415"/>
    <mergeCell ref="AK415:AP415"/>
    <mergeCell ref="BE412:BL413"/>
    <mergeCell ref="A414:F414"/>
    <mergeCell ref="G414:S414"/>
    <mergeCell ref="T414:Y414"/>
    <mergeCell ref="Z414:AD414"/>
    <mergeCell ref="AE414:AJ414"/>
    <mergeCell ref="AK414:AP414"/>
    <mergeCell ref="AQ414:AV414"/>
    <mergeCell ref="AW414:BD414"/>
    <mergeCell ref="BE414:BL414"/>
    <mergeCell ref="A410:BL410"/>
    <mergeCell ref="A411:BL411"/>
    <mergeCell ref="A412:F413"/>
    <mergeCell ref="G412:S413"/>
    <mergeCell ref="T412:Y413"/>
    <mergeCell ref="Z412:AD413"/>
    <mergeCell ref="AE412:AJ413"/>
    <mergeCell ref="AK412:AP413"/>
    <mergeCell ref="AQ412:AV413"/>
    <mergeCell ref="AW412:BD413"/>
    <mergeCell ref="AJ408:AN408"/>
    <mergeCell ref="AO408:AS408"/>
    <mergeCell ref="AT408:AW408"/>
    <mergeCell ref="AX408:BB408"/>
    <mergeCell ref="BC408:BG408"/>
    <mergeCell ref="BH408:BL408"/>
    <mergeCell ref="A408:F408"/>
    <mergeCell ref="G408:P408"/>
    <mergeCell ref="Q408:U408"/>
    <mergeCell ref="V408:Y408"/>
    <mergeCell ref="Z408:AD408"/>
    <mergeCell ref="AE408:AI408"/>
    <mergeCell ref="AJ407:AN407"/>
    <mergeCell ref="AO407:AS407"/>
    <mergeCell ref="AT407:AW407"/>
    <mergeCell ref="AX407:BB407"/>
    <mergeCell ref="BC407:BG407"/>
    <mergeCell ref="BH407:BL407"/>
    <mergeCell ref="A407:F407"/>
    <mergeCell ref="G407:P407"/>
    <mergeCell ref="Q407:U407"/>
    <mergeCell ref="V407:Y407"/>
    <mergeCell ref="Z407:AD407"/>
    <mergeCell ref="AE407:AI407"/>
    <mergeCell ref="AJ406:AN406"/>
    <mergeCell ref="AO406:AS406"/>
    <mergeCell ref="AT406:AW406"/>
    <mergeCell ref="AX406:BB406"/>
    <mergeCell ref="BC406:BG406"/>
    <mergeCell ref="BH406:BL406"/>
    <mergeCell ref="A406:F406"/>
    <mergeCell ref="G406:P406"/>
    <mergeCell ref="Q406:U406"/>
    <mergeCell ref="V406:Y406"/>
    <mergeCell ref="Z406:AD406"/>
    <mergeCell ref="AE406:AI406"/>
    <mergeCell ref="AT404:AW405"/>
    <mergeCell ref="AX404:BG404"/>
    <mergeCell ref="BH404:BL405"/>
    <mergeCell ref="Z405:AD405"/>
    <mergeCell ref="AE405:AI405"/>
    <mergeCell ref="AX405:BB405"/>
    <mergeCell ref="BC405:BG405"/>
    <mergeCell ref="A402:BL402"/>
    <mergeCell ref="A403:F405"/>
    <mergeCell ref="G403:P405"/>
    <mergeCell ref="Q403:AN403"/>
    <mergeCell ref="AO403:BL403"/>
    <mergeCell ref="Q404:U405"/>
    <mergeCell ref="V404:Y405"/>
    <mergeCell ref="Z404:AI404"/>
    <mergeCell ref="AJ404:AN405"/>
    <mergeCell ref="AO404:AS405"/>
    <mergeCell ref="AK399:AP399"/>
    <mergeCell ref="AQ399:AV399"/>
    <mergeCell ref="AW399:BA399"/>
    <mergeCell ref="BB399:BF399"/>
    <mergeCell ref="BG399:BL399"/>
    <mergeCell ref="A401:BL401"/>
    <mergeCell ref="AK398:AP398"/>
    <mergeCell ref="AQ398:AV398"/>
    <mergeCell ref="AW398:BA398"/>
    <mergeCell ref="BB398:BF398"/>
    <mergeCell ref="BG398:BL398"/>
    <mergeCell ref="A399:F399"/>
    <mergeCell ref="G399:S399"/>
    <mergeCell ref="T399:Y399"/>
    <mergeCell ref="Z399:AD399"/>
    <mergeCell ref="AE399:AJ399"/>
    <mergeCell ref="AK397:AP397"/>
    <mergeCell ref="AQ397:AV397"/>
    <mergeCell ref="AW397:BA397"/>
    <mergeCell ref="BB397:BF397"/>
    <mergeCell ref="BG397:BL397"/>
    <mergeCell ref="A398:F398"/>
    <mergeCell ref="G398:S398"/>
    <mergeCell ref="T398:Y398"/>
    <mergeCell ref="Z398:AD398"/>
    <mergeCell ref="AE398:AJ398"/>
    <mergeCell ref="AQ395:AV396"/>
    <mergeCell ref="AW395:BF395"/>
    <mergeCell ref="BG395:BL396"/>
    <mergeCell ref="AW396:BA396"/>
    <mergeCell ref="BB396:BF396"/>
    <mergeCell ref="A397:F397"/>
    <mergeCell ref="G397:S397"/>
    <mergeCell ref="T397:Y397"/>
    <mergeCell ref="Z397:AD397"/>
    <mergeCell ref="AE397:AJ397"/>
    <mergeCell ref="A395:F396"/>
    <mergeCell ref="G395:S396"/>
    <mergeCell ref="T395:Y396"/>
    <mergeCell ref="Z395:AD396"/>
    <mergeCell ref="AE395:AJ396"/>
    <mergeCell ref="AK395:AP396"/>
    <mergeCell ref="BP385:BS385"/>
    <mergeCell ref="A388:BL388"/>
    <mergeCell ref="A389:BL389"/>
    <mergeCell ref="A392:BL392"/>
    <mergeCell ref="A393:BL393"/>
    <mergeCell ref="A394:BL394"/>
    <mergeCell ref="AO385:AR385"/>
    <mergeCell ref="AS385:AW385"/>
    <mergeCell ref="AX385:BA385"/>
    <mergeCell ref="BB385:BF385"/>
    <mergeCell ref="BG385:BJ385"/>
    <mergeCell ref="BK385:BO385"/>
    <mergeCell ref="BB384:BF384"/>
    <mergeCell ref="BG384:BJ384"/>
    <mergeCell ref="BK384:BO384"/>
    <mergeCell ref="BP384:BS384"/>
    <mergeCell ref="A385:M385"/>
    <mergeCell ref="N385:U385"/>
    <mergeCell ref="V385:Z385"/>
    <mergeCell ref="AA385:AE385"/>
    <mergeCell ref="AF385:AI385"/>
    <mergeCell ref="AJ385:AN385"/>
    <mergeCell ref="BP383:BS383"/>
    <mergeCell ref="A384:M384"/>
    <mergeCell ref="N384:U384"/>
    <mergeCell ref="V384:Z384"/>
    <mergeCell ref="AA384:AE384"/>
    <mergeCell ref="AF384:AI384"/>
    <mergeCell ref="AJ384:AN384"/>
    <mergeCell ref="AO384:AR384"/>
    <mergeCell ref="AS384:AW384"/>
    <mergeCell ref="AX384:BA384"/>
    <mergeCell ref="AO383:AR383"/>
    <mergeCell ref="AS383:AW383"/>
    <mergeCell ref="AX383:BA383"/>
    <mergeCell ref="BB383:BF383"/>
    <mergeCell ref="BG383:BJ383"/>
    <mergeCell ref="BK383:BO383"/>
    <mergeCell ref="BB382:BF382"/>
    <mergeCell ref="BG382:BJ382"/>
    <mergeCell ref="BK382:BO382"/>
    <mergeCell ref="BP382:BS382"/>
    <mergeCell ref="A383:M383"/>
    <mergeCell ref="N383:U383"/>
    <mergeCell ref="V383:Z383"/>
    <mergeCell ref="AA383:AE383"/>
    <mergeCell ref="AF383:AI383"/>
    <mergeCell ref="AJ383:AN383"/>
    <mergeCell ref="AA382:AE382"/>
    <mergeCell ref="AF382:AI382"/>
    <mergeCell ref="AJ382:AN382"/>
    <mergeCell ref="AO382:AR382"/>
    <mergeCell ref="AS382:AW382"/>
    <mergeCell ref="AX382:BA382"/>
    <mergeCell ref="A379:BL379"/>
    <mergeCell ref="A380:BM380"/>
    <mergeCell ref="A381:M382"/>
    <mergeCell ref="N381:U382"/>
    <mergeCell ref="V381:Z382"/>
    <mergeCell ref="AA381:AI381"/>
    <mergeCell ref="AJ381:AR381"/>
    <mergeCell ref="AS381:BA381"/>
    <mergeCell ref="BB381:BJ381"/>
    <mergeCell ref="BK381:BS381"/>
    <mergeCell ref="AZ373:BD373"/>
    <mergeCell ref="A374:F374"/>
    <mergeCell ref="G374:S374"/>
    <mergeCell ref="T374:Z374"/>
    <mergeCell ref="AA374:AE374"/>
    <mergeCell ref="AF374:AJ374"/>
    <mergeCell ref="AK374:AO374"/>
    <mergeCell ref="AP374:AT374"/>
    <mergeCell ref="AU374:AY374"/>
    <mergeCell ref="AZ374:BD374"/>
    <mergeCell ref="AU372:AY372"/>
    <mergeCell ref="AZ372:BD372"/>
    <mergeCell ref="A373:F373"/>
    <mergeCell ref="G373:S373"/>
    <mergeCell ref="T373:Z373"/>
    <mergeCell ref="AA373:AE373"/>
    <mergeCell ref="AF373:AJ373"/>
    <mergeCell ref="AK373:AO373"/>
    <mergeCell ref="AP373:AT373"/>
    <mergeCell ref="AU373:AY373"/>
    <mergeCell ref="AP371:AT371"/>
    <mergeCell ref="AU371:AY371"/>
    <mergeCell ref="AZ371:BD371"/>
    <mergeCell ref="A372:F372"/>
    <mergeCell ref="G372:S372"/>
    <mergeCell ref="T372:Z372"/>
    <mergeCell ref="AA372:AE372"/>
    <mergeCell ref="AF372:AJ372"/>
    <mergeCell ref="AK372:AO372"/>
    <mergeCell ref="AP372:AT372"/>
    <mergeCell ref="A368:BL368"/>
    <mergeCell ref="A369:BD369"/>
    <mergeCell ref="A370:F371"/>
    <mergeCell ref="G370:S371"/>
    <mergeCell ref="T370:Z371"/>
    <mergeCell ref="AA370:AO370"/>
    <mergeCell ref="AP370:BD370"/>
    <mergeCell ref="AA371:AE371"/>
    <mergeCell ref="AF371:AJ371"/>
    <mergeCell ref="AK371:AO371"/>
    <mergeCell ref="AP364:AT364"/>
    <mergeCell ref="AU364:AY364"/>
    <mergeCell ref="AZ364:BD364"/>
    <mergeCell ref="BE364:BI364"/>
    <mergeCell ref="BJ364:BN364"/>
    <mergeCell ref="BO364:BS364"/>
    <mergeCell ref="A364:F364"/>
    <mergeCell ref="G364:S364"/>
    <mergeCell ref="T364:Z364"/>
    <mergeCell ref="AA364:AE364"/>
    <mergeCell ref="AF364:AJ364"/>
    <mergeCell ref="AK364:AO364"/>
    <mergeCell ref="AP363:AT363"/>
    <mergeCell ref="AU363:AY363"/>
    <mergeCell ref="AZ363:BD363"/>
    <mergeCell ref="BE363:BI363"/>
    <mergeCell ref="BJ363:BN363"/>
    <mergeCell ref="BO363:BS363"/>
    <mergeCell ref="A363:F363"/>
    <mergeCell ref="G363:S363"/>
    <mergeCell ref="T363:Z363"/>
    <mergeCell ref="AA363:AE363"/>
    <mergeCell ref="AF363:AJ363"/>
    <mergeCell ref="AK363:AO363"/>
    <mergeCell ref="AP362:AT362"/>
    <mergeCell ref="AU362:AY362"/>
    <mergeCell ref="AZ362:BD362"/>
    <mergeCell ref="BE362:BI362"/>
    <mergeCell ref="BJ362:BN362"/>
    <mergeCell ref="BO362:BS362"/>
    <mergeCell ref="A362:F362"/>
    <mergeCell ref="G362:S362"/>
    <mergeCell ref="T362:Z362"/>
    <mergeCell ref="AA362:AE362"/>
    <mergeCell ref="AF362:AJ362"/>
    <mergeCell ref="AK362:AO362"/>
    <mergeCell ref="AP361:AT361"/>
    <mergeCell ref="AU361:AY361"/>
    <mergeCell ref="AZ361:BD361"/>
    <mergeCell ref="BE361:BI361"/>
    <mergeCell ref="BJ361:BN361"/>
    <mergeCell ref="BO361:BS361"/>
    <mergeCell ref="A359:BS359"/>
    <mergeCell ref="A360:F361"/>
    <mergeCell ref="G360:S361"/>
    <mergeCell ref="T360:Z361"/>
    <mergeCell ref="AA360:AO360"/>
    <mergeCell ref="AP360:BD360"/>
    <mergeCell ref="BE360:BS360"/>
    <mergeCell ref="AA361:AE361"/>
    <mergeCell ref="AF361:AJ361"/>
    <mergeCell ref="AK361:AO361"/>
    <mergeCell ref="BA350:BC350"/>
    <mergeCell ref="BD350:BF350"/>
    <mergeCell ref="BG350:BI350"/>
    <mergeCell ref="BJ350:BL350"/>
    <mergeCell ref="A357:BL357"/>
    <mergeCell ref="A358:BS358"/>
    <mergeCell ref="AF351:AH351"/>
    <mergeCell ref="AI351:AK351"/>
    <mergeCell ref="AL351:AN351"/>
    <mergeCell ref="AO351:AQ351"/>
    <mergeCell ref="AI350:AK350"/>
    <mergeCell ref="AL350:AN350"/>
    <mergeCell ref="AO350:AQ350"/>
    <mergeCell ref="AR350:AT350"/>
    <mergeCell ref="AU350:AW350"/>
    <mergeCell ref="AX350:AZ350"/>
    <mergeCell ref="BA349:BC349"/>
    <mergeCell ref="BD349:BF349"/>
    <mergeCell ref="BG349:BI349"/>
    <mergeCell ref="BJ349:BL349"/>
    <mergeCell ref="A350:C350"/>
    <mergeCell ref="D350:V350"/>
    <mergeCell ref="W350:Y350"/>
    <mergeCell ref="Z350:AB350"/>
    <mergeCell ref="AC350:AE350"/>
    <mergeCell ref="AF350:AH350"/>
    <mergeCell ref="AI349:AK349"/>
    <mergeCell ref="AL349:AN349"/>
    <mergeCell ref="AO349:AQ349"/>
    <mergeCell ref="AR349:AT349"/>
    <mergeCell ref="AU349:AW349"/>
    <mergeCell ref="AX349:AZ349"/>
    <mergeCell ref="BA348:BC348"/>
    <mergeCell ref="BD348:BF348"/>
    <mergeCell ref="BG348:BI348"/>
    <mergeCell ref="BJ348:BL348"/>
    <mergeCell ref="A349:C349"/>
    <mergeCell ref="D349:V349"/>
    <mergeCell ref="W349:Y349"/>
    <mergeCell ref="Z349:AB349"/>
    <mergeCell ref="AC349:AE349"/>
    <mergeCell ref="AF349:AH349"/>
    <mergeCell ref="AI348:AK348"/>
    <mergeCell ref="AL348:AN348"/>
    <mergeCell ref="AO348:AQ348"/>
    <mergeCell ref="AR348:AT348"/>
    <mergeCell ref="AU348:AW348"/>
    <mergeCell ref="AX348:AZ348"/>
    <mergeCell ref="A348:C348"/>
    <mergeCell ref="D348:V348"/>
    <mergeCell ref="W348:Y348"/>
    <mergeCell ref="Z348:AB348"/>
    <mergeCell ref="AC348:AE348"/>
    <mergeCell ref="AF348:AH348"/>
    <mergeCell ref="BJ346:BL347"/>
    <mergeCell ref="W347:Y347"/>
    <mergeCell ref="Z347:AB347"/>
    <mergeCell ref="AC347:AE347"/>
    <mergeCell ref="AF347:AH347"/>
    <mergeCell ref="AI347:AK347"/>
    <mergeCell ref="AL347:AN347"/>
    <mergeCell ref="AO347:AQ347"/>
    <mergeCell ref="AR347:AT347"/>
    <mergeCell ref="BG345:BL345"/>
    <mergeCell ref="W346:AB346"/>
    <mergeCell ref="AC346:AH346"/>
    <mergeCell ref="AI346:AN346"/>
    <mergeCell ref="AO346:AT346"/>
    <mergeCell ref="AU346:AW347"/>
    <mergeCell ref="AX346:AZ347"/>
    <mergeCell ref="BA346:BC347"/>
    <mergeCell ref="BD346:BF347"/>
    <mergeCell ref="BG346:BI347"/>
    <mergeCell ref="A345:C347"/>
    <mergeCell ref="D345:V347"/>
    <mergeCell ref="W345:AH345"/>
    <mergeCell ref="AI345:AT345"/>
    <mergeCell ref="AU345:AZ345"/>
    <mergeCell ref="BA345:BF345"/>
    <mergeCell ref="AT334:AX334"/>
    <mergeCell ref="AY334:BC334"/>
    <mergeCell ref="BD334:BH334"/>
    <mergeCell ref="BI334:BM334"/>
    <mergeCell ref="BN334:BR334"/>
    <mergeCell ref="A344:BL344"/>
    <mergeCell ref="BI335:BM335"/>
    <mergeCell ref="BN335:BR335"/>
    <mergeCell ref="A336:T336"/>
    <mergeCell ref="U336:Y336"/>
    <mergeCell ref="A334:T334"/>
    <mergeCell ref="U334:Y334"/>
    <mergeCell ref="Z334:AD334"/>
    <mergeCell ref="AE334:AI334"/>
    <mergeCell ref="AJ334:AN334"/>
    <mergeCell ref="AO334:AS334"/>
    <mergeCell ref="AO333:AS333"/>
    <mergeCell ref="AT333:AX333"/>
    <mergeCell ref="AY333:BC333"/>
    <mergeCell ref="BD333:BH333"/>
    <mergeCell ref="BI333:BM333"/>
    <mergeCell ref="BN333:BR333"/>
    <mergeCell ref="AT332:AX332"/>
    <mergeCell ref="AY332:BC332"/>
    <mergeCell ref="BD332:BH332"/>
    <mergeCell ref="BI332:BM332"/>
    <mergeCell ref="BN332:BR332"/>
    <mergeCell ref="A333:T333"/>
    <mergeCell ref="U333:Y333"/>
    <mergeCell ref="Z333:AD333"/>
    <mergeCell ref="AE333:AI333"/>
    <mergeCell ref="AJ333:AN333"/>
    <mergeCell ref="A332:T332"/>
    <mergeCell ref="U332:Y332"/>
    <mergeCell ref="Z332:AD332"/>
    <mergeCell ref="AE332:AI332"/>
    <mergeCell ref="AJ332:AN332"/>
    <mergeCell ref="AO332:AS332"/>
    <mergeCell ref="AO331:AS331"/>
    <mergeCell ref="AT331:AX331"/>
    <mergeCell ref="AY331:BC331"/>
    <mergeCell ref="BD331:BH331"/>
    <mergeCell ref="BI331:BM331"/>
    <mergeCell ref="BN331:BR331"/>
    <mergeCell ref="A330:T331"/>
    <mergeCell ref="U330:AD330"/>
    <mergeCell ref="AE330:AN330"/>
    <mergeCell ref="AO330:AX330"/>
    <mergeCell ref="AY330:BH330"/>
    <mergeCell ref="BI330:BR330"/>
    <mergeCell ref="U331:Y331"/>
    <mergeCell ref="Z331:AD331"/>
    <mergeCell ref="AE331:AI331"/>
    <mergeCell ref="AJ331:AN331"/>
    <mergeCell ref="AP315:AT315"/>
    <mergeCell ref="AU315:AY315"/>
    <mergeCell ref="AZ315:BD315"/>
    <mergeCell ref="BE315:BI315"/>
    <mergeCell ref="A328:BL328"/>
    <mergeCell ref="A329:BR329"/>
    <mergeCell ref="BE316:BI316"/>
    <mergeCell ref="A317:C317"/>
    <mergeCell ref="D317:P317"/>
    <mergeCell ref="Q317:U317"/>
    <mergeCell ref="AP314:AT314"/>
    <mergeCell ref="AU314:AY314"/>
    <mergeCell ref="AZ314:BD314"/>
    <mergeCell ref="BE314:BI314"/>
    <mergeCell ref="A315:C315"/>
    <mergeCell ref="D315:P315"/>
    <mergeCell ref="Q315:U315"/>
    <mergeCell ref="V315:AE315"/>
    <mergeCell ref="AF315:AJ315"/>
    <mergeCell ref="AK315:AO315"/>
    <mergeCell ref="AP313:AT313"/>
    <mergeCell ref="AU313:AY313"/>
    <mergeCell ref="AZ313:BD313"/>
    <mergeCell ref="BE313:BI313"/>
    <mergeCell ref="A314:C314"/>
    <mergeCell ref="D314:P314"/>
    <mergeCell ref="Q314:U314"/>
    <mergeCell ref="V314:AE314"/>
    <mergeCell ref="AF314:AJ314"/>
    <mergeCell ref="AK314:AO314"/>
    <mergeCell ref="AP312:AT312"/>
    <mergeCell ref="AU312:AY312"/>
    <mergeCell ref="AZ312:BD312"/>
    <mergeCell ref="BE312:BI312"/>
    <mergeCell ref="A313:C313"/>
    <mergeCell ref="D313:P313"/>
    <mergeCell ref="Q313:U313"/>
    <mergeCell ref="V313:AE313"/>
    <mergeCell ref="AF313:AJ313"/>
    <mergeCell ref="AK313:AO313"/>
    <mergeCell ref="BT297:BX297"/>
    <mergeCell ref="A310:BL310"/>
    <mergeCell ref="A311:C312"/>
    <mergeCell ref="D311:P312"/>
    <mergeCell ref="Q311:U312"/>
    <mergeCell ref="V311:AE312"/>
    <mergeCell ref="AF311:AT311"/>
    <mergeCell ref="AU311:BI311"/>
    <mergeCell ref="AF312:AJ312"/>
    <mergeCell ref="AK312:AO312"/>
    <mergeCell ref="AP297:AT297"/>
    <mergeCell ref="AU297:AY297"/>
    <mergeCell ref="AZ297:BD297"/>
    <mergeCell ref="BE297:BI297"/>
    <mergeCell ref="BJ297:BN297"/>
    <mergeCell ref="BO297:BS297"/>
    <mergeCell ref="BE296:BI296"/>
    <mergeCell ref="BJ296:BN296"/>
    <mergeCell ref="BO296:BS296"/>
    <mergeCell ref="BT296:BX296"/>
    <mergeCell ref="A297:C297"/>
    <mergeCell ref="D297:P297"/>
    <mergeCell ref="Q297:U297"/>
    <mergeCell ref="V297:AE297"/>
    <mergeCell ref="AF297:AJ297"/>
    <mergeCell ref="AK297:AO297"/>
    <mergeCell ref="BT295:BX295"/>
    <mergeCell ref="A296:C296"/>
    <mergeCell ref="D296:P296"/>
    <mergeCell ref="Q296:U296"/>
    <mergeCell ref="V296:AE296"/>
    <mergeCell ref="AF296:AJ296"/>
    <mergeCell ref="AK296:AO296"/>
    <mergeCell ref="AP296:AT296"/>
    <mergeCell ref="AU296:AY296"/>
    <mergeCell ref="AZ296:BD296"/>
    <mergeCell ref="AP295:AT295"/>
    <mergeCell ref="AU295:AY295"/>
    <mergeCell ref="AZ295:BD295"/>
    <mergeCell ref="BE295:BI295"/>
    <mergeCell ref="BJ295:BN295"/>
    <mergeCell ref="BO295:BS295"/>
    <mergeCell ref="A295:C295"/>
    <mergeCell ref="D295:P295"/>
    <mergeCell ref="Q295:U295"/>
    <mergeCell ref="V295:AE295"/>
    <mergeCell ref="AF295:AJ295"/>
    <mergeCell ref="AK295:AO295"/>
    <mergeCell ref="BJ293:BX293"/>
    <mergeCell ref="AF294:AJ294"/>
    <mergeCell ref="AK294:AO294"/>
    <mergeCell ref="AP294:AT294"/>
    <mergeCell ref="AU294:AY294"/>
    <mergeCell ref="AZ294:BD294"/>
    <mergeCell ref="BE294:BI294"/>
    <mergeCell ref="BJ294:BN294"/>
    <mergeCell ref="BO294:BS294"/>
    <mergeCell ref="BT294:BX294"/>
    <mergeCell ref="A293:C294"/>
    <mergeCell ref="D293:P294"/>
    <mergeCell ref="Q293:U294"/>
    <mergeCell ref="V293:AE294"/>
    <mergeCell ref="AF293:AT293"/>
    <mergeCell ref="AU293:BI293"/>
    <mergeCell ref="AO209:AS209"/>
    <mergeCell ref="AT209:AX209"/>
    <mergeCell ref="AY209:BC209"/>
    <mergeCell ref="BD209:BH209"/>
    <mergeCell ref="A291:BL291"/>
    <mergeCell ref="A292:BL292"/>
    <mergeCell ref="AT210:AX210"/>
    <mergeCell ref="AY210:BC210"/>
    <mergeCell ref="BD210:BH210"/>
    <mergeCell ref="A211:C211"/>
    <mergeCell ref="AO208:AS208"/>
    <mergeCell ref="AT208:AX208"/>
    <mergeCell ref="AY208:BC208"/>
    <mergeCell ref="BD208:BH208"/>
    <mergeCell ref="A209:C209"/>
    <mergeCell ref="D209:T209"/>
    <mergeCell ref="U209:Y209"/>
    <mergeCell ref="Z209:AD209"/>
    <mergeCell ref="AE209:AI209"/>
    <mergeCell ref="AJ209:AN209"/>
    <mergeCell ref="AO207:AS207"/>
    <mergeCell ref="AT207:AX207"/>
    <mergeCell ref="AY207:BC207"/>
    <mergeCell ref="BD207:BH207"/>
    <mergeCell ref="A208:C208"/>
    <mergeCell ref="D208:T208"/>
    <mergeCell ref="U208:Y208"/>
    <mergeCell ref="Z208:AD208"/>
    <mergeCell ref="AE208:AI208"/>
    <mergeCell ref="AJ208:AN208"/>
    <mergeCell ref="A207:C207"/>
    <mergeCell ref="D207:T207"/>
    <mergeCell ref="U207:Y207"/>
    <mergeCell ref="Z207:AD207"/>
    <mergeCell ref="AE207:AI207"/>
    <mergeCell ref="AJ207:AN207"/>
    <mergeCell ref="AE206:AI206"/>
    <mergeCell ref="AJ206:AN206"/>
    <mergeCell ref="AO206:AS206"/>
    <mergeCell ref="AT206:AX206"/>
    <mergeCell ref="AY206:BC206"/>
    <mergeCell ref="BD206:BH206"/>
    <mergeCell ref="BQ122:BT122"/>
    <mergeCell ref="BU122:BY122"/>
    <mergeCell ref="A203:BL203"/>
    <mergeCell ref="A204:BH204"/>
    <mergeCell ref="A205:C206"/>
    <mergeCell ref="D205:T206"/>
    <mergeCell ref="U205:AN205"/>
    <mergeCell ref="AO205:BH205"/>
    <mergeCell ref="U206:Y206"/>
    <mergeCell ref="Z206:AD206"/>
    <mergeCell ref="AN122:AR122"/>
    <mergeCell ref="AS122:AW122"/>
    <mergeCell ref="AX122:BA122"/>
    <mergeCell ref="BB122:BF122"/>
    <mergeCell ref="BG122:BK122"/>
    <mergeCell ref="BL122:BP122"/>
    <mergeCell ref="A122:C122"/>
    <mergeCell ref="D122:T122"/>
    <mergeCell ref="U122:Y122"/>
    <mergeCell ref="Z122:AD122"/>
    <mergeCell ref="AE122:AH122"/>
    <mergeCell ref="AI122:AM122"/>
    <mergeCell ref="AX121:BA121"/>
    <mergeCell ref="BB121:BF121"/>
    <mergeCell ref="BG121:BK121"/>
    <mergeCell ref="BL121:BP121"/>
    <mergeCell ref="BQ121:BT121"/>
    <mergeCell ref="BU121:BY121"/>
    <mergeCell ref="BQ120:BT120"/>
    <mergeCell ref="BU120:BY120"/>
    <mergeCell ref="A121:C121"/>
    <mergeCell ref="D121:T121"/>
    <mergeCell ref="U121:Y121"/>
    <mergeCell ref="Z121:AD121"/>
    <mergeCell ref="AE121:AH121"/>
    <mergeCell ref="AI121:AM121"/>
    <mergeCell ref="AN121:AR121"/>
    <mergeCell ref="AS121:AW121"/>
    <mergeCell ref="AN120:AR120"/>
    <mergeCell ref="AS120:AW120"/>
    <mergeCell ref="AX120:BA120"/>
    <mergeCell ref="BB120:BF120"/>
    <mergeCell ref="BG120:BK120"/>
    <mergeCell ref="BL120:BP120"/>
    <mergeCell ref="A120:C120"/>
    <mergeCell ref="D120:T120"/>
    <mergeCell ref="U120:Y120"/>
    <mergeCell ref="Z120:AD120"/>
    <mergeCell ref="AE120:AH120"/>
    <mergeCell ref="AI120:AM120"/>
    <mergeCell ref="AX119:BA119"/>
    <mergeCell ref="BB119:BF119"/>
    <mergeCell ref="BG119:BK119"/>
    <mergeCell ref="BL119:BP119"/>
    <mergeCell ref="BQ119:BT119"/>
    <mergeCell ref="BU119:BY119"/>
    <mergeCell ref="U119:Y119"/>
    <mergeCell ref="Z119:AD119"/>
    <mergeCell ref="AE119:AH119"/>
    <mergeCell ref="AI119:AM119"/>
    <mergeCell ref="AN119:AR119"/>
    <mergeCell ref="AS119:AW119"/>
    <mergeCell ref="BB112:BF112"/>
    <mergeCell ref="BG112:BK112"/>
    <mergeCell ref="A115:BL115"/>
    <mergeCell ref="A116:BL116"/>
    <mergeCell ref="A117:BY117"/>
    <mergeCell ref="A118:C119"/>
    <mergeCell ref="D118:T119"/>
    <mergeCell ref="U118:AM118"/>
    <mergeCell ref="AN118:BF118"/>
    <mergeCell ref="BG118:BY118"/>
    <mergeCell ref="BB111:BF111"/>
    <mergeCell ref="BG111:BK111"/>
    <mergeCell ref="A112:E112"/>
    <mergeCell ref="F112:W112"/>
    <mergeCell ref="X112:AB112"/>
    <mergeCell ref="AC112:AG112"/>
    <mergeCell ref="AH112:AL112"/>
    <mergeCell ref="AM112:AQ112"/>
    <mergeCell ref="AR112:AV112"/>
    <mergeCell ref="AW112:BA112"/>
    <mergeCell ref="BB110:BF110"/>
    <mergeCell ref="BG110:BK110"/>
    <mergeCell ref="A111:E111"/>
    <mergeCell ref="F111:W111"/>
    <mergeCell ref="X111:AB111"/>
    <mergeCell ref="AC111:AG111"/>
    <mergeCell ref="AH111:AL111"/>
    <mergeCell ref="AM111:AQ111"/>
    <mergeCell ref="AR111:AV111"/>
    <mergeCell ref="AW111:BA111"/>
    <mergeCell ref="BB109:BF109"/>
    <mergeCell ref="BG109:BK109"/>
    <mergeCell ref="A110:E110"/>
    <mergeCell ref="F110:W110"/>
    <mergeCell ref="X110:AB110"/>
    <mergeCell ref="AC110:AG110"/>
    <mergeCell ref="AH110:AL110"/>
    <mergeCell ref="AM110:AQ110"/>
    <mergeCell ref="AR110:AV110"/>
    <mergeCell ref="AW110:BA110"/>
    <mergeCell ref="A108:E109"/>
    <mergeCell ref="F108:W109"/>
    <mergeCell ref="X108:AQ108"/>
    <mergeCell ref="AR108:BK108"/>
    <mergeCell ref="X109:AB109"/>
    <mergeCell ref="AC109:AG109"/>
    <mergeCell ref="AH109:AL109"/>
    <mergeCell ref="AM109:AQ109"/>
    <mergeCell ref="AR109:AV109"/>
    <mergeCell ref="AW109:BA109"/>
    <mergeCell ref="AR90:AV90"/>
    <mergeCell ref="AW90:BA90"/>
    <mergeCell ref="BB90:BF90"/>
    <mergeCell ref="BG90:BK90"/>
    <mergeCell ref="A106:BL106"/>
    <mergeCell ref="A107:BK107"/>
    <mergeCell ref="AM91:AQ91"/>
    <mergeCell ref="AR91:AV91"/>
    <mergeCell ref="AW91:BA91"/>
    <mergeCell ref="BB91:BF91"/>
    <mergeCell ref="AR89:AV89"/>
    <mergeCell ref="AW89:BA89"/>
    <mergeCell ref="BB89:BF89"/>
    <mergeCell ref="BG89:BK89"/>
    <mergeCell ref="A90:D90"/>
    <mergeCell ref="E90:W90"/>
    <mergeCell ref="X90:AB90"/>
    <mergeCell ref="AC90:AG90"/>
    <mergeCell ref="AH90:AL90"/>
    <mergeCell ref="AM90:AQ90"/>
    <mergeCell ref="AR88:AV88"/>
    <mergeCell ref="AW88:BA88"/>
    <mergeCell ref="BB88:BF88"/>
    <mergeCell ref="BG88:BK88"/>
    <mergeCell ref="A89:D89"/>
    <mergeCell ref="E89:W89"/>
    <mergeCell ref="X89:AB89"/>
    <mergeCell ref="AC89:AG89"/>
    <mergeCell ref="AH89:AL89"/>
    <mergeCell ref="AM89:AQ89"/>
    <mergeCell ref="A88:D88"/>
    <mergeCell ref="E88:W88"/>
    <mergeCell ref="X88:AB88"/>
    <mergeCell ref="AC88:AG88"/>
    <mergeCell ref="AH88:AL88"/>
    <mergeCell ref="AM88:AQ88"/>
    <mergeCell ref="AH87:AL87"/>
    <mergeCell ref="AM87:AQ87"/>
    <mergeCell ref="AR87:AV87"/>
    <mergeCell ref="AW87:BA87"/>
    <mergeCell ref="BB87:BF87"/>
    <mergeCell ref="BG87:BK87"/>
    <mergeCell ref="BQ82:BT82"/>
    <mergeCell ref="BU82:BY82"/>
    <mergeCell ref="A84:BL84"/>
    <mergeCell ref="A85:BK85"/>
    <mergeCell ref="A86:D87"/>
    <mergeCell ref="E86:W87"/>
    <mergeCell ref="X86:AQ86"/>
    <mergeCell ref="AR86:BK86"/>
    <mergeCell ref="X87:AB87"/>
    <mergeCell ref="AC87:AG87"/>
    <mergeCell ref="AN82:AR82"/>
    <mergeCell ref="AS82:AW82"/>
    <mergeCell ref="AX82:BA82"/>
    <mergeCell ref="BB82:BF82"/>
    <mergeCell ref="BG82:BK82"/>
    <mergeCell ref="BL82:BP82"/>
    <mergeCell ref="A82:E82"/>
    <mergeCell ref="F82:T82"/>
    <mergeCell ref="U82:Y82"/>
    <mergeCell ref="Z82:AD82"/>
    <mergeCell ref="AE82:AH82"/>
    <mergeCell ref="AI82:AM82"/>
    <mergeCell ref="AX81:BA81"/>
    <mergeCell ref="BB81:BF81"/>
    <mergeCell ref="BG81:BK81"/>
    <mergeCell ref="BL81:BP81"/>
    <mergeCell ref="BQ81:BT81"/>
    <mergeCell ref="BU81:BY81"/>
    <mergeCell ref="BQ80:BT80"/>
    <mergeCell ref="BU80:BY80"/>
    <mergeCell ref="A81:E81"/>
    <mergeCell ref="F81:T81"/>
    <mergeCell ref="U81:Y81"/>
    <mergeCell ref="Z81:AD81"/>
    <mergeCell ref="AE81:AH81"/>
    <mergeCell ref="AI81:AM81"/>
    <mergeCell ref="AN81:AR81"/>
    <mergeCell ref="AS81:AW81"/>
    <mergeCell ref="AN80:AR80"/>
    <mergeCell ref="AS80:AW80"/>
    <mergeCell ref="AX80:BA80"/>
    <mergeCell ref="BB80:BF80"/>
    <mergeCell ref="BG80:BK80"/>
    <mergeCell ref="BL80:BP80"/>
    <mergeCell ref="BG79:BK79"/>
    <mergeCell ref="BL79:BP79"/>
    <mergeCell ref="BQ79:BT79"/>
    <mergeCell ref="BU79:BY79"/>
    <mergeCell ref="A80:E80"/>
    <mergeCell ref="F80:T80"/>
    <mergeCell ref="U80:Y80"/>
    <mergeCell ref="Z80:AD80"/>
    <mergeCell ref="AE80:AH80"/>
    <mergeCell ref="AI80:AM80"/>
    <mergeCell ref="AE79:AH79"/>
    <mergeCell ref="AI79:AM79"/>
    <mergeCell ref="AN79:AR79"/>
    <mergeCell ref="AS79:AW79"/>
    <mergeCell ref="AX79:BA79"/>
    <mergeCell ref="BB79:BF79"/>
    <mergeCell ref="BU60:BY60"/>
    <mergeCell ref="A76:BL76"/>
    <mergeCell ref="A77:BY77"/>
    <mergeCell ref="A78:E79"/>
    <mergeCell ref="F78:T79"/>
    <mergeCell ref="U78:AM78"/>
    <mergeCell ref="AN78:BF78"/>
    <mergeCell ref="BG78:BY78"/>
    <mergeCell ref="U79:Y79"/>
    <mergeCell ref="Z79:AD79"/>
    <mergeCell ref="AS60:AW60"/>
    <mergeCell ref="AX60:BA60"/>
    <mergeCell ref="BB60:BF60"/>
    <mergeCell ref="BG60:BK60"/>
    <mergeCell ref="BL60:BP60"/>
    <mergeCell ref="BQ60:BT60"/>
    <mergeCell ref="BL59:BP59"/>
    <mergeCell ref="BQ59:BT59"/>
    <mergeCell ref="BU59:BY59"/>
    <mergeCell ref="A60:D60"/>
    <mergeCell ref="E60:T60"/>
    <mergeCell ref="U60:Y60"/>
    <mergeCell ref="Z60:AD60"/>
    <mergeCell ref="AE60:AH60"/>
    <mergeCell ref="AI60:AM60"/>
    <mergeCell ref="AN60:AR60"/>
    <mergeCell ref="AI59:AM59"/>
    <mergeCell ref="AN59:AR59"/>
    <mergeCell ref="AS59:AW59"/>
    <mergeCell ref="AX59:BA59"/>
    <mergeCell ref="BB59:BF59"/>
    <mergeCell ref="BG59:BK59"/>
    <mergeCell ref="BB58:BF58"/>
    <mergeCell ref="BG58:BK58"/>
    <mergeCell ref="BL58:BP58"/>
    <mergeCell ref="BQ58:BT58"/>
    <mergeCell ref="BU58:BY58"/>
    <mergeCell ref="A59:D59"/>
    <mergeCell ref="E59:T59"/>
    <mergeCell ref="U59:Y59"/>
    <mergeCell ref="Z59:AD59"/>
    <mergeCell ref="AE59:AH59"/>
    <mergeCell ref="BU57:BY57"/>
    <mergeCell ref="A58:D58"/>
    <mergeCell ref="E58:T58"/>
    <mergeCell ref="U58:Y58"/>
    <mergeCell ref="Z58:AD58"/>
    <mergeCell ref="AE58:AH58"/>
    <mergeCell ref="AI58:AM58"/>
    <mergeCell ref="AN58:AR58"/>
    <mergeCell ref="AS58:AW58"/>
    <mergeCell ref="AX58:BA58"/>
    <mergeCell ref="AS57:AW57"/>
    <mergeCell ref="AX57:BA57"/>
    <mergeCell ref="BB57:BF57"/>
    <mergeCell ref="BG57:BK57"/>
    <mergeCell ref="BL57:BP57"/>
    <mergeCell ref="BQ57:BT57"/>
    <mergeCell ref="A56:D57"/>
    <mergeCell ref="E56:T57"/>
    <mergeCell ref="U56:AM56"/>
    <mergeCell ref="AN56:BF56"/>
    <mergeCell ref="BG56:BY56"/>
    <mergeCell ref="U57:Y57"/>
    <mergeCell ref="Z57:AD57"/>
    <mergeCell ref="AE57:AH57"/>
    <mergeCell ref="AI57:AM57"/>
    <mergeCell ref="AN57:AR57"/>
    <mergeCell ref="AW44:BA44"/>
    <mergeCell ref="BB44:BF44"/>
    <mergeCell ref="BG44:BK44"/>
    <mergeCell ref="A53:BY53"/>
    <mergeCell ref="A54:BY54"/>
    <mergeCell ref="A55:BY55"/>
    <mergeCell ref="AM45:AQ45"/>
    <mergeCell ref="AR45:AV45"/>
    <mergeCell ref="AW45:BA45"/>
    <mergeCell ref="BB45:BF45"/>
    <mergeCell ref="AW43:BA43"/>
    <mergeCell ref="BB43:BF43"/>
    <mergeCell ref="BG43:BK43"/>
    <mergeCell ref="A44:D44"/>
    <mergeCell ref="E44:W44"/>
    <mergeCell ref="X44:AB44"/>
    <mergeCell ref="AC44:AG44"/>
    <mergeCell ref="AH44:AL44"/>
    <mergeCell ref="AM44:AQ44"/>
    <mergeCell ref="AR44:AV44"/>
    <mergeCell ref="AW42:BA42"/>
    <mergeCell ref="BB42:BF42"/>
    <mergeCell ref="BG42:BK42"/>
    <mergeCell ref="A43:D43"/>
    <mergeCell ref="E43:W43"/>
    <mergeCell ref="X43:AB43"/>
    <mergeCell ref="AC43:AG43"/>
    <mergeCell ref="AH43:AL43"/>
    <mergeCell ref="AM43:AQ43"/>
    <mergeCell ref="AR43:AV43"/>
    <mergeCell ref="AW41:BA41"/>
    <mergeCell ref="BB41:BF41"/>
    <mergeCell ref="BG41:BK41"/>
    <mergeCell ref="A42:D42"/>
    <mergeCell ref="E42:W42"/>
    <mergeCell ref="X42:AB42"/>
    <mergeCell ref="AC42:AG42"/>
    <mergeCell ref="AH42:AL42"/>
    <mergeCell ref="AM42:AQ42"/>
    <mergeCell ref="AR42:AV42"/>
    <mergeCell ref="A39:BK39"/>
    <mergeCell ref="A40:D41"/>
    <mergeCell ref="E40:W41"/>
    <mergeCell ref="X40:AQ40"/>
    <mergeCell ref="AR40:BK40"/>
    <mergeCell ref="X41:AB41"/>
    <mergeCell ref="AC41:AG41"/>
    <mergeCell ref="AH41:AL41"/>
    <mergeCell ref="AM41:AQ41"/>
    <mergeCell ref="AR41:AV41"/>
    <mergeCell ref="BB30:BF30"/>
    <mergeCell ref="BG30:BK30"/>
    <mergeCell ref="BL30:BP30"/>
    <mergeCell ref="BQ30:BT30"/>
    <mergeCell ref="BU30:BY30"/>
    <mergeCell ref="A38:BL38"/>
    <mergeCell ref="AI31:AM31"/>
    <mergeCell ref="AN31:AR31"/>
    <mergeCell ref="AS31:AW31"/>
    <mergeCell ref="AX31:BA31"/>
    <mergeCell ref="BU29:BY29"/>
    <mergeCell ref="A30:D30"/>
    <mergeCell ref="E30:T30"/>
    <mergeCell ref="U30:Y30"/>
    <mergeCell ref="Z30:AD30"/>
    <mergeCell ref="AE30:AH30"/>
    <mergeCell ref="AI30:AM30"/>
    <mergeCell ref="AN30:AR30"/>
    <mergeCell ref="AS30:AW30"/>
    <mergeCell ref="AX30:BA30"/>
    <mergeCell ref="AS29:AW29"/>
    <mergeCell ref="AX29:BA29"/>
    <mergeCell ref="BB29:BF29"/>
    <mergeCell ref="BG29:BK29"/>
    <mergeCell ref="BL29:BP29"/>
    <mergeCell ref="BQ29:BT29"/>
    <mergeCell ref="BL28:BP28"/>
    <mergeCell ref="BQ28:BT28"/>
    <mergeCell ref="BU28:BY28"/>
    <mergeCell ref="A29:D29"/>
    <mergeCell ref="E29:T29"/>
    <mergeCell ref="U29:Y29"/>
    <mergeCell ref="Z29:AD29"/>
    <mergeCell ref="AE29:AH29"/>
    <mergeCell ref="AI29:AM29"/>
    <mergeCell ref="AN29:AR29"/>
    <mergeCell ref="AI28:AM28"/>
    <mergeCell ref="AN28:AR28"/>
    <mergeCell ref="AS28:AW28"/>
    <mergeCell ref="AX28:BA28"/>
    <mergeCell ref="BB28:BF28"/>
    <mergeCell ref="BG28:BK28"/>
    <mergeCell ref="BB27:BF27"/>
    <mergeCell ref="BG27:BK27"/>
    <mergeCell ref="BL27:BP27"/>
    <mergeCell ref="BQ27:BT27"/>
    <mergeCell ref="BU27:BY27"/>
    <mergeCell ref="A28:D28"/>
    <mergeCell ref="E28:T28"/>
    <mergeCell ref="U28:Y28"/>
    <mergeCell ref="Z28:AD28"/>
    <mergeCell ref="AE28:AH28"/>
    <mergeCell ref="Z27:AD27"/>
    <mergeCell ref="AE27:AH27"/>
    <mergeCell ref="AI27:AM27"/>
    <mergeCell ref="AN27:AR27"/>
    <mergeCell ref="AS27:AW27"/>
    <mergeCell ref="AX27:BA27"/>
    <mergeCell ref="A21:BY21"/>
    <mergeCell ref="A23:BY23"/>
    <mergeCell ref="A24:BY24"/>
    <mergeCell ref="A25:BY25"/>
    <mergeCell ref="A26:D27"/>
    <mergeCell ref="E26:T27"/>
    <mergeCell ref="U26:AM26"/>
    <mergeCell ref="AN26:BF26"/>
    <mergeCell ref="BG26:BY26"/>
    <mergeCell ref="U27:Y27"/>
    <mergeCell ref="A13:BY13"/>
    <mergeCell ref="A14:BY14"/>
    <mergeCell ref="A15:BY15"/>
    <mergeCell ref="A17:BY17"/>
    <mergeCell ref="A18:BY18"/>
    <mergeCell ref="A20:BY20"/>
    <mergeCell ref="B10:L10"/>
    <mergeCell ref="N10:Y10"/>
    <mergeCell ref="AA10:AI10"/>
    <mergeCell ref="AK10:BJ10"/>
    <mergeCell ref="BL10:BS10"/>
    <mergeCell ref="B11:L11"/>
    <mergeCell ref="N11:Y11"/>
    <mergeCell ref="AA11:AI11"/>
    <mergeCell ref="AK11:BJ11"/>
    <mergeCell ref="BL11:BS11"/>
    <mergeCell ref="B7:AF7"/>
    <mergeCell ref="AH7:BA7"/>
    <mergeCell ref="BC7:BJ7"/>
    <mergeCell ref="A8:AF8"/>
    <mergeCell ref="AH8:BA8"/>
    <mergeCell ref="BC8:BJ8"/>
    <mergeCell ref="BN1:BZ1"/>
    <mergeCell ref="A2:BZ2"/>
    <mergeCell ref="B4:AF4"/>
    <mergeCell ref="AH4:AR4"/>
    <mergeCell ref="AT4:BA4"/>
    <mergeCell ref="A5:AF5"/>
    <mergeCell ref="AH5:AR5"/>
    <mergeCell ref="AT5:BA5"/>
  </mergeCells>
  <conditionalFormatting sqref="A122 A350 A209">
    <cfRule type="cellIs" dxfId="209" priority="214" stopIfTrue="1" operator="equal">
      <formula>A121</formula>
    </cfRule>
  </conditionalFormatting>
  <conditionalFormatting sqref="A297:C297 A315:C315">
    <cfRule type="cellIs" dxfId="208" priority="215" stopIfTrue="1" operator="equal">
      <formula>A296</formula>
    </cfRule>
    <cfRule type="cellIs" dxfId="207" priority="216" stopIfTrue="1" operator="equal">
      <formula>0</formula>
    </cfRule>
  </conditionalFormatting>
  <conditionalFormatting sqref="A123">
    <cfRule type="cellIs" dxfId="206" priority="213" stopIfTrue="1" operator="equal">
      <formula>A122</formula>
    </cfRule>
  </conditionalFormatting>
  <conditionalFormatting sqref="A124">
    <cfRule type="cellIs" dxfId="205" priority="212" stopIfTrue="1" operator="equal">
      <formula>A123</formula>
    </cfRule>
  </conditionalFormatting>
  <conditionalFormatting sqref="A125">
    <cfRule type="cellIs" dxfId="204" priority="211" stopIfTrue="1" operator="equal">
      <formula>A124</formula>
    </cfRule>
  </conditionalFormatting>
  <conditionalFormatting sqref="A126">
    <cfRule type="cellIs" dxfId="203" priority="210" stopIfTrue="1" operator="equal">
      <formula>A125</formula>
    </cfRule>
  </conditionalFormatting>
  <conditionalFormatting sqref="A127">
    <cfRule type="cellIs" dxfId="202" priority="209" stopIfTrue="1" operator="equal">
      <formula>A126</formula>
    </cfRule>
  </conditionalFormatting>
  <conditionalFormatting sqref="A128">
    <cfRule type="cellIs" dxfId="201" priority="208" stopIfTrue="1" operator="equal">
      <formula>A127</formula>
    </cfRule>
  </conditionalFormatting>
  <conditionalFormatting sqref="A129">
    <cfRule type="cellIs" dxfId="200" priority="207" stopIfTrue="1" operator="equal">
      <formula>A128</formula>
    </cfRule>
  </conditionalFormatting>
  <conditionalFormatting sqref="A130">
    <cfRule type="cellIs" dxfId="199" priority="206" stopIfTrue="1" operator="equal">
      <formula>A129</formula>
    </cfRule>
  </conditionalFormatting>
  <conditionalFormatting sqref="A131">
    <cfRule type="cellIs" dxfId="198" priority="205" stopIfTrue="1" operator="equal">
      <formula>A130</formula>
    </cfRule>
  </conditionalFormatting>
  <conditionalFormatting sqref="A132">
    <cfRule type="cellIs" dxfId="197" priority="204" stopIfTrue="1" operator="equal">
      <formula>A131</formula>
    </cfRule>
  </conditionalFormatting>
  <conditionalFormatting sqref="A133">
    <cfRule type="cellIs" dxfId="196" priority="203" stopIfTrue="1" operator="equal">
      <formula>A132</formula>
    </cfRule>
  </conditionalFormatting>
  <conditionalFormatting sqref="A134">
    <cfRule type="cellIs" dxfId="195" priority="202" stopIfTrue="1" operator="equal">
      <formula>A133</formula>
    </cfRule>
  </conditionalFormatting>
  <conditionalFormatting sqref="A135">
    <cfRule type="cellIs" dxfId="194" priority="201" stopIfTrue="1" operator="equal">
      <formula>A134</formula>
    </cfRule>
  </conditionalFormatting>
  <conditionalFormatting sqref="A136">
    <cfRule type="cellIs" dxfId="193" priority="200" stopIfTrue="1" operator="equal">
      <formula>A135</formula>
    </cfRule>
  </conditionalFormatting>
  <conditionalFormatting sqref="A137">
    <cfRule type="cellIs" dxfId="192" priority="199" stopIfTrue="1" operator="equal">
      <formula>A136</formula>
    </cfRule>
  </conditionalFormatting>
  <conditionalFormatting sqref="A138">
    <cfRule type="cellIs" dxfId="191" priority="198" stopIfTrue="1" operator="equal">
      <formula>A137</formula>
    </cfRule>
  </conditionalFormatting>
  <conditionalFormatting sqref="A139">
    <cfRule type="cellIs" dxfId="190" priority="197" stopIfTrue="1" operator="equal">
      <formula>A138</formula>
    </cfRule>
  </conditionalFormatting>
  <conditionalFormatting sqref="A140">
    <cfRule type="cellIs" dxfId="189" priority="196" stopIfTrue="1" operator="equal">
      <formula>A139</formula>
    </cfRule>
  </conditionalFormatting>
  <conditionalFormatting sqref="A141">
    <cfRule type="cellIs" dxfId="188" priority="195" stopIfTrue="1" operator="equal">
      <formula>A140</formula>
    </cfRule>
  </conditionalFormatting>
  <conditionalFormatting sqref="A142">
    <cfRule type="cellIs" dxfId="187" priority="194" stopIfTrue="1" operator="equal">
      <formula>A141</formula>
    </cfRule>
  </conditionalFormatting>
  <conditionalFormatting sqref="A143">
    <cfRule type="cellIs" dxfId="186" priority="193" stopIfTrue="1" operator="equal">
      <formula>A142</formula>
    </cfRule>
  </conditionalFormatting>
  <conditionalFormatting sqref="A144">
    <cfRule type="cellIs" dxfId="185" priority="192" stopIfTrue="1" operator="equal">
      <formula>A143</formula>
    </cfRule>
  </conditionalFormatting>
  <conditionalFormatting sqref="A145">
    <cfRule type="cellIs" dxfId="184" priority="191" stopIfTrue="1" operator="equal">
      <formula>A144</formula>
    </cfRule>
  </conditionalFormatting>
  <conditionalFormatting sqref="A146">
    <cfRule type="cellIs" dxfId="183" priority="190" stopIfTrue="1" operator="equal">
      <formula>A145</formula>
    </cfRule>
  </conditionalFormatting>
  <conditionalFormatting sqref="A147">
    <cfRule type="cellIs" dxfId="182" priority="189" stopIfTrue="1" operator="equal">
      <formula>A146</formula>
    </cfRule>
  </conditionalFormatting>
  <conditionalFormatting sqref="A148">
    <cfRule type="cellIs" dxfId="181" priority="188" stopIfTrue="1" operator="equal">
      <formula>A147</formula>
    </cfRule>
  </conditionalFormatting>
  <conditionalFormatting sqref="A149">
    <cfRule type="cellIs" dxfId="180" priority="187" stopIfTrue="1" operator="equal">
      <formula>A148</formula>
    </cfRule>
  </conditionalFormatting>
  <conditionalFormatting sqref="A150">
    <cfRule type="cellIs" dxfId="179" priority="186" stopIfTrue="1" operator="equal">
      <formula>A149</formula>
    </cfRule>
  </conditionalFormatting>
  <conditionalFormatting sqref="A151">
    <cfRule type="cellIs" dxfId="178" priority="185" stopIfTrue="1" operator="equal">
      <formula>A150</formula>
    </cfRule>
  </conditionalFormatting>
  <conditionalFormatting sqref="A152">
    <cfRule type="cellIs" dxfId="177" priority="184" stopIfTrue="1" operator="equal">
      <formula>A151</formula>
    </cfRule>
  </conditionalFormatting>
  <conditionalFormatting sqref="A153">
    <cfRule type="cellIs" dxfId="176" priority="183" stopIfTrue="1" operator="equal">
      <formula>A152</formula>
    </cfRule>
  </conditionalFormatting>
  <conditionalFormatting sqref="A154">
    <cfRule type="cellIs" dxfId="175" priority="182" stopIfTrue="1" operator="equal">
      <formula>A153</formula>
    </cfRule>
  </conditionalFormatting>
  <conditionalFormatting sqref="A155">
    <cfRule type="cellIs" dxfId="174" priority="181" stopIfTrue="1" operator="equal">
      <formula>A154</formula>
    </cfRule>
  </conditionalFormatting>
  <conditionalFormatting sqref="A156">
    <cfRule type="cellIs" dxfId="173" priority="180" stopIfTrue="1" operator="equal">
      <formula>A155</formula>
    </cfRule>
  </conditionalFormatting>
  <conditionalFormatting sqref="A157">
    <cfRule type="cellIs" dxfId="172" priority="179" stopIfTrue="1" operator="equal">
      <formula>A156</formula>
    </cfRule>
  </conditionalFormatting>
  <conditionalFormatting sqref="A158">
    <cfRule type="cellIs" dxfId="171" priority="178" stopIfTrue="1" operator="equal">
      <formula>A157</formula>
    </cfRule>
  </conditionalFormatting>
  <conditionalFormatting sqref="A159">
    <cfRule type="cellIs" dxfId="170" priority="177" stopIfTrue="1" operator="equal">
      <formula>A158</formula>
    </cfRule>
  </conditionalFormatting>
  <conditionalFormatting sqref="A160">
    <cfRule type="cellIs" dxfId="169" priority="176" stopIfTrue="1" operator="equal">
      <formula>A159</formula>
    </cfRule>
  </conditionalFormatting>
  <conditionalFormatting sqref="A161">
    <cfRule type="cellIs" dxfId="168" priority="175" stopIfTrue="1" operator="equal">
      <formula>A160</formula>
    </cfRule>
  </conditionalFormatting>
  <conditionalFormatting sqref="A162">
    <cfRule type="cellIs" dxfId="167" priority="174" stopIfTrue="1" operator="equal">
      <formula>A161</formula>
    </cfRule>
  </conditionalFormatting>
  <conditionalFormatting sqref="A163">
    <cfRule type="cellIs" dxfId="166" priority="173" stopIfTrue="1" operator="equal">
      <formula>A162</formula>
    </cfRule>
  </conditionalFormatting>
  <conditionalFormatting sqref="A164">
    <cfRule type="cellIs" dxfId="165" priority="172" stopIfTrue="1" operator="equal">
      <formula>A163</formula>
    </cfRule>
  </conditionalFormatting>
  <conditionalFormatting sqref="A165">
    <cfRule type="cellIs" dxfId="164" priority="171" stopIfTrue="1" operator="equal">
      <formula>A164</formula>
    </cfRule>
  </conditionalFormatting>
  <conditionalFormatting sqref="A166">
    <cfRule type="cellIs" dxfId="163" priority="170" stopIfTrue="1" operator="equal">
      <formula>A165</formula>
    </cfRule>
  </conditionalFormatting>
  <conditionalFormatting sqref="A167">
    <cfRule type="cellIs" dxfId="162" priority="169" stopIfTrue="1" operator="equal">
      <formula>A166</formula>
    </cfRule>
  </conditionalFormatting>
  <conditionalFormatting sqref="A168">
    <cfRule type="cellIs" dxfId="161" priority="168" stopIfTrue="1" operator="equal">
      <formula>A167</formula>
    </cfRule>
  </conditionalFormatting>
  <conditionalFormatting sqref="A169">
    <cfRule type="cellIs" dxfId="160" priority="167" stopIfTrue="1" operator="equal">
      <formula>A168</formula>
    </cfRule>
  </conditionalFormatting>
  <conditionalFormatting sqref="A170">
    <cfRule type="cellIs" dxfId="159" priority="166" stopIfTrue="1" operator="equal">
      <formula>A169</formula>
    </cfRule>
  </conditionalFormatting>
  <conditionalFormatting sqref="A171">
    <cfRule type="cellIs" dxfId="158" priority="165" stopIfTrue="1" operator="equal">
      <formula>A170</formula>
    </cfRule>
  </conditionalFormatting>
  <conditionalFormatting sqref="A172">
    <cfRule type="cellIs" dxfId="157" priority="164" stopIfTrue="1" operator="equal">
      <formula>A171</formula>
    </cfRule>
  </conditionalFormatting>
  <conditionalFormatting sqref="A173">
    <cfRule type="cellIs" dxfId="156" priority="163" stopIfTrue="1" operator="equal">
      <formula>A172</formula>
    </cfRule>
  </conditionalFormatting>
  <conditionalFormatting sqref="A174">
    <cfRule type="cellIs" dxfId="155" priority="162" stopIfTrue="1" operator="equal">
      <formula>A173</formula>
    </cfRule>
  </conditionalFormatting>
  <conditionalFormatting sqref="A175">
    <cfRule type="cellIs" dxfId="154" priority="161" stopIfTrue="1" operator="equal">
      <formula>A174</formula>
    </cfRule>
  </conditionalFormatting>
  <conditionalFormatting sqref="A176">
    <cfRule type="cellIs" dxfId="153" priority="160" stopIfTrue="1" operator="equal">
      <formula>A175</formula>
    </cfRule>
  </conditionalFormatting>
  <conditionalFormatting sqref="A177">
    <cfRule type="cellIs" dxfId="152" priority="159" stopIfTrue="1" operator="equal">
      <formula>A176</formula>
    </cfRule>
  </conditionalFormatting>
  <conditionalFormatting sqref="A178">
    <cfRule type="cellIs" dxfId="151" priority="158" stopIfTrue="1" operator="equal">
      <formula>A177</formula>
    </cfRule>
  </conditionalFormatting>
  <conditionalFormatting sqref="A179">
    <cfRule type="cellIs" dxfId="150" priority="157" stopIfTrue="1" operator="equal">
      <formula>A178</formula>
    </cfRule>
  </conditionalFormatting>
  <conditionalFormatting sqref="A180">
    <cfRule type="cellIs" dxfId="149" priority="156" stopIfTrue="1" operator="equal">
      <formula>A179</formula>
    </cfRule>
  </conditionalFormatting>
  <conditionalFormatting sqref="A181">
    <cfRule type="cellIs" dxfId="148" priority="155" stopIfTrue="1" operator="equal">
      <formula>A180</formula>
    </cfRule>
  </conditionalFormatting>
  <conditionalFormatting sqref="A182">
    <cfRule type="cellIs" dxfId="147" priority="154" stopIfTrue="1" operator="equal">
      <formula>A181</formula>
    </cfRule>
  </conditionalFormatting>
  <conditionalFormatting sqref="A183">
    <cfRule type="cellIs" dxfId="146" priority="153" stopIfTrue="1" operator="equal">
      <formula>A182</formula>
    </cfRule>
  </conditionalFormatting>
  <conditionalFormatting sqref="A184">
    <cfRule type="cellIs" dxfId="145" priority="152" stopIfTrue="1" operator="equal">
      <formula>A183</formula>
    </cfRule>
  </conditionalFormatting>
  <conditionalFormatting sqref="A185">
    <cfRule type="cellIs" dxfId="144" priority="151" stopIfTrue="1" operator="equal">
      <formula>A184</formula>
    </cfRule>
  </conditionalFormatting>
  <conditionalFormatting sqref="A186">
    <cfRule type="cellIs" dxfId="143" priority="150" stopIfTrue="1" operator="equal">
      <formula>A185</formula>
    </cfRule>
  </conditionalFormatting>
  <conditionalFormatting sqref="A187">
    <cfRule type="cellIs" dxfId="142" priority="149" stopIfTrue="1" operator="equal">
      <formula>A186</formula>
    </cfRule>
  </conditionalFormatting>
  <conditionalFormatting sqref="A188">
    <cfRule type="cellIs" dxfId="141" priority="148" stopIfTrue="1" operator="equal">
      <formula>A187</formula>
    </cfRule>
  </conditionalFormatting>
  <conditionalFormatting sqref="A189">
    <cfRule type="cellIs" dxfId="140" priority="147" stopIfTrue="1" operator="equal">
      <formula>A188</formula>
    </cfRule>
  </conditionalFormatting>
  <conditionalFormatting sqref="A190">
    <cfRule type="cellIs" dxfId="139" priority="146" stopIfTrue="1" operator="equal">
      <formula>A189</formula>
    </cfRule>
  </conditionalFormatting>
  <conditionalFormatting sqref="A191">
    <cfRule type="cellIs" dxfId="138" priority="145" stopIfTrue="1" operator="equal">
      <formula>A190</formula>
    </cfRule>
  </conditionalFormatting>
  <conditionalFormatting sqref="A192">
    <cfRule type="cellIs" dxfId="137" priority="144" stopIfTrue="1" operator="equal">
      <formula>A191</formula>
    </cfRule>
  </conditionalFormatting>
  <conditionalFormatting sqref="A193">
    <cfRule type="cellIs" dxfId="136" priority="143" stopIfTrue="1" operator="equal">
      <formula>A192</formula>
    </cfRule>
  </conditionalFormatting>
  <conditionalFormatting sqref="A194">
    <cfRule type="cellIs" dxfId="135" priority="142" stopIfTrue="1" operator="equal">
      <formula>A193</formula>
    </cfRule>
  </conditionalFormatting>
  <conditionalFormatting sqref="A195">
    <cfRule type="cellIs" dxfId="134" priority="141" stopIfTrue="1" operator="equal">
      <formula>A194</formula>
    </cfRule>
  </conditionalFormatting>
  <conditionalFormatting sqref="A196">
    <cfRule type="cellIs" dxfId="133" priority="140" stopIfTrue="1" operator="equal">
      <formula>A195</formula>
    </cfRule>
  </conditionalFormatting>
  <conditionalFormatting sqref="A197">
    <cfRule type="cellIs" dxfId="132" priority="139" stopIfTrue="1" operator="equal">
      <formula>A196</formula>
    </cfRule>
  </conditionalFormatting>
  <conditionalFormatting sqref="A198">
    <cfRule type="cellIs" dxfId="131" priority="138" stopIfTrue="1" operator="equal">
      <formula>A197</formula>
    </cfRule>
  </conditionalFormatting>
  <conditionalFormatting sqref="A199">
    <cfRule type="cellIs" dxfId="130" priority="137" stopIfTrue="1" operator="equal">
      <formula>A198</formula>
    </cfRule>
  </conditionalFormatting>
  <conditionalFormatting sqref="A200">
    <cfRule type="cellIs" dxfId="129" priority="136" stopIfTrue="1" operator="equal">
      <formula>A199</formula>
    </cfRule>
  </conditionalFormatting>
  <conditionalFormatting sqref="A201">
    <cfRule type="cellIs" dxfId="128" priority="135" stopIfTrue="1" operator="equal">
      <formula>A200</formula>
    </cfRule>
  </conditionalFormatting>
  <conditionalFormatting sqref="A289">
    <cfRule type="cellIs" dxfId="127" priority="218" stopIfTrue="1" operator="equal">
      <formula>A209</formula>
    </cfRule>
  </conditionalFormatting>
  <conditionalFormatting sqref="A210">
    <cfRule type="cellIs" dxfId="126" priority="133" stopIfTrue="1" operator="equal">
      <formula>A209</formula>
    </cfRule>
  </conditionalFormatting>
  <conditionalFormatting sqref="A211">
    <cfRule type="cellIs" dxfId="125" priority="132" stopIfTrue="1" operator="equal">
      <formula>A210</formula>
    </cfRule>
  </conditionalFormatting>
  <conditionalFormatting sqref="A212">
    <cfRule type="cellIs" dxfId="124" priority="131" stopIfTrue="1" operator="equal">
      <formula>A211</formula>
    </cfRule>
  </conditionalFormatting>
  <conditionalFormatting sqref="A213">
    <cfRule type="cellIs" dxfId="123" priority="130" stopIfTrue="1" operator="equal">
      <formula>A212</formula>
    </cfRule>
  </conditionalFormatting>
  <conditionalFormatting sqref="A214">
    <cfRule type="cellIs" dxfId="122" priority="129" stopIfTrue="1" operator="equal">
      <formula>A213</formula>
    </cfRule>
  </conditionalFormatting>
  <conditionalFormatting sqref="A215">
    <cfRule type="cellIs" dxfId="121" priority="128" stopIfTrue="1" operator="equal">
      <formula>A214</formula>
    </cfRule>
  </conditionalFormatting>
  <conditionalFormatting sqref="A216">
    <cfRule type="cellIs" dxfId="120" priority="127" stopIfTrue="1" operator="equal">
      <formula>A215</formula>
    </cfRule>
  </conditionalFormatting>
  <conditionalFormatting sqref="A217">
    <cfRule type="cellIs" dxfId="119" priority="126" stopIfTrue="1" operator="equal">
      <formula>A216</formula>
    </cfRule>
  </conditionalFormatting>
  <conditionalFormatting sqref="A218">
    <cfRule type="cellIs" dxfId="118" priority="125" stopIfTrue="1" operator="equal">
      <formula>A217</formula>
    </cfRule>
  </conditionalFormatting>
  <conditionalFormatting sqref="A219">
    <cfRule type="cellIs" dxfId="117" priority="124" stopIfTrue="1" operator="equal">
      <formula>A218</formula>
    </cfRule>
  </conditionalFormatting>
  <conditionalFormatting sqref="A220">
    <cfRule type="cellIs" dxfId="116" priority="123" stopIfTrue="1" operator="equal">
      <formula>A219</formula>
    </cfRule>
  </conditionalFormatting>
  <conditionalFormatting sqref="A221">
    <cfRule type="cellIs" dxfId="115" priority="122" stopIfTrue="1" operator="equal">
      <formula>A220</formula>
    </cfRule>
  </conditionalFormatting>
  <conditionalFormatting sqref="A222">
    <cfRule type="cellIs" dxfId="114" priority="121" stopIfTrue="1" operator="equal">
      <formula>A221</formula>
    </cfRule>
  </conditionalFormatting>
  <conditionalFormatting sqref="A223">
    <cfRule type="cellIs" dxfId="113" priority="120" stopIfTrue="1" operator="equal">
      <formula>A222</formula>
    </cfRule>
  </conditionalFormatting>
  <conditionalFormatting sqref="A224">
    <cfRule type="cellIs" dxfId="112" priority="119" stopIfTrue="1" operator="equal">
      <formula>A223</formula>
    </cfRule>
  </conditionalFormatting>
  <conditionalFormatting sqref="A225">
    <cfRule type="cellIs" dxfId="111" priority="118" stopIfTrue="1" operator="equal">
      <formula>A224</formula>
    </cfRule>
  </conditionalFormatting>
  <conditionalFormatting sqref="A226">
    <cfRule type="cellIs" dxfId="110" priority="117" stopIfTrue="1" operator="equal">
      <formula>A225</formula>
    </cfRule>
  </conditionalFormatting>
  <conditionalFormatting sqref="A227">
    <cfRule type="cellIs" dxfId="109" priority="116" stopIfTrue="1" operator="equal">
      <formula>A226</formula>
    </cfRule>
  </conditionalFormatting>
  <conditionalFormatting sqref="A228">
    <cfRule type="cellIs" dxfId="108" priority="115" stopIfTrue="1" operator="equal">
      <formula>A227</formula>
    </cfRule>
  </conditionalFormatting>
  <conditionalFormatting sqref="A229">
    <cfRule type="cellIs" dxfId="107" priority="114" stopIfTrue="1" operator="equal">
      <formula>A228</formula>
    </cfRule>
  </conditionalFormatting>
  <conditionalFormatting sqref="A230">
    <cfRule type="cellIs" dxfId="106" priority="113" stopIfTrue="1" operator="equal">
      <formula>A229</formula>
    </cfRule>
  </conditionalFormatting>
  <conditionalFormatting sqref="A231">
    <cfRule type="cellIs" dxfId="105" priority="112" stopIfTrue="1" operator="equal">
      <formula>A230</formula>
    </cfRule>
  </conditionalFormatting>
  <conditionalFormatting sqref="A232">
    <cfRule type="cellIs" dxfId="104" priority="111" stopIfTrue="1" operator="equal">
      <formula>A231</formula>
    </cfRule>
  </conditionalFormatting>
  <conditionalFormatting sqref="A233">
    <cfRule type="cellIs" dxfId="103" priority="110" stopIfTrue="1" operator="equal">
      <formula>A232</formula>
    </cfRule>
  </conditionalFormatting>
  <conditionalFormatting sqref="A234">
    <cfRule type="cellIs" dxfId="102" priority="109" stopIfTrue="1" operator="equal">
      <formula>A233</formula>
    </cfRule>
  </conditionalFormatting>
  <conditionalFormatting sqref="A235">
    <cfRule type="cellIs" dxfId="101" priority="108" stopIfTrue="1" operator="equal">
      <formula>A234</formula>
    </cfRule>
  </conditionalFormatting>
  <conditionalFormatting sqref="A236">
    <cfRule type="cellIs" dxfId="100" priority="107" stopIfTrue="1" operator="equal">
      <formula>A235</formula>
    </cfRule>
  </conditionalFormatting>
  <conditionalFormatting sqref="A237">
    <cfRule type="cellIs" dxfId="99" priority="106" stopIfTrue="1" operator="equal">
      <formula>A236</formula>
    </cfRule>
  </conditionalFormatting>
  <conditionalFormatting sqref="A238">
    <cfRule type="cellIs" dxfId="98" priority="105" stopIfTrue="1" operator="equal">
      <formula>A237</formula>
    </cfRule>
  </conditionalFormatting>
  <conditionalFormatting sqref="A239">
    <cfRule type="cellIs" dxfId="97" priority="104" stopIfTrue="1" operator="equal">
      <formula>A238</formula>
    </cfRule>
  </conditionalFormatting>
  <conditionalFormatting sqref="A240">
    <cfRule type="cellIs" dxfId="96" priority="103" stopIfTrue="1" operator="equal">
      <formula>A239</formula>
    </cfRule>
  </conditionalFormatting>
  <conditionalFormatting sqref="A241">
    <cfRule type="cellIs" dxfId="95" priority="102" stopIfTrue="1" operator="equal">
      <formula>A240</formula>
    </cfRule>
  </conditionalFormatting>
  <conditionalFormatting sqref="A242">
    <cfRule type="cellIs" dxfId="94" priority="101" stopIfTrue="1" operator="equal">
      <formula>A241</formula>
    </cfRule>
  </conditionalFormatting>
  <conditionalFormatting sqref="A243">
    <cfRule type="cellIs" dxfId="93" priority="100" stopIfTrue="1" operator="equal">
      <formula>A242</formula>
    </cfRule>
  </conditionalFormatting>
  <conditionalFormatting sqref="A244">
    <cfRule type="cellIs" dxfId="92" priority="99" stopIfTrue="1" operator="equal">
      <formula>A243</formula>
    </cfRule>
  </conditionalFormatting>
  <conditionalFormatting sqref="A245">
    <cfRule type="cellIs" dxfId="91" priority="98" stopIfTrue="1" operator="equal">
      <formula>A244</formula>
    </cfRule>
  </conditionalFormatting>
  <conditionalFormatting sqref="A246">
    <cfRule type="cellIs" dxfId="90" priority="97" stopIfTrue="1" operator="equal">
      <formula>A245</formula>
    </cfRule>
  </conditionalFormatting>
  <conditionalFormatting sqref="A247">
    <cfRule type="cellIs" dxfId="89" priority="96" stopIfTrue="1" operator="equal">
      <formula>A246</formula>
    </cfRule>
  </conditionalFormatting>
  <conditionalFormatting sqref="A248">
    <cfRule type="cellIs" dxfId="88" priority="95" stopIfTrue="1" operator="equal">
      <formula>A247</formula>
    </cfRule>
  </conditionalFormatting>
  <conditionalFormatting sqref="A249">
    <cfRule type="cellIs" dxfId="87" priority="94" stopIfTrue="1" operator="equal">
      <formula>A248</formula>
    </cfRule>
  </conditionalFormatting>
  <conditionalFormatting sqref="A250">
    <cfRule type="cellIs" dxfId="86" priority="93" stopIfTrue="1" operator="equal">
      <formula>A249</formula>
    </cfRule>
  </conditionalFormatting>
  <conditionalFormatting sqref="A251">
    <cfRule type="cellIs" dxfId="85" priority="92" stopIfTrue="1" operator="equal">
      <formula>A250</formula>
    </cfRule>
  </conditionalFormatting>
  <conditionalFormatting sqref="A252">
    <cfRule type="cellIs" dxfId="84" priority="91" stopIfTrue="1" operator="equal">
      <formula>A251</formula>
    </cfRule>
  </conditionalFormatting>
  <conditionalFormatting sqref="A253">
    <cfRule type="cellIs" dxfId="83" priority="90" stopIfTrue="1" operator="equal">
      <formula>A252</formula>
    </cfRule>
  </conditionalFormatting>
  <conditionalFormatting sqref="A254">
    <cfRule type="cellIs" dxfId="82" priority="89" stopIfTrue="1" operator="equal">
      <formula>A253</formula>
    </cfRule>
  </conditionalFormatting>
  <conditionalFormatting sqref="A255">
    <cfRule type="cellIs" dxfId="81" priority="88" stopIfTrue="1" operator="equal">
      <formula>A254</formula>
    </cfRule>
  </conditionalFormatting>
  <conditionalFormatting sqref="A256">
    <cfRule type="cellIs" dxfId="80" priority="87" stopIfTrue="1" operator="equal">
      <formula>A255</formula>
    </cfRule>
  </conditionalFormatting>
  <conditionalFormatting sqref="A257">
    <cfRule type="cellIs" dxfId="79" priority="86" stopIfTrue="1" operator="equal">
      <formula>A256</formula>
    </cfRule>
  </conditionalFormatting>
  <conditionalFormatting sqref="A258">
    <cfRule type="cellIs" dxfId="78" priority="85" stopIfTrue="1" operator="equal">
      <formula>A257</formula>
    </cfRule>
  </conditionalFormatting>
  <conditionalFormatting sqref="A259">
    <cfRule type="cellIs" dxfId="77" priority="84" stopIfTrue="1" operator="equal">
      <formula>A258</formula>
    </cfRule>
  </conditionalFormatting>
  <conditionalFormatting sqref="A260">
    <cfRule type="cellIs" dxfId="76" priority="83" stopIfTrue="1" operator="equal">
      <formula>A259</formula>
    </cfRule>
  </conditionalFormatting>
  <conditionalFormatting sqref="A261">
    <cfRule type="cellIs" dxfId="75" priority="82" stopIfTrue="1" operator="equal">
      <formula>A260</formula>
    </cfRule>
  </conditionalFormatting>
  <conditionalFormatting sqref="A262">
    <cfRule type="cellIs" dxfId="74" priority="81" stopIfTrue="1" operator="equal">
      <formula>A261</formula>
    </cfRule>
  </conditionalFormatting>
  <conditionalFormatting sqref="A263">
    <cfRule type="cellIs" dxfId="73" priority="80" stopIfTrue="1" operator="equal">
      <formula>A262</formula>
    </cfRule>
  </conditionalFormatting>
  <conditionalFormatting sqref="A264">
    <cfRule type="cellIs" dxfId="72" priority="79" stopIfTrue="1" operator="equal">
      <formula>A263</formula>
    </cfRule>
  </conditionalFormatting>
  <conditionalFormatting sqref="A265">
    <cfRule type="cellIs" dxfId="71" priority="78" stopIfTrue="1" operator="equal">
      <formula>A264</formula>
    </cfRule>
  </conditionalFormatting>
  <conditionalFormatting sqref="A266">
    <cfRule type="cellIs" dxfId="70" priority="77" stopIfTrue="1" operator="equal">
      <formula>A265</formula>
    </cfRule>
  </conditionalFormatting>
  <conditionalFormatting sqref="A267">
    <cfRule type="cellIs" dxfId="69" priority="76" stopIfTrue="1" operator="equal">
      <formula>A266</formula>
    </cfRule>
  </conditionalFormatting>
  <conditionalFormatting sqref="A268">
    <cfRule type="cellIs" dxfId="68" priority="75" stopIfTrue="1" operator="equal">
      <formula>A267</formula>
    </cfRule>
  </conditionalFormatting>
  <conditionalFormatting sqref="A269">
    <cfRule type="cellIs" dxfId="67" priority="74" stopIfTrue="1" operator="equal">
      <formula>A268</formula>
    </cfRule>
  </conditionalFormatting>
  <conditionalFormatting sqref="A270">
    <cfRule type="cellIs" dxfId="66" priority="73" stopIfTrue="1" operator="equal">
      <formula>A269</formula>
    </cfRule>
  </conditionalFormatting>
  <conditionalFormatting sqref="A271">
    <cfRule type="cellIs" dxfId="65" priority="72" stopIfTrue="1" operator="equal">
      <formula>A270</formula>
    </cfRule>
  </conditionalFormatting>
  <conditionalFormatting sqref="A272">
    <cfRule type="cellIs" dxfId="64" priority="71" stopIfTrue="1" operator="equal">
      <formula>A271</formula>
    </cfRule>
  </conditionalFormatting>
  <conditionalFormatting sqref="A273">
    <cfRule type="cellIs" dxfId="63" priority="70" stopIfTrue="1" operator="equal">
      <formula>A272</formula>
    </cfRule>
  </conditionalFormatting>
  <conditionalFormatting sqref="A274">
    <cfRule type="cellIs" dxfId="62" priority="69" stopIfTrue="1" operator="equal">
      <formula>A273</formula>
    </cfRule>
  </conditionalFormatting>
  <conditionalFormatting sqref="A275">
    <cfRule type="cellIs" dxfId="61" priority="68" stopIfTrue="1" operator="equal">
      <formula>A274</formula>
    </cfRule>
  </conditionalFormatting>
  <conditionalFormatting sqref="A276">
    <cfRule type="cellIs" dxfId="60" priority="67" stopIfTrue="1" operator="equal">
      <formula>A275</formula>
    </cfRule>
  </conditionalFormatting>
  <conditionalFormatting sqref="A277">
    <cfRule type="cellIs" dxfId="59" priority="66" stopIfTrue="1" operator="equal">
      <formula>A276</formula>
    </cfRule>
  </conditionalFormatting>
  <conditionalFormatting sqref="A278">
    <cfRule type="cellIs" dxfId="58" priority="65" stopIfTrue="1" operator="equal">
      <formula>A277</formula>
    </cfRule>
  </conditionalFormatting>
  <conditionalFormatting sqref="A279">
    <cfRule type="cellIs" dxfId="57" priority="64" stopIfTrue="1" operator="equal">
      <formula>A278</formula>
    </cfRule>
  </conditionalFormatting>
  <conditionalFormatting sqref="A280">
    <cfRule type="cellIs" dxfId="56" priority="63" stopIfTrue="1" operator="equal">
      <formula>A279</formula>
    </cfRule>
  </conditionalFormatting>
  <conditionalFormatting sqref="A281">
    <cfRule type="cellIs" dxfId="55" priority="62" stopIfTrue="1" operator="equal">
      <formula>A280</formula>
    </cfRule>
  </conditionalFormatting>
  <conditionalFormatting sqref="A282">
    <cfRule type="cellIs" dxfId="54" priority="61" stopIfTrue="1" operator="equal">
      <formula>A281</formula>
    </cfRule>
  </conditionalFormatting>
  <conditionalFormatting sqref="A283">
    <cfRule type="cellIs" dxfId="53" priority="60" stopIfTrue="1" operator="equal">
      <formula>A282</formula>
    </cfRule>
  </conditionalFormatting>
  <conditionalFormatting sqref="A284">
    <cfRule type="cellIs" dxfId="52" priority="59" stopIfTrue="1" operator="equal">
      <formula>A283</formula>
    </cfRule>
  </conditionalFormatting>
  <conditionalFormatting sqref="A285">
    <cfRule type="cellIs" dxfId="51" priority="58" stopIfTrue="1" operator="equal">
      <formula>A284</formula>
    </cfRule>
  </conditionalFormatting>
  <conditionalFormatting sqref="A286">
    <cfRule type="cellIs" dxfId="50" priority="57" stopIfTrue="1" operator="equal">
      <formula>A285</formula>
    </cfRule>
  </conditionalFormatting>
  <conditionalFormatting sqref="A287">
    <cfRule type="cellIs" dxfId="49" priority="56" stopIfTrue="1" operator="equal">
      <formula>A286</formula>
    </cfRule>
  </conditionalFormatting>
  <conditionalFormatting sqref="A288">
    <cfRule type="cellIs" dxfId="48" priority="55" stopIfTrue="1" operator="equal">
      <formula>A287</formula>
    </cfRule>
  </conditionalFormatting>
  <conditionalFormatting sqref="A351">
    <cfRule type="cellIs" dxfId="47" priority="5" stopIfTrue="1" operator="equal">
      <formula>A350</formula>
    </cfRule>
  </conditionalFormatting>
  <conditionalFormatting sqref="A298:C298">
    <cfRule type="cellIs" dxfId="46" priority="52" stopIfTrue="1" operator="equal">
      <formula>A297</formula>
    </cfRule>
    <cfRule type="cellIs" dxfId="45" priority="53" stopIfTrue="1" operator="equal">
      <formula>0</formula>
    </cfRule>
  </conditionalFormatting>
  <conditionalFormatting sqref="A299:C299">
    <cfRule type="cellIs" dxfId="44" priority="50" stopIfTrue="1" operator="equal">
      <formula>A298</formula>
    </cfRule>
    <cfRule type="cellIs" dxfId="43" priority="51" stopIfTrue="1" operator="equal">
      <formula>0</formula>
    </cfRule>
  </conditionalFormatting>
  <conditionalFormatting sqref="A300:C300">
    <cfRule type="cellIs" dxfId="42" priority="48" stopIfTrue="1" operator="equal">
      <formula>A299</formula>
    </cfRule>
    <cfRule type="cellIs" dxfId="41" priority="49" stopIfTrue="1" operator="equal">
      <formula>0</formula>
    </cfRule>
  </conditionalFormatting>
  <conditionalFormatting sqref="A301:C301">
    <cfRule type="cellIs" dxfId="40" priority="46" stopIfTrue="1" operator="equal">
      <formula>A300</formula>
    </cfRule>
    <cfRule type="cellIs" dxfId="39" priority="47" stopIfTrue="1" operator="equal">
      <formula>0</formula>
    </cfRule>
  </conditionalFormatting>
  <conditionalFormatting sqref="A302:C302">
    <cfRule type="cellIs" dxfId="38" priority="44" stopIfTrue="1" operator="equal">
      <formula>A301</formula>
    </cfRule>
    <cfRule type="cellIs" dxfId="37" priority="45" stopIfTrue="1" operator="equal">
      <formula>0</formula>
    </cfRule>
  </conditionalFormatting>
  <conditionalFormatting sqref="A303:C303">
    <cfRule type="cellIs" dxfId="36" priority="42" stopIfTrue="1" operator="equal">
      <formula>A302</formula>
    </cfRule>
    <cfRule type="cellIs" dxfId="35" priority="43" stopIfTrue="1" operator="equal">
      <formula>0</formula>
    </cfRule>
  </conditionalFormatting>
  <conditionalFormatting sqref="A304:C304">
    <cfRule type="cellIs" dxfId="34" priority="40" stopIfTrue="1" operator="equal">
      <formula>A303</formula>
    </cfRule>
    <cfRule type="cellIs" dxfId="33" priority="41" stopIfTrue="1" operator="equal">
      <formula>0</formula>
    </cfRule>
  </conditionalFormatting>
  <conditionalFormatting sqref="A305:C305">
    <cfRule type="cellIs" dxfId="32" priority="38" stopIfTrue="1" operator="equal">
      <formula>A304</formula>
    </cfRule>
    <cfRule type="cellIs" dxfId="31" priority="39" stopIfTrue="1" operator="equal">
      <formula>0</formula>
    </cfRule>
  </conditionalFormatting>
  <conditionalFormatting sqref="A306:C306">
    <cfRule type="cellIs" dxfId="30" priority="36" stopIfTrue="1" operator="equal">
      <formula>A305</formula>
    </cfRule>
    <cfRule type="cellIs" dxfId="29" priority="37" stopIfTrue="1" operator="equal">
      <formula>0</formula>
    </cfRule>
  </conditionalFormatting>
  <conditionalFormatting sqref="A307:C307">
    <cfRule type="cellIs" dxfId="28" priority="34" stopIfTrue="1" operator="equal">
      <formula>A306</formula>
    </cfRule>
    <cfRule type="cellIs" dxfId="27" priority="35" stopIfTrue="1" operator="equal">
      <formula>0</formula>
    </cfRule>
  </conditionalFormatting>
  <conditionalFormatting sqref="A308:C308">
    <cfRule type="cellIs" dxfId="26" priority="32" stopIfTrue="1" operator="equal">
      <formula>A307</formula>
    </cfRule>
    <cfRule type="cellIs" dxfId="25" priority="33" stopIfTrue="1" operator="equal">
      <formula>0</formula>
    </cfRule>
  </conditionalFormatting>
  <conditionalFormatting sqref="A316:C316">
    <cfRule type="cellIs" dxfId="24" priority="28" stopIfTrue="1" operator="equal">
      <formula>A315</formula>
    </cfRule>
    <cfRule type="cellIs" dxfId="23" priority="29" stopIfTrue="1" operator="equal">
      <formula>0</formula>
    </cfRule>
  </conditionalFormatting>
  <conditionalFormatting sqref="A317:C317">
    <cfRule type="cellIs" dxfId="22" priority="26" stopIfTrue="1" operator="equal">
      <formula>A316</formula>
    </cfRule>
    <cfRule type="cellIs" dxfId="21" priority="27" stopIfTrue="1" operator="equal">
      <formula>0</formula>
    </cfRule>
  </conditionalFormatting>
  <conditionalFormatting sqref="A318:C318">
    <cfRule type="cellIs" dxfId="20" priority="24" stopIfTrue="1" operator="equal">
      <formula>A317</formula>
    </cfRule>
    <cfRule type="cellIs" dxfId="19" priority="25" stopIfTrue="1" operator="equal">
      <formula>0</formula>
    </cfRule>
  </conditionalFormatting>
  <conditionalFormatting sqref="A319:C319">
    <cfRule type="cellIs" dxfId="18" priority="22" stopIfTrue="1" operator="equal">
      <formula>A318</formula>
    </cfRule>
    <cfRule type="cellIs" dxfId="17" priority="23" stopIfTrue="1" operator="equal">
      <formula>0</formula>
    </cfRule>
  </conditionalFormatting>
  <conditionalFormatting sqref="A320:C320">
    <cfRule type="cellIs" dxfId="16" priority="20" stopIfTrue="1" operator="equal">
      <formula>A319</formula>
    </cfRule>
    <cfRule type="cellIs" dxfId="15" priority="21" stopIfTrue="1" operator="equal">
      <formula>0</formula>
    </cfRule>
  </conditionalFormatting>
  <conditionalFormatting sqref="A321:C321">
    <cfRule type="cellIs" dxfId="14" priority="18" stopIfTrue="1" operator="equal">
      <formula>A320</formula>
    </cfRule>
    <cfRule type="cellIs" dxfId="13" priority="19" stopIfTrue="1" operator="equal">
      <formula>0</formula>
    </cfRule>
  </conditionalFormatting>
  <conditionalFormatting sqref="A322:C322">
    <cfRule type="cellIs" dxfId="12" priority="16" stopIfTrue="1" operator="equal">
      <formula>A321</formula>
    </cfRule>
    <cfRule type="cellIs" dxfId="11" priority="17" stopIfTrue="1" operator="equal">
      <formula>0</formula>
    </cfRule>
  </conditionalFormatting>
  <conditionalFormatting sqref="A323:C323">
    <cfRule type="cellIs" dxfId="10" priority="14" stopIfTrue="1" operator="equal">
      <formula>A322</formula>
    </cfRule>
    <cfRule type="cellIs" dxfId="9" priority="15" stopIfTrue="1" operator="equal">
      <formula>0</formula>
    </cfRule>
  </conditionalFormatting>
  <conditionalFormatting sqref="A324:C324">
    <cfRule type="cellIs" dxfId="8" priority="12" stopIfTrue="1" operator="equal">
      <formula>A323</formula>
    </cfRule>
    <cfRule type="cellIs" dxfId="7" priority="13" stopIfTrue="1" operator="equal">
      <formula>0</formula>
    </cfRule>
  </conditionalFormatting>
  <conditionalFormatting sqref="A325:C325">
    <cfRule type="cellIs" dxfId="6" priority="10" stopIfTrue="1" operator="equal">
      <formula>A324</formula>
    </cfRule>
    <cfRule type="cellIs" dxfId="5" priority="11" stopIfTrue="1" operator="equal">
      <formula>0</formula>
    </cfRule>
  </conditionalFormatting>
  <conditionalFormatting sqref="A326:C326">
    <cfRule type="cellIs" dxfId="4" priority="8" stopIfTrue="1" operator="equal">
      <formula>A325</formula>
    </cfRule>
    <cfRule type="cellIs" dxfId="3" priority="9" stopIfTrue="1" operator="equal">
      <formula>0</formula>
    </cfRule>
  </conditionalFormatting>
  <conditionalFormatting sqref="A352">
    <cfRule type="cellIs" dxfId="2" priority="4" stopIfTrue="1" operator="equal">
      <formula>A351</formula>
    </cfRule>
  </conditionalFormatting>
  <conditionalFormatting sqref="A353">
    <cfRule type="cellIs" dxfId="1" priority="3" stopIfTrue="1" operator="equal">
      <formula>A352</formula>
    </cfRule>
  </conditionalFormatting>
  <conditionalFormatting sqref="A354">
    <cfRule type="cellIs" dxfId="0" priority="2" stopIfTrue="1" operator="equal">
      <formula>A353</formula>
    </cfRule>
  </conditionalFormatting>
  <pageMargins left="0.32" right="0.33" top="0.39370078740157499" bottom="0.39370078740157499" header="0" footer="0"/>
  <pageSetup paperSize="9" scale="65" fitToHeight="500" orientation="landscape" r:id="rId1"/>
  <headerFooter alignWithMargins="0"/>
  <colBreaks count="1" manualBreakCount="1">
    <brk id="77"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Додаток2 КПК0111021</vt:lpstr>
      <vt:lpstr>'Додаток2 КПК0111021'!Область_печати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Windows</dc:creator>
  <cp:lastModifiedBy>Пользователь1</cp:lastModifiedBy>
  <cp:lastPrinted>2019-10-19T14:09:19Z</cp:lastPrinted>
  <dcterms:created xsi:type="dcterms:W3CDTF">2016-07-02T12:27:50Z</dcterms:created>
  <dcterms:modified xsi:type="dcterms:W3CDTF">2024-11-11T11:07:37Z</dcterms:modified>
</cp:coreProperties>
</file>