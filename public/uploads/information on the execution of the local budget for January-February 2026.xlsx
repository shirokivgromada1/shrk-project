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ЮДЖЕТ на 2026 рік\ВИКОНАННЯ БЮДЖЕТУ 2026 рік\"/>
    </mc:Choice>
  </mc:AlternateContent>
  <xr:revisionPtr revIDLastSave="0" documentId="13_ncr:1_{43B6F9E0-2D2D-49F6-B39C-5E1C42B4F53F}" xr6:coauthVersionLast="46" xr6:coauthVersionMax="46" xr10:uidLastSave="{00000000-0000-0000-0000-000000000000}"/>
  <bookViews>
    <workbookView xWindow="-120" yWindow="-120" windowWidth="29040" windowHeight="15840" activeTab="1" xr2:uid="{4ABB10BF-F29E-4466-998D-4CC25BF75D56}"/>
  </bookViews>
  <sheets>
    <sheet name="доходи" sheetId="1" r:id="rId1"/>
    <sheet name="видатки" sheetId="2" r:id="rId2"/>
  </sheets>
  <definedNames>
    <definedName name="CREXPORT">#REF!</definedName>
    <definedName name="n" hidden="1">{#N/A,#N/A,FALSE,"Лист4"}</definedName>
    <definedName name="wrn.Інструкція." hidden="1">{#N/A,#N/A,FALSE,"Лист4"}</definedName>
    <definedName name="аа" hidden="1">{#N/A,#N/A,FALSE,"Лист4"}</definedName>
    <definedName name="аааа" hidden="1">{#N/A,#N/A,FALSE,"Лист4"}</definedName>
    <definedName name="ааааа" hidden="1">{#N/A,#N/A,FALSE,"Лист4"}</definedName>
    <definedName name="аааг" hidden="1">{#N/A,#N/A,FALSE,"Лист4"}</definedName>
    <definedName name="ааао" hidden="1">{#N/A,#N/A,FALSE,"Лист4"}</definedName>
    <definedName name="аааоркк" hidden="1">{#N/A,#N/A,FALSE,"Лист4"}</definedName>
    <definedName name="аарр" hidden="1">{#N/A,#N/A,FALSE,"Лист4"}</definedName>
    <definedName name="амп" hidden="1">{#N/A,#N/A,FALSE,"Лист4"}</definedName>
    <definedName name="ап" hidden="1">{#N/A,#N/A,FALSE,"Лист4"}</definedName>
    <definedName name="апро" hidden="1">{#N/A,#N/A,FALSE,"Лист4"}</definedName>
    <definedName name="аунуну" hidden="1">{#N/A,#N/A,FALSE,"Лист4"}</definedName>
    <definedName name="бб" hidden="1">{#N/A,#N/A,FALSE,"Лист4"}</definedName>
    <definedName name="вап" hidden="1">{#N/A,#N/A,FALSE,"Лист4"}</definedName>
    <definedName name="вапа" hidden="1">{#N/A,#N/A,FALSE,"Лист4"}</definedName>
    <definedName name="вапро" hidden="1">{#N/A,#N/A,FALSE,"Лист4"}</definedName>
    <definedName name="вау" hidden="1">{#N/A,#N/A,FALSE,"Лист4"}</definedName>
    <definedName name="вв" hidden="1">{#N/A,#N/A,FALSE,"Лист4"}</definedName>
    <definedName name="вмр" hidden="1">{#N/A,#N/A,FALSE,"Лист4"}</definedName>
    <definedName name="вруу" hidden="1">{#N/A,#N/A,FALSE,"Лист4"}</definedName>
    <definedName name="врууунуууу" hidden="1">{#N/A,#N/A,FALSE,"Лист4"}</definedName>
    <definedName name="гг" hidden="1">{#N/A,#N/A,FALSE,"Лист4"}</definedName>
    <definedName name="ггг" hidden="1">{#N/A,#N/A,FALSE,"Лист4"}</definedName>
    <definedName name="гго" hidden="1">{#N/A,#N/A,FALSE,"Лист4"}</definedName>
    <definedName name="ггшшз" hidden="1">{#N/A,#N/A,FALSE,"Лист4"}</definedName>
    <definedName name="гр" hidden="1">{#N/A,#N/A,FALSE,"Лист4"}</definedName>
    <definedName name="ддд" hidden="1">{#N/A,#N/A,FALSE,"Лист4"}</definedName>
    <definedName name="е" hidden="1">{#N/A,#N/A,FALSE,"Лист4"}</definedName>
    <definedName name="ее" hidden="1">{#N/A,#N/A,FALSE,"Лист4"}</definedName>
    <definedName name="ееге" hidden="1">{#N/A,#N/A,FALSE,"Лист4"}</definedName>
    <definedName name="еегше" hidden="1">{#N/A,#N/A,FALSE,"Лист4"}</definedName>
    <definedName name="еее" hidden="1">{#N/A,#N/A,FALSE,"Лист4"}</definedName>
    <definedName name="ееее" hidden="1">{#N/A,#N/A,FALSE,"Лист4"}</definedName>
    <definedName name="ееекк" hidden="1">{#N/A,#N/A,FALSE,"Лист4"}</definedName>
    <definedName name="еепке" hidden="1">{#N/A,#N/A,FALSE,"Лист4"}</definedName>
    <definedName name="еешгег" hidden="1">{#N/A,#N/A,FALSE,"Лист4"}</definedName>
    <definedName name="екуц" hidden="1">{#N/A,#N/A,FALSE,"Лист4"}</definedName>
    <definedName name="енг" hidden="1">{#N/A,#N/A,FALSE,"Лист4"}</definedName>
    <definedName name="епи" hidden="1">{#N/A,#N/A,FALSE,"Лист4"}</definedName>
    <definedName name="ешгееуу" hidden="1">{#N/A,#N/A,FALSE,"Лист4"}</definedName>
    <definedName name="є" hidden="1">{#N/A,#N/A,FALSE,"Лист4"}</definedName>
    <definedName name="єєє" hidden="1">{#N/A,#N/A,FALSE,"Лист4"}</definedName>
    <definedName name="єєєєєє" hidden="1">{#N/A,#N/A,FALSE,"Лист4"}</definedName>
    <definedName name="єєєєєєє" hidden="1">{#N/A,#N/A,FALSE,"Лист4"}</definedName>
    <definedName name="єєєєєєє." hidden="1">{#N/A,#N/A,FALSE,"Лист4"}</definedName>
    <definedName name="єж" hidden="1">{#N/A,#N/A,FALSE,"Лист4"}</definedName>
    <definedName name="жж" hidden="1">{#N/A,#N/A,FALSE,"Лист4"}</definedName>
    <definedName name="житлове" hidden="1">{#N/A,#N/A,FALSE,"Лист4"}</definedName>
    <definedName name="_xlnm.Print_Titles" localSheetId="1">видатки!$7:$8</definedName>
    <definedName name="_xlnm.Print_Titles" localSheetId="0">доходи!$A:$B</definedName>
    <definedName name="здоровя" hidden="1">{#N/A,#N/A,FALSE,"Лист4"}</definedName>
    <definedName name="зз" hidden="1">{#N/A,#N/A,FALSE,"Лист4"}</definedName>
    <definedName name="ззз" hidden="1">{#N/A,#N/A,FALSE,"Лист4"}</definedName>
    <definedName name="зззз" hidden="1">{#N/A,#N/A,FALSE,"Лист4"}</definedName>
    <definedName name="ип" hidden="1">{#N/A,#N/A,FALSE,"Лист4"}</definedName>
    <definedName name="ить" hidden="1">{#N/A,#N/A,FALSE,"Лист4"}</definedName>
    <definedName name="іваа" hidden="1">{#N/A,#N/A,FALSE,"Лист4"}</definedName>
    <definedName name="івап" hidden="1">{#N/A,#N/A,FALSE,"Лист4"}</definedName>
    <definedName name="івпа" hidden="1">{#N/A,#N/A,FALSE,"Лист4"}</definedName>
    <definedName name="іі" hidden="1">{#N/A,#N/A,FALSE,"Лист4"}</definedName>
    <definedName name="ііі" hidden="1">{#N/A,#N/A,FALSE,"Лист4"}</definedName>
    <definedName name="іііі" hidden="1">{#N/A,#N/A,FALSE,"Лист4"}</definedName>
    <definedName name="ін" hidden="1">{#N/A,#N/A,FALSE,"Лист4"}</definedName>
    <definedName name="інші" hidden="1">{#N/A,#N/A,FALSE,"Лист4"}</definedName>
    <definedName name="іук" hidden="1">{#N/A,#N/A,FALSE,"Лист4"}</definedName>
    <definedName name="їжд" hidden="1">{#N/A,#N/A,FALSE,"Лист4"}</definedName>
    <definedName name="ййй" hidden="1">{#N/A,#N/A,FALSE,"Лист4"}</definedName>
    <definedName name="йййй" hidden="1">{#N/A,#N/A,FALSE,"Лист4"}</definedName>
    <definedName name="кгккг" hidden="1">{#N/A,#N/A,FALSE,"Лист4"}</definedName>
    <definedName name="кгкккк" hidden="1">{#N/A,#N/A,FALSE,"Лист4"}</definedName>
    <definedName name="кеуц" hidden="1">{#N/A,#N/A,FALSE,"Лист4"}</definedName>
    <definedName name="кк" hidden="1">{#N/A,#N/A,FALSE,"Лист4"}</definedName>
    <definedName name="ккгкг" hidden="1">{#N/A,#N/A,FALSE,"Лист4"}</definedName>
    <definedName name="ккк" hidden="1">{#N/A,#N/A,FALSE,"Лист4"}</definedName>
    <definedName name="кккну" hidden="1">{#N/A,#N/A,FALSE,"Лист4"}</definedName>
    <definedName name="кккокк" hidden="1">{#N/A,#N/A,FALSE,"Лист4"}</definedName>
    <definedName name="комунальне" hidden="1">{#N/A,#N/A,FALSE,"Лист4"}</definedName>
    <definedName name="кот" hidden="1">{#N/A,#N/A,FALSE,"Лист4"}</definedName>
    <definedName name="кр" hidden="1">{#N/A,#N/A,FALSE,"Лист4"}</definedName>
    <definedName name="культура" hidden="1">{#N/A,#N/A,FALSE,"Лист4"}</definedName>
    <definedName name="л" hidden="1">{#N/A,#N/A,FALSE,"Лист4"}</definedName>
    <definedName name="лд" hidden="1">{#N/A,#N/A,FALSE,"Лист4"}</definedName>
    <definedName name="лл" hidden="1">{#N/A,#N/A,FALSE,"Лист4"}</definedName>
    <definedName name="ллл" hidden="1">{#N/A,#N/A,FALSE,"Лист4"}</definedName>
    <definedName name="лнпллпл" hidden="1">{#N/A,#N/A,FALSE,"Лист4"}</definedName>
    <definedName name="мак" hidden="1">{#N/A,#N/A,FALSE,"Лист4"}</definedName>
    <definedName name="мм" hidden="1">{#N/A,#N/A,FALSE,"Лист4"}</definedName>
    <definedName name="мпе" hidden="1">{#N/A,#N/A,FALSE,"Лист4"}</definedName>
    <definedName name="нгнгш" hidden="1">{#N/A,#N/A,FALSE,"Лист4"}</definedName>
    <definedName name="ннггг" hidden="1">{#N/A,#N/A,FALSE,"Лист4"}</definedName>
    <definedName name="ннн" hidden="1">{#N/A,#N/A,FALSE,"Лист4"}</definedName>
    <definedName name="ннннг" hidden="1">{#N/A,#N/A,FALSE,"Лист4"}</definedName>
    <definedName name="нннннннн" hidden="1">{#N/A,#N/A,FALSE,"Лист4"}</definedName>
    <definedName name="ннншенгке" hidden="1">{#N/A,#N/A,FALSE,"Лист4"}</definedName>
    <definedName name="нншекк" hidden="1">{#N/A,#N/A,FALSE,"Лист4"}</definedName>
    <definedName name="оггне" hidden="1">{#N/A,#N/A,FALSE,"Лист4"}</definedName>
    <definedName name="оллд" hidden="1">{#N/A,#N/A,FALSE,"Лист4"}</definedName>
    <definedName name="олол" hidden="1">{#N/A,#N/A,FALSE,"Лист4"}</definedName>
    <definedName name="оо" hidden="1">{#N/A,#N/A,FALSE,"Лист4"}</definedName>
    <definedName name="ооо" hidden="1">{#N/A,#N/A,FALSE,"Лист4"}</definedName>
    <definedName name="орнг" hidden="1">{#N/A,#N/A,FALSE,"Лист4"}</definedName>
    <definedName name="освіта" hidden="1">{#N/A,#N/A,FALSE,"Лист4"}</definedName>
    <definedName name="ох" hidden="1">{#N/A,#N/A,FALSE,"Лист4"}</definedName>
    <definedName name="охорона" hidden="1">{#N/A,#N/A,FALSE,"Лист4"}</definedName>
    <definedName name="плеккккг" hidden="1">{#N/A,#N/A,FALSE,"Лист4"}</definedName>
    <definedName name="пллеелш" hidden="1">{#N/A,#N/A,FALSE,"Лист4"}</definedName>
    <definedName name="попле" hidden="1">{#N/A,#N/A,FALSE,"Лист4"}</definedName>
    <definedName name="пот" hidden="1">{#N/A,#N/A,FALSE,"Лист4"}</definedName>
    <definedName name="пп" hidden="1">{#N/A,#N/A,FALSE,"Лист4"}</definedName>
    <definedName name="ппше" hidden="1">{#N/A,#N/A,FALSE,"Лист4"}</definedName>
    <definedName name="про" hidden="1">{#N/A,#N/A,FALSE,"Лист4"}</definedName>
    <definedName name="прое" hidden="1">{#N/A,#N/A,FALSE,"Лист4"}</definedName>
    <definedName name="прои" hidden="1">{#N/A,#N/A,FALSE,"Лист4"}</definedName>
    <definedName name="рор" hidden="1">{#N/A,#N/A,FALSE,"Лист4"}</definedName>
    <definedName name="роро" hidden="1">{#N/A,#N/A,FALSE,"Лист4"}</definedName>
    <definedName name="рррр" hidden="1">{#N/A,#N/A,FALSE,"Лист4"}</definedName>
    <definedName name="сми" hidden="1">{#N/A,#N/A,FALSE,"Лист4"}</definedName>
    <definedName name="сс" hidden="1">{#N/A,#N/A,FALSE,"Лист4"}</definedName>
    <definedName name="сум" hidden="1">{#N/A,#N/A,FALSE,"Лист4"}</definedName>
    <definedName name="Суми" hidden="1">{#N/A,#N/A,FALSE,"Лист4"}</definedName>
    <definedName name="счу" hidden="1">{#N/A,#N/A,FALSE,"Лист4"}</definedName>
    <definedName name="счя" hidden="1">{#N/A,#N/A,FALSE,"Лист4"}</definedName>
    <definedName name="тогн" hidden="1">{#N/A,#N/A,FALSE,"Лист4"}</definedName>
    <definedName name="трн" hidden="1">{#N/A,#N/A,FALSE,"Лист4"}</definedName>
    <definedName name="ттт" hidden="1">{#N/A,#N/A,FALSE,"Лист4"}</definedName>
    <definedName name="ть" hidden="1">{#N/A,#N/A,FALSE,"Лист4"}</definedName>
    <definedName name="уа" hidden="1">{#N/A,#N/A,FALSE,"Лист4"}</definedName>
    <definedName name="увке" hidden="1">{#N/A,#N/A,FALSE,"Лист4"}</definedName>
    <definedName name="уеунукнун" hidden="1">{#N/A,#N/A,FALSE,"Лист4"}</definedName>
    <definedName name="уке" hidden="1">{#N/A,#N/A,FALSE,"Лист4"}</definedName>
    <definedName name="укй" hidden="1">{#N/A,#N/A,FALSE,"Лист4"}</definedName>
    <definedName name="укунн" hidden="1">{#N/A,#N/A,FALSE,"Лист4"}</definedName>
    <definedName name="унунен" hidden="1">{#N/A,#N/A,FALSE,"Лист4"}</definedName>
    <definedName name="унунун" hidden="1">{#N/A,#N/A,FALSE,"Лист4"}</definedName>
    <definedName name="унуу" hidden="1">{#N/A,#N/A,FALSE,"Лист4"}</definedName>
    <definedName name="унуун" hidden="1">{#N/A,#N/A,FALSE,"Лист4"}</definedName>
    <definedName name="унууу" hidden="1">{#N/A,#N/A,FALSE,"Лист4"}</definedName>
    <definedName name="управ" hidden="1">{#N/A,#N/A,FALSE,"Лист4"}</definedName>
    <definedName name="управління" hidden="1">{#N/A,#N/A,FALSE,"Лист4"}</definedName>
    <definedName name="уукее" hidden="1">{#N/A,#N/A,FALSE,"Лист4"}</definedName>
    <definedName name="ууннну" hidden="1">{#N/A,#N/A,FALSE,"Лист4"}</definedName>
    <definedName name="ууну" hidden="1">{#N/A,#N/A,FALSE,"Лист4"}</definedName>
    <definedName name="уунунг" hidden="1">{#N/A,#N/A,FALSE,"Лист4"}</definedName>
    <definedName name="уунунууу" hidden="1">{#N/A,#N/A,FALSE,"Лист4"}</definedName>
    <definedName name="уунуурр" hidden="1">{#N/A,#N/A,FALSE,"Лист4"}</definedName>
    <definedName name="уунуууу" hidden="1">{#N/A,#N/A,FALSE,"Лист4"}</definedName>
    <definedName name="ууу" hidden="1">{#N/A,#N/A,FALSE,"Лист4"}</definedName>
    <definedName name="ууунну" hidden="1">{#N/A,#N/A,FALSE,"Лист4"}</definedName>
    <definedName name="ууунууууу" hidden="1">{#N/A,#N/A,FALSE,"Лист4"}</definedName>
    <definedName name="уууу" hidden="1">{#N/A,#N/A,FALSE,"Лист4"}</definedName>
    <definedName name="уууу32" hidden="1">{#N/A,#N/A,FALSE,"Лист4"}</definedName>
    <definedName name="уууун" hidden="1">{#N/A,#N/A,FALSE,"Лист4"}</definedName>
    <definedName name="фф" hidden="1">{#N/A,#N/A,FALSE,"Лист4"}</definedName>
    <definedName name="ффф" hidden="1">{#N/A,#N/A,FALSE,"Лист4"}</definedName>
    <definedName name="фффф" hidden="1">{#N/A,#N/A,FALSE,"Лист4"}</definedName>
    <definedName name="ффффф" hidden="1">{#N/A,#N/A,FALSE,"Лист4"}</definedName>
    <definedName name="хз" hidden="1">{#N/A,#N/A,FALSE,"Лист4"}</definedName>
    <definedName name="хїз" hidden="1">{#N/A,#N/A,FALSE,"Лист4"}</definedName>
    <definedName name="ххх" hidden="1">{#N/A,#N/A,FALSE,"Лист4"}</definedName>
    <definedName name="ц" hidden="1">{#N/A,#N/A,FALSE,"Лист4"}</definedName>
    <definedName name="цва" hidden="1">{#N/A,#N/A,FALSE,"Лист4"}</definedName>
    <definedName name="цекццецце" hidden="1">{#N/A,#N/A,FALSE,"Лист4"}</definedName>
    <definedName name="цеце" hidden="1">{#N/A,#N/A,FALSE,"Лист4"}</definedName>
    <definedName name="цецеце" hidden="1">{#N/A,#N/A,FALSE,"Лист4"}</definedName>
    <definedName name="цук" hidden="1">{#N/A,#N/A,FALSE,"Лист4"}</definedName>
    <definedName name="цуку" hidden="1">{#N/A,#N/A,FALSE,"Лист4"}</definedName>
    <definedName name="цууу" hidden="1">{#N/A,#N/A,FALSE,"Лист4"}</definedName>
    <definedName name="цц" hidden="1">{#N/A,#N/A,FALSE,"Лист4"}</definedName>
    <definedName name="ццвва" hidden="1">{#N/A,#N/A,FALSE,"Лист4"}</definedName>
    <definedName name="ццецц" hidden="1">{#N/A,#N/A,FALSE,"Лист4"}</definedName>
    <definedName name="ццеццке" hidden="1">{#N/A,#N/A,FALSE,"Лист4"}</definedName>
    <definedName name="ццеццкевап" hidden="1">{#N/A,#N/A,FALSE,"Лист4"}</definedName>
    <definedName name="ццке" hidden="1">{#N/A,#N/A,FALSE,"Лист4"}</definedName>
    <definedName name="ццук" hidden="1">{#N/A,#N/A,FALSE,"Лист4"}</definedName>
    <definedName name="цццецц" hidden="1">{#N/A,#N/A,FALSE,"Лист4"}</definedName>
    <definedName name="цццкеец" hidden="1">{#N/A,#N/A,FALSE,"Лист4"}</definedName>
    <definedName name="цццц" hidden="1">{#N/A,#N/A,FALSE,"Лист4"}</definedName>
    <definedName name="ццццкц" hidden="1">{#N/A,#N/A,FALSE,"Лист4"}</definedName>
    <definedName name="ццццц" hidden="1">{#N/A,#N/A,FALSE,"Лист4"}</definedName>
    <definedName name="цццццц" hidden="1">{#N/A,#N/A,FALSE,"Лист4"}</definedName>
    <definedName name="чву" hidden="1">{#N/A,#N/A,FALSE,"Лист4"}</definedName>
    <definedName name="чч" hidden="1">{#N/A,#N/A,FALSE,"Лист4"}</definedName>
    <definedName name="ччч" hidden="1">{#N/A,#N/A,FALSE,"Лист4"}</definedName>
    <definedName name="шш" hidden="1">{#N/A,#N/A,FALSE,"Лист4"}</definedName>
    <definedName name="шшшш" hidden="1">{#N/A,#N/A,FALSE,"Лист4"}</definedName>
    <definedName name="щщ" hidden="1">{#N/A,#N/A,FALSE,"Лист4"}</definedName>
    <definedName name="щщщ" hidden="1">{#N/A,#N/A,FALSE,"Лист4"}</definedName>
    <definedName name="щщщшг" hidden="1">{#N/A,#N/A,FALSE,"Лист4"}</definedName>
    <definedName name="юю" hidden="1">{#N/A,#N/A,FALSE,"Лист4"}</definedName>
    <definedName name="ююю" hidden="1">{#N/A,#N/A,FALSE,"Лист4"}</definedName>
    <definedName name="яяя" hidden="1">{#N/A,#N/A,FALSE,"Лист4"}</definedName>
    <definedName name="яяяя" hidden="1">{#N/A,#N/A,FALSE,"Лист4"}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1" i="2" l="1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</calcChain>
</file>

<file path=xl/sharedStrings.xml><?xml version="1.0" encoding="utf-8"?>
<sst xmlns="http://schemas.openxmlformats.org/spreadsheetml/2006/main" count="159" uniqueCount="151">
  <si>
    <t>ККД</t>
  </si>
  <si>
    <t>Доходи</t>
  </si>
  <si>
    <t>0852300000 - Бюджет Широкiвської сiльської територiальної громади</t>
  </si>
  <si>
    <t>Уточн.річн. план</t>
  </si>
  <si>
    <t xml:space="preserve"> Уточ.пл. за період</t>
  </si>
  <si>
    <t>Факт</t>
  </si>
  <si>
    <t>+/-</t>
  </si>
  <si>
    <t>% викон.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</si>
  <si>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</si>
  <si>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</si>
  <si>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</si>
  <si>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</si>
  <si>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доходи фізичних осіб, що сплачується податковими агентами, із доходів платника податку інших ніж заробітна плата</t>
  </si>
  <si>
    <t>Податок на доходи фізичних осіб, що сплачується фізичними особами за результатами річного декларування</t>
  </si>
  <si>
    <t>Податок на доходи фізичних осіб у вигляді мінімального податкового зобов`язання, що підлягає сплаті фізичними особами</t>
  </si>
  <si>
    <t>Податок на прибуток підприємств</t>
  </si>
  <si>
    <t>Податок на прибуток підприємств та фінансових установ комунальної власності</t>
  </si>
  <si>
    <t>Рентна плата та плата за використання інших природних ресурсів</t>
  </si>
  <si>
    <t>Рентна плата за користування надрами загальнодержавного значення</t>
  </si>
  <si>
    <t>Рентна плата за користування надрами для видобування інших корисних копалин загальнодержавного значення (крім видобування корисних копалин, визначених як Активи природних ресурсів)</t>
  </si>
  <si>
    <t>Внутрішні податки на товари та послуги</t>
  </si>
  <si>
    <t>Акцизний податок з вироблених в Україні підакцизних товарів (продукції)</t>
  </si>
  <si>
    <t>Пальне</t>
  </si>
  <si>
    <t>Акцизний податок з ввезених на митну територію України підакцизних товарів (продукції)</t>
  </si>
  <si>
    <t>Акцизний податок з реалізації суб`єктами господарювання роздрібної торгівлі підакцизних товарів</t>
  </si>
  <si>
    <t>Акцизний податок з реалізації виробниками та/або імпортерами, у тому числі в роздрібній торгівлі тютюнових виробів, тютюну та промислових замінників тютюну, рідин, що використовуються в електронних сигаретах, що оподатковується згідно з підпунктом 213.1.1</t>
  </si>
  <si>
    <t>Акцизний податок з реалізації суб`єктами господарювання роздрібної торгівлі підакцизних товарів (крім тих, що оподатковуються згідно з підпунктом 213.1.14 пункту 213.1 статті 213 Податкового кодексу України)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</si>
  <si>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</si>
  <si>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</si>
  <si>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Податок на нерухоме майно, відмінне від земельної ділянки, сплачений юридичними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</si>
  <si>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</si>
  <si>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нежитлової нерухомості</t>
  </si>
  <si>
    <t>Податок на нерухоме майно, відмінне від земельної ділянки, сплачений юридичними особами, які є власниками об`єктів нежитлової нерухомості</t>
  </si>
  <si>
    <t>Земельний податок з юридичних осіб</t>
  </si>
  <si>
    <t>Орендна плата з юридичних осіб</t>
  </si>
  <si>
    <t>Земельний податок з фізичних осіб</t>
  </si>
  <si>
    <t>Орендна плата з фізичних осіб</t>
  </si>
  <si>
    <t>Транспортний податок з юридичних осіб</t>
  </si>
  <si>
    <t>Єдиний податок</t>
  </si>
  <si>
    <t>Єдиний податок з юридичних осіб</t>
  </si>
  <si>
    <t>Єдиний податок з фізичних осіб</t>
  </si>
  <si>
    <t>Єдиний податок з сільськогосподарських товаровиробників, у яких частка сільськогосподарського товаровиробництва за попередній податковий (звітний) рік дорівнює або перевищує 75 відсотків</t>
  </si>
  <si>
    <t>Неподаткові надходження</t>
  </si>
  <si>
    <t>Доходи від власності та підприємницької діяльності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</si>
  <si>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</si>
  <si>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</si>
  <si>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Інші надходження</t>
  </si>
  <si>
    <t>Адміністративні штрафи та інші санкції</t>
  </si>
  <si>
    <t>Адміністративні штрафи за адміністративні правопорушення у сфері забезпечення безпеки дорожнього руху, зафіксовані в автоматичному режимі</t>
  </si>
  <si>
    <t>Адміністративні збори та платежі, доходи від некомерційної господарської діяльності</t>
  </si>
  <si>
    <t>Плата за надання адміністративних послуг</t>
  </si>
  <si>
    <t>Плата за надання інших адміністративних послуг</t>
  </si>
  <si>
    <t>Адміністративний збір за державну реєстрацію речових прав на нерухоме майно та їх обтяжень</t>
  </si>
  <si>
    <t>Державне мито</t>
  </si>
  <si>
    <t>Державне мито, що сплачується за місцем розгляду та оформлення документів, у тому числі за оформлення документів на спадщину і дарування</t>
  </si>
  <si>
    <t>Державне мито, пов`язане з видачею та оформленням закордонних паспортів (посвідок) та паспортів громадян України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</si>
  <si>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</si>
  <si>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Інші неподаткові надходження</t>
  </si>
  <si>
    <t>Офіційні трансферти</t>
  </si>
  <si>
    <t>Від органів державного управління</t>
  </si>
  <si>
    <t>Дотації з державного бюджету місцевим бюджетам</t>
  </si>
  <si>
    <t>Базова дотація</t>
  </si>
  <si>
    <t>Додаткова дотація з державного бюджету місцевим бюджетам на функціонування територій, на яких ведуться бойові дії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</si>
  <si>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</t>
  </si>
  <si>
    <t>Субвенція з державного бюджету місцевим бюджетам на забезпечення харчуванням учнів закладів загальної середньої освіти</t>
  </si>
  <si>
    <t>Освітня субвенція з державного бюджету місцевим бюджетам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</si>
  <si>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</si>
  <si>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</si>
  <si>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Субвенції з місцевих бюджетів іншим місцевим бюджетам</t>
  </si>
  <si>
    <t>Інші субвенції з місцевого бюджету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</si>
  <si>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</si>
  <si>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</si>
  <si>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</si>
  <si>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</si>
  <si>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</si>
  <si>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</si>
  <si>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рік відносно касових</t>
  </si>
  <si>
    <t>Залишки плану на період відносно касових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</si>
  <si>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</si>
  <si>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</si>
  <si>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</si>
  <si>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</si>
  <si>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</si>
  <si>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</si>
  <si>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</si>
  <si>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</si>
  <si>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</si>
  <si>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</si>
  <si>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0111702</t>
  </si>
  <si>
    <t>Забезпечення харчуванням учнів закладів загальної середньої освіти за рахунок субвенції з державного бюджету місцевим бюджетам</t>
  </si>
  <si>
    <t>0112010</t>
  </si>
  <si>
    <t>Багатопрофільна стаціонарна медична допомога населенню</t>
  </si>
  <si>
    <t>0112151</t>
  </si>
  <si>
    <t>Забезпечення діяльності інших закладів у сфері охорони здоров`я</t>
  </si>
  <si>
    <t>0112152</t>
  </si>
  <si>
    <t>Інші програми та заходи у сфері охорони здоров`я</t>
  </si>
  <si>
    <t>0113031</t>
  </si>
  <si>
    <t>Надання інших пільг окремим категоріям громадян відповідно до законодавства</t>
  </si>
  <si>
    <t>0113112</t>
  </si>
  <si>
    <t>Заходи державної політики з питань дітей та їх соціального захисту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</si>
  <si>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</si>
  <si>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</si>
  <si>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</si>
  <si>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</si>
  <si>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</si>
  <si>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</si>
  <si>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</si>
  <si>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</si>
  <si>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0113242</t>
  </si>
  <si>
    <t>Інші заходи та заклади у сфері соціального захисту і соціального забезпечення</t>
  </si>
  <si>
    <t>0114081</t>
  </si>
  <si>
    <t>Забезпечення діяльності інших закладів в галузі культури і мистецтва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</si>
  <si>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</si>
  <si>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</si>
  <si>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</si>
  <si>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</si>
  <si>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</si>
  <si>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</si>
  <si>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</si>
  <si>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</si>
  <si>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</si>
  <si>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</si>
  <si>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</si>
  <si>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</si>
  <si>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</si>
  <si>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</si>
  <si>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</si>
  <si>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Інші заходи у сфері медіа (засобів масової інформації)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</si>
  <si>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</si>
  <si>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</si>
  <si>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</si>
  <si>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</si>
  <si>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</si>
  <si>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1616030</t>
  </si>
  <si>
    <t>1617350</t>
  </si>
  <si>
    <t>Розроблення схем планування та забудови територій (містобудівної документації)</t>
  </si>
  <si>
    <t>3710160</t>
  </si>
  <si>
    <t>3718710</t>
  </si>
  <si>
    <t>Резервний фонд місцевого бюджету</t>
  </si>
  <si>
    <t xml:space="preserve"> </t>
  </si>
  <si>
    <t xml:space="preserve">Усього </t>
  </si>
  <si>
    <t>ІНФОРМАЦІЯ</t>
  </si>
  <si>
    <t>про виконання доходної  частини місцевого бюджету</t>
  </si>
  <si>
    <t>загальний фонд</t>
  </si>
  <si>
    <t>тис. грн</t>
  </si>
  <si>
    <t>за січень - лютий  2026 року</t>
  </si>
  <si>
    <t>Всього без урахування трансфертів</t>
  </si>
  <si>
    <t>ВСЬОГО</t>
  </si>
  <si>
    <t xml:space="preserve">% виконання на вказаний період </t>
  </si>
  <si>
    <t>про виконання видаткової частини місцевого бюджету</t>
  </si>
  <si>
    <t>за січень - лютий 2026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</si>
</sst>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charset val="204"/>
    </font>
    <font>
      <b/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/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wrapText="1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vertical="center" wrapText="1"/>
    </xf>
    <xf numFmtId="4" fontId="2" fillId="0" borderId="1" xfId="1" applyNumberFormat="1" applyBorder="1" applyAlignment="1">
      <alignment vertical="center"/>
    </xf>
    <xf numFmtId="4" fontId="5" fillId="2" borderId="1" xfId="1" applyNumberFormat="1" applyFont="1" applyFill="1" applyBorder="1" applyAlignment="1">
      <alignment vertical="center"/>
    </xf>
    <xf numFmtId="4" fontId="2" fillId="0" borderId="0" xfId="1" applyNumberFormat="1" applyAlignment="1">
      <alignment vertical="center"/>
    </xf>
    <xf numFmtId="0" fontId="2" fillId="0" borderId="0" xfId="1" applyAlignment="1">
      <alignment horizontal="center" vertical="center"/>
    </xf>
    <xf numFmtId="0" fontId="2" fillId="0" borderId="0" xfId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4" fontId="0" fillId="0" borderId="1" xfId="0" applyNumberFormat="1" applyBorder="1"/>
    <xf numFmtId="0" fontId="1" fillId="3" borderId="1" xfId="0" applyFont="1" applyFill="1" applyBorder="1"/>
    <xf numFmtId="4" fontId="1" fillId="3" borderId="1" xfId="0" applyNumberFormat="1" applyFont="1" applyFill="1" applyBorder="1"/>
    <xf numFmtId="164" fontId="1" fillId="3" borderId="1" xfId="0" applyNumberFormat="1" applyFont="1" applyFill="1" applyBorder="1"/>
    <xf numFmtId="0" fontId="6" fillId="0" borderId="1" xfId="0" quotePrefix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" fontId="1" fillId="0" borderId="1" xfId="0" applyNumberFormat="1" applyFont="1" applyBorder="1"/>
    <xf numFmtId="164" fontId="1" fillId="0" borderId="1" xfId="0" applyNumberFormat="1" applyFont="1" applyBorder="1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4" fontId="7" fillId="4" borderId="1" xfId="1" applyNumberFormat="1" applyFont="1" applyFill="1" applyBorder="1" applyAlignment="1">
      <alignment vertical="center"/>
    </xf>
    <xf numFmtId="0" fontId="8" fillId="0" borderId="0" xfId="1" applyFont="1" applyAlignment="1">
      <alignment horizontal="center"/>
    </xf>
    <xf numFmtId="0" fontId="5" fillId="0" borderId="0" xfId="1" applyFont="1" applyAlignment="1">
      <alignment horizontal="center"/>
    </xf>
  </cellXfs>
  <cellStyles count="2">
    <cellStyle name="Обычный" xfId="0" builtinId="0"/>
    <cellStyle name="Обычный 2" xfId="1" xr:uid="{B3E62B81-59B7-4F65-B293-E90E6608A283}"/>
  </cellStyles>
  <dxfs count="54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2937-8F6A-4DC0-9492-5DF737C51611}">
  <dimension ref="A2:J76"/>
  <sheetViews>
    <sheetView workbookViewId="0">
      <selection activeCell="D18" sqref="D18"/>
    </sheetView>
  </sheetViews>
  <sheetFormatPr defaultRowHeight="15" x14ac:dyDescent="0.25"/>
  <cols>
    <col min="1" max="1" width="14.140625" style="35" customWidth="1"/>
    <col min="2" max="2" width="58.28515625" customWidth="1"/>
    <col min="3" max="4" width="13.85546875" customWidth="1"/>
    <col min="5" max="5" width="11.5703125" customWidth="1"/>
    <col min="6" max="6" width="11" customWidth="1"/>
    <col min="7" max="7" width="10.85546875" customWidth="1"/>
  </cols>
  <sheetData>
    <row r="2" spans="1:10" x14ac:dyDescent="0.25">
      <c r="A2" s="22" t="s">
        <v>141</v>
      </c>
      <c r="B2" s="22"/>
      <c r="C2" s="22"/>
      <c r="D2" s="22"/>
      <c r="E2" s="22"/>
      <c r="F2" s="22"/>
      <c r="G2" s="22"/>
    </row>
    <row r="3" spans="1:10" x14ac:dyDescent="0.25">
      <c r="A3" s="22" t="s">
        <v>142</v>
      </c>
      <c r="B3" s="22"/>
      <c r="C3" s="22"/>
      <c r="D3" s="22"/>
      <c r="E3" s="22"/>
      <c r="F3" s="22"/>
      <c r="G3" s="22"/>
    </row>
    <row r="4" spans="1:10" x14ac:dyDescent="0.25">
      <c r="A4" s="22" t="s">
        <v>143</v>
      </c>
      <c r="B4" s="22"/>
      <c r="C4" s="22"/>
      <c r="D4" s="22"/>
      <c r="E4" s="22"/>
      <c r="F4" s="22"/>
      <c r="G4" s="22"/>
      <c r="H4" s="1"/>
      <c r="I4" s="1"/>
      <c r="J4" s="1"/>
    </row>
    <row r="5" spans="1:10" x14ac:dyDescent="0.25">
      <c r="A5" s="22" t="s">
        <v>145</v>
      </c>
      <c r="B5" s="22"/>
      <c r="C5" s="22"/>
      <c r="D5" s="22"/>
      <c r="E5" s="22"/>
      <c r="F5" s="22"/>
      <c r="G5" s="22"/>
      <c r="H5" s="1"/>
      <c r="I5" s="1"/>
      <c r="J5" s="1"/>
    </row>
    <row r="6" spans="1:10" x14ac:dyDescent="0.25">
      <c r="F6" s="23" t="s">
        <v>144</v>
      </c>
    </row>
    <row r="7" spans="1:10" x14ac:dyDescent="0.25">
      <c r="A7" s="19" t="s">
        <v>0</v>
      </c>
      <c r="B7" s="19" t="s">
        <v>1</v>
      </c>
      <c r="C7" s="28" t="s">
        <v>2</v>
      </c>
      <c r="D7" s="29"/>
      <c r="E7" s="29"/>
      <c r="F7" s="29"/>
      <c r="G7" s="29"/>
    </row>
    <row r="8" spans="1:10" ht="28.5" customHeight="1" x14ac:dyDescent="0.25">
      <c r="A8" s="20"/>
      <c r="B8" s="20"/>
      <c r="C8" s="2" t="s">
        <v>3</v>
      </c>
      <c r="D8" s="2" t="s">
        <v>4</v>
      </c>
      <c r="E8" s="3" t="s">
        <v>5</v>
      </c>
      <c r="F8" s="3" t="s">
        <v>6</v>
      </c>
      <c r="G8" s="3" t="s">
        <v>7</v>
      </c>
    </row>
    <row r="9" spans="1:10" s="32" customFormat="1" x14ac:dyDescent="0.25">
      <c r="A9" s="3">
        <v>10000000</v>
      </c>
      <c r="B9" s="33" t="s">
        <v>8</v>
      </c>
      <c r="C9" s="30">
        <v>141813.99900000001</v>
      </c>
      <c r="D9" s="30">
        <v>23907.719000000001</v>
      </c>
      <c r="E9" s="30">
        <v>35611.10929</v>
      </c>
      <c r="F9" s="30">
        <f t="shared" ref="F9:F40" si="0">E9-D9</f>
        <v>11703.390289999999</v>
      </c>
      <c r="G9" s="31">
        <f t="shared" ref="G9:G40" si="1">IF(D9=0,0,E9/D9*100)</f>
        <v>148.9523500338949</v>
      </c>
    </row>
    <row r="10" spans="1:10" ht="30" x14ac:dyDescent="0.25">
      <c r="A10" s="18">
        <v>11000000</v>
      </c>
      <c r="B10" s="34" t="s">
        <v>9</v>
      </c>
      <c r="C10" s="24">
        <v>62159.8</v>
      </c>
      <c r="D10" s="24">
        <v>9724.6</v>
      </c>
      <c r="E10" s="24">
        <v>14585.22349</v>
      </c>
      <c r="F10" s="24">
        <f t="shared" si="0"/>
        <v>4860.6234899999999</v>
      </c>
      <c r="G10" s="4">
        <f t="shared" si="1"/>
        <v>149.98276011352652</v>
      </c>
    </row>
    <row r="11" spans="1:10" x14ac:dyDescent="0.25">
      <c r="A11" s="18">
        <v>11010000</v>
      </c>
      <c r="B11" s="34" t="s">
        <v>10</v>
      </c>
      <c r="C11" s="24">
        <v>62059.8</v>
      </c>
      <c r="D11" s="24">
        <v>9724.6</v>
      </c>
      <c r="E11" s="24">
        <v>14585.22349</v>
      </c>
      <c r="F11" s="24">
        <f t="shared" si="0"/>
        <v>4860.6234899999999</v>
      </c>
      <c r="G11" s="4">
        <f t="shared" si="1"/>
        <v>149.98276011352652</v>
      </c>
    </row>
    <row r="12" spans="1:10" ht="45" x14ac:dyDescent="0.25">
      <c r="A12" s="18">
        <v>11010100</v>
      </c>
      <c r="B12" s="34" t="s">
        <v>11</v>
      </c>
      <c r="C12" s="24">
        <v>52243.8</v>
      </c>
      <c r="D12" s="24">
        <v>9232</v>
      </c>
      <c r="E12" s="24">
        <v>13924.13031</v>
      </c>
      <c r="F12" s="24">
        <f t="shared" si="0"/>
        <v>4692.1303100000005</v>
      </c>
      <c r="G12" s="4">
        <f t="shared" si="1"/>
        <v>150.82463507365685</v>
      </c>
    </row>
    <row r="13" spans="1:10" ht="45" hidden="1" x14ac:dyDescent="0.25">
      <c r="A13" s="18">
        <v>11010400</v>
      </c>
      <c r="B13" s="34" t="s">
        <v>12</v>
      </c>
      <c r="C13" s="24">
        <v>8406</v>
      </c>
      <c r="D13" s="24">
        <v>427</v>
      </c>
      <c r="E13" s="24">
        <v>473.10508000000004</v>
      </c>
      <c r="F13" s="24">
        <f t="shared" si="0"/>
        <v>46.105080000000044</v>
      </c>
      <c r="G13" s="4">
        <f t="shared" si="1"/>
        <v>110.79744262295084</v>
      </c>
    </row>
    <row r="14" spans="1:10" ht="30" hidden="1" x14ac:dyDescent="0.25">
      <c r="A14" s="18">
        <v>11010500</v>
      </c>
      <c r="B14" s="34" t="s">
        <v>13</v>
      </c>
      <c r="C14" s="24">
        <v>1360</v>
      </c>
      <c r="D14" s="24">
        <v>60</v>
      </c>
      <c r="E14" s="24">
        <v>83.563999999999993</v>
      </c>
      <c r="F14" s="24">
        <f t="shared" si="0"/>
        <v>23.563999999999993</v>
      </c>
      <c r="G14" s="4">
        <f t="shared" si="1"/>
        <v>139.27333333333331</v>
      </c>
    </row>
    <row r="15" spans="1:10" ht="45" hidden="1" x14ac:dyDescent="0.25">
      <c r="A15" s="18">
        <v>11011300</v>
      </c>
      <c r="B15" s="34" t="s">
        <v>14</v>
      </c>
      <c r="C15" s="24">
        <v>50</v>
      </c>
      <c r="D15" s="24">
        <v>5.6</v>
      </c>
      <c r="E15" s="24">
        <v>104.42410000000001</v>
      </c>
      <c r="F15" s="24">
        <f t="shared" si="0"/>
        <v>98.824100000000016</v>
      </c>
      <c r="G15" s="4">
        <f t="shared" si="1"/>
        <v>1864.7160714285719</v>
      </c>
    </row>
    <row r="16" spans="1:10" x14ac:dyDescent="0.25">
      <c r="A16" s="18">
        <v>11020000</v>
      </c>
      <c r="B16" s="34" t="s">
        <v>15</v>
      </c>
      <c r="C16" s="24">
        <v>100</v>
      </c>
      <c r="D16" s="24">
        <v>0</v>
      </c>
      <c r="E16" s="24">
        <v>0</v>
      </c>
      <c r="F16" s="24">
        <f t="shared" si="0"/>
        <v>0</v>
      </c>
      <c r="G16" s="4">
        <f t="shared" si="1"/>
        <v>0</v>
      </c>
    </row>
    <row r="17" spans="1:7" ht="30" hidden="1" x14ac:dyDescent="0.25">
      <c r="A17" s="18">
        <v>11020200</v>
      </c>
      <c r="B17" s="34" t="s">
        <v>16</v>
      </c>
      <c r="C17" s="24">
        <v>100</v>
      </c>
      <c r="D17" s="24">
        <v>0</v>
      </c>
      <c r="E17" s="24">
        <v>0</v>
      </c>
      <c r="F17" s="24">
        <f t="shared" si="0"/>
        <v>0</v>
      </c>
      <c r="G17" s="4">
        <f t="shared" si="1"/>
        <v>0</v>
      </c>
    </row>
    <row r="18" spans="1:7" ht="30" x14ac:dyDescent="0.25">
      <c r="A18" s="18">
        <v>13000000</v>
      </c>
      <c r="B18" s="34" t="s">
        <v>17</v>
      </c>
      <c r="C18" s="24">
        <v>1.3</v>
      </c>
      <c r="D18" s="24">
        <v>0.3</v>
      </c>
      <c r="E18" s="24">
        <v>0.14147999999999999</v>
      </c>
      <c r="F18" s="24">
        <f t="shared" si="0"/>
        <v>-0.15851999999999999</v>
      </c>
      <c r="G18" s="4">
        <f t="shared" si="1"/>
        <v>47.160000000000004</v>
      </c>
    </row>
    <row r="19" spans="1:7" ht="30" hidden="1" x14ac:dyDescent="0.25">
      <c r="A19" s="18">
        <v>13030000</v>
      </c>
      <c r="B19" s="34" t="s">
        <v>18</v>
      </c>
      <c r="C19" s="24">
        <v>1.3</v>
      </c>
      <c r="D19" s="24">
        <v>0.3</v>
      </c>
      <c r="E19" s="24">
        <v>0.14147999999999999</v>
      </c>
      <c r="F19" s="24">
        <f t="shared" si="0"/>
        <v>-0.15851999999999999</v>
      </c>
      <c r="G19" s="4">
        <f t="shared" si="1"/>
        <v>47.160000000000004</v>
      </c>
    </row>
    <row r="20" spans="1:7" ht="60" hidden="1" x14ac:dyDescent="0.25">
      <c r="A20" s="18">
        <v>13030100</v>
      </c>
      <c r="B20" s="34" t="s">
        <v>19</v>
      </c>
      <c r="C20" s="24">
        <v>1.3</v>
      </c>
      <c r="D20" s="24">
        <v>0.3</v>
      </c>
      <c r="E20" s="24">
        <v>0.14147999999999999</v>
      </c>
      <c r="F20" s="24">
        <f t="shared" si="0"/>
        <v>-0.15851999999999999</v>
      </c>
      <c r="G20" s="4">
        <f t="shared" si="1"/>
        <v>47.160000000000004</v>
      </c>
    </row>
    <row r="21" spans="1:7" ht="14.25" customHeight="1" x14ac:dyDescent="0.25">
      <c r="A21" s="18">
        <v>14000000</v>
      </c>
      <c r="B21" s="34" t="s">
        <v>20</v>
      </c>
      <c r="C21" s="24">
        <v>28909</v>
      </c>
      <c r="D21" s="24">
        <v>4509.2</v>
      </c>
      <c r="E21" s="24">
        <v>6233.7132299999994</v>
      </c>
      <c r="F21" s="24">
        <f t="shared" si="0"/>
        <v>1724.5132299999996</v>
      </c>
      <c r="G21" s="4">
        <f t="shared" si="1"/>
        <v>138.2443278186818</v>
      </c>
    </row>
    <row r="22" spans="1:7" ht="30" hidden="1" x14ac:dyDescent="0.25">
      <c r="A22" s="18">
        <v>14020000</v>
      </c>
      <c r="B22" s="34" t="s">
        <v>21</v>
      </c>
      <c r="C22" s="24">
        <v>2752</v>
      </c>
      <c r="D22" s="24">
        <v>458.6</v>
      </c>
      <c r="E22" s="24">
        <v>229.62389000000002</v>
      </c>
      <c r="F22" s="24">
        <f t="shared" si="0"/>
        <v>-228.97611000000001</v>
      </c>
      <c r="G22" s="4">
        <f t="shared" si="1"/>
        <v>50.070625817706059</v>
      </c>
    </row>
    <row r="23" spans="1:7" hidden="1" x14ac:dyDescent="0.25">
      <c r="A23" s="18">
        <v>14021900</v>
      </c>
      <c r="B23" s="34" t="s">
        <v>22</v>
      </c>
      <c r="C23" s="24">
        <v>2752</v>
      </c>
      <c r="D23" s="24">
        <v>458.6</v>
      </c>
      <c r="E23" s="24">
        <v>229.62389000000002</v>
      </c>
      <c r="F23" s="24">
        <f t="shared" si="0"/>
        <v>-228.97611000000001</v>
      </c>
      <c r="G23" s="4">
        <f t="shared" si="1"/>
        <v>50.070625817706059</v>
      </c>
    </row>
    <row r="24" spans="1:7" ht="30" hidden="1" x14ac:dyDescent="0.25">
      <c r="A24" s="18">
        <v>14030000</v>
      </c>
      <c r="B24" s="34" t="s">
        <v>23</v>
      </c>
      <c r="C24" s="24">
        <v>19000</v>
      </c>
      <c r="D24" s="24">
        <v>3166</v>
      </c>
      <c r="E24" s="24">
        <v>4786.2020999999995</v>
      </c>
      <c r="F24" s="24">
        <f t="shared" si="0"/>
        <v>1620.2020999999995</v>
      </c>
      <c r="G24" s="4">
        <f t="shared" si="1"/>
        <v>151.17505053695513</v>
      </c>
    </row>
    <row r="25" spans="1:7" hidden="1" x14ac:dyDescent="0.25">
      <c r="A25" s="18">
        <v>14031900</v>
      </c>
      <c r="B25" s="34" t="s">
        <v>22</v>
      </c>
      <c r="C25" s="24">
        <v>19000</v>
      </c>
      <c r="D25" s="24">
        <v>3166</v>
      </c>
      <c r="E25" s="24">
        <v>4786.2020999999995</v>
      </c>
      <c r="F25" s="24">
        <f t="shared" si="0"/>
        <v>1620.2020999999995</v>
      </c>
      <c r="G25" s="4">
        <f t="shared" si="1"/>
        <v>151.17505053695513</v>
      </c>
    </row>
    <row r="26" spans="1:7" ht="30" hidden="1" x14ac:dyDescent="0.25">
      <c r="A26" s="18">
        <v>14040000</v>
      </c>
      <c r="B26" s="34" t="s">
        <v>24</v>
      </c>
      <c r="C26" s="24">
        <v>7157</v>
      </c>
      <c r="D26" s="24">
        <v>884.6</v>
      </c>
      <c r="E26" s="24">
        <v>1217.88724</v>
      </c>
      <c r="F26" s="24">
        <f t="shared" si="0"/>
        <v>333.28724</v>
      </c>
      <c r="G26" s="4">
        <f t="shared" si="1"/>
        <v>137.67660411485417</v>
      </c>
    </row>
    <row r="27" spans="1:7" ht="75" hidden="1" x14ac:dyDescent="0.25">
      <c r="A27" s="18">
        <v>14040100</v>
      </c>
      <c r="B27" s="34" t="s">
        <v>25</v>
      </c>
      <c r="C27" s="24">
        <v>5000</v>
      </c>
      <c r="D27" s="24">
        <v>556.6</v>
      </c>
      <c r="E27" s="24">
        <v>833.97748999999999</v>
      </c>
      <c r="F27" s="24">
        <f t="shared" si="0"/>
        <v>277.37748999999997</v>
      </c>
      <c r="G27" s="4">
        <f t="shared" si="1"/>
        <v>149.83425979159179</v>
      </c>
    </row>
    <row r="28" spans="1:7" ht="60" hidden="1" x14ac:dyDescent="0.25">
      <c r="A28" s="18">
        <v>14040200</v>
      </c>
      <c r="B28" s="34" t="s">
        <v>26</v>
      </c>
      <c r="C28" s="24">
        <v>2157</v>
      </c>
      <c r="D28" s="24">
        <v>328</v>
      </c>
      <c r="E28" s="24">
        <v>383.90974999999997</v>
      </c>
      <c r="F28" s="24">
        <f t="shared" si="0"/>
        <v>55.909749999999974</v>
      </c>
      <c r="G28" s="4">
        <f t="shared" si="1"/>
        <v>117.04565548780488</v>
      </c>
    </row>
    <row r="29" spans="1:7" s="32" customFormat="1" ht="30" x14ac:dyDescent="0.25">
      <c r="A29" s="3">
        <v>18000000</v>
      </c>
      <c r="B29" s="33" t="s">
        <v>27</v>
      </c>
      <c r="C29" s="30">
        <v>50743.898999999998</v>
      </c>
      <c r="D29" s="30">
        <v>9673.6190000000006</v>
      </c>
      <c r="E29" s="30">
        <v>14792.03109</v>
      </c>
      <c r="F29" s="30">
        <f t="shared" si="0"/>
        <v>5118.4120899999998</v>
      </c>
      <c r="G29" s="31">
        <f t="shared" si="1"/>
        <v>152.91103660377777</v>
      </c>
    </row>
    <row r="30" spans="1:7" x14ac:dyDescent="0.25">
      <c r="A30" s="18">
        <v>18010000</v>
      </c>
      <c r="B30" s="34" t="s">
        <v>28</v>
      </c>
      <c r="C30" s="24">
        <v>17618.599999999999</v>
      </c>
      <c r="D30" s="24">
        <v>2104.3200000000002</v>
      </c>
      <c r="E30" s="24">
        <v>3077.6560400000003</v>
      </c>
      <c r="F30" s="24">
        <f t="shared" si="0"/>
        <v>973.33604000000014</v>
      </c>
      <c r="G30" s="4">
        <f t="shared" si="1"/>
        <v>146.2541837743309</v>
      </c>
    </row>
    <row r="31" spans="1:7" ht="45" hidden="1" x14ac:dyDescent="0.25">
      <c r="A31" s="18">
        <v>18010100</v>
      </c>
      <c r="B31" s="34" t="s">
        <v>29</v>
      </c>
      <c r="C31" s="24">
        <v>80</v>
      </c>
      <c r="D31" s="24">
        <v>6.1</v>
      </c>
      <c r="E31" s="24">
        <v>34.738080000000004</v>
      </c>
      <c r="F31" s="24">
        <f t="shared" si="0"/>
        <v>28.638080000000002</v>
      </c>
      <c r="G31" s="4">
        <f t="shared" si="1"/>
        <v>569.47672131147544</v>
      </c>
    </row>
    <row r="32" spans="1:7" ht="45" hidden="1" x14ac:dyDescent="0.25">
      <c r="A32" s="18">
        <v>18010200</v>
      </c>
      <c r="B32" s="34" t="s">
        <v>30</v>
      </c>
      <c r="C32" s="24">
        <v>2288</v>
      </c>
      <c r="D32" s="24">
        <v>0</v>
      </c>
      <c r="E32" s="24">
        <v>292.03146000000004</v>
      </c>
      <c r="F32" s="24">
        <f t="shared" si="0"/>
        <v>292.03146000000004</v>
      </c>
      <c r="G32" s="4">
        <f t="shared" si="1"/>
        <v>0</v>
      </c>
    </row>
    <row r="33" spans="1:7" ht="45" hidden="1" x14ac:dyDescent="0.25">
      <c r="A33" s="18">
        <v>18010300</v>
      </c>
      <c r="B33" s="34" t="s">
        <v>31</v>
      </c>
      <c r="C33" s="24">
        <v>1000</v>
      </c>
      <c r="D33" s="24">
        <v>0</v>
      </c>
      <c r="E33" s="24">
        <v>14.792149999999999</v>
      </c>
      <c r="F33" s="24">
        <f t="shared" si="0"/>
        <v>14.792149999999999</v>
      </c>
      <c r="G33" s="4">
        <f t="shared" si="1"/>
        <v>0</v>
      </c>
    </row>
    <row r="34" spans="1:7" ht="45" hidden="1" x14ac:dyDescent="0.25">
      <c r="A34" s="18">
        <v>18010400</v>
      </c>
      <c r="B34" s="34" t="s">
        <v>32</v>
      </c>
      <c r="C34" s="24">
        <v>2320</v>
      </c>
      <c r="D34" s="24">
        <v>500</v>
      </c>
      <c r="E34" s="24">
        <v>634.26609999999994</v>
      </c>
      <c r="F34" s="24">
        <f t="shared" si="0"/>
        <v>134.26609999999994</v>
      </c>
      <c r="G34" s="4">
        <f t="shared" si="1"/>
        <v>126.85321999999999</v>
      </c>
    </row>
    <row r="35" spans="1:7" hidden="1" x14ac:dyDescent="0.25">
      <c r="A35" s="18">
        <v>18010500</v>
      </c>
      <c r="B35" s="34" t="s">
        <v>33</v>
      </c>
      <c r="C35" s="24">
        <v>1747.2</v>
      </c>
      <c r="D35" s="24">
        <v>278.60000000000002</v>
      </c>
      <c r="E35" s="24">
        <v>533.60941000000003</v>
      </c>
      <c r="F35" s="24">
        <f t="shared" si="0"/>
        <v>255.00941</v>
      </c>
      <c r="G35" s="4">
        <f t="shared" si="1"/>
        <v>191.53245154343145</v>
      </c>
    </row>
    <row r="36" spans="1:7" hidden="1" x14ac:dyDescent="0.25">
      <c r="A36" s="18">
        <v>18010600</v>
      </c>
      <c r="B36" s="34" t="s">
        <v>34</v>
      </c>
      <c r="C36" s="24">
        <v>7645</v>
      </c>
      <c r="D36" s="24">
        <v>1175</v>
      </c>
      <c r="E36" s="24">
        <v>1380.94958</v>
      </c>
      <c r="F36" s="24">
        <f t="shared" si="0"/>
        <v>205.94957999999997</v>
      </c>
      <c r="G36" s="4">
        <f t="shared" si="1"/>
        <v>117.52762382978723</v>
      </c>
    </row>
    <row r="37" spans="1:7" hidden="1" x14ac:dyDescent="0.25">
      <c r="A37" s="18">
        <v>18010700</v>
      </c>
      <c r="B37" s="34" t="s">
        <v>35</v>
      </c>
      <c r="C37" s="24">
        <v>1500</v>
      </c>
      <c r="D37" s="24">
        <v>0</v>
      </c>
      <c r="E37" s="24">
        <v>78.882159999999999</v>
      </c>
      <c r="F37" s="24">
        <f t="shared" si="0"/>
        <v>78.882159999999999</v>
      </c>
      <c r="G37" s="4">
        <f t="shared" si="1"/>
        <v>0</v>
      </c>
    </row>
    <row r="38" spans="1:7" hidden="1" x14ac:dyDescent="0.25">
      <c r="A38" s="18">
        <v>18010900</v>
      </c>
      <c r="B38" s="34" t="s">
        <v>36</v>
      </c>
      <c r="C38" s="24">
        <v>1032.4000000000001</v>
      </c>
      <c r="D38" s="24">
        <v>138.62</v>
      </c>
      <c r="E38" s="24">
        <v>91.720429999999993</v>
      </c>
      <c r="F38" s="24">
        <f t="shared" si="0"/>
        <v>-46.899570000000011</v>
      </c>
      <c r="G38" s="4">
        <f t="shared" si="1"/>
        <v>66.166808541336025</v>
      </c>
    </row>
    <row r="39" spans="1:7" hidden="1" x14ac:dyDescent="0.25">
      <c r="A39" s="18">
        <v>18011100</v>
      </c>
      <c r="B39" s="34" t="s">
        <v>37</v>
      </c>
      <c r="C39" s="24">
        <v>6</v>
      </c>
      <c r="D39" s="24">
        <v>6</v>
      </c>
      <c r="E39" s="24">
        <v>16.66667</v>
      </c>
      <c r="F39" s="24">
        <f t="shared" si="0"/>
        <v>10.66667</v>
      </c>
      <c r="G39" s="4">
        <f t="shared" si="1"/>
        <v>277.77783333333332</v>
      </c>
    </row>
    <row r="40" spans="1:7" x14ac:dyDescent="0.25">
      <c r="A40" s="18">
        <v>18050000</v>
      </c>
      <c r="B40" s="34" t="s">
        <v>38</v>
      </c>
      <c r="C40" s="24">
        <v>33125.298999999999</v>
      </c>
      <c r="D40" s="24">
        <v>7569.299</v>
      </c>
      <c r="E40" s="24">
        <v>11714.375050000001</v>
      </c>
      <c r="F40" s="24">
        <f t="shared" si="0"/>
        <v>4145.0760500000006</v>
      </c>
      <c r="G40" s="4">
        <f t="shared" si="1"/>
        <v>154.76168995305909</v>
      </c>
    </row>
    <row r="41" spans="1:7" hidden="1" x14ac:dyDescent="0.25">
      <c r="A41" s="18">
        <v>18050300</v>
      </c>
      <c r="B41" s="34" t="s">
        <v>39</v>
      </c>
      <c r="C41" s="24">
        <v>2962</v>
      </c>
      <c r="D41" s="24">
        <v>628</v>
      </c>
      <c r="E41" s="24">
        <v>1015.8476899999999</v>
      </c>
      <c r="F41" s="24">
        <f t="shared" ref="F41:F70" si="2">E41-D41</f>
        <v>387.84768999999994</v>
      </c>
      <c r="G41" s="4">
        <f t="shared" ref="G41:G70" si="3">IF(D41=0,0,E41/D41*100)</f>
        <v>161.75918630573247</v>
      </c>
    </row>
    <row r="42" spans="1:7" hidden="1" x14ac:dyDescent="0.25">
      <c r="A42" s="18">
        <v>18050400</v>
      </c>
      <c r="B42" s="34" t="s">
        <v>40</v>
      </c>
      <c r="C42" s="24">
        <v>21392</v>
      </c>
      <c r="D42" s="24">
        <v>4830</v>
      </c>
      <c r="E42" s="24">
        <v>7257.2347300000001</v>
      </c>
      <c r="F42" s="24">
        <f t="shared" si="2"/>
        <v>2427.2347300000001</v>
      </c>
      <c r="G42" s="4">
        <f t="shared" si="3"/>
        <v>150.25330703933747</v>
      </c>
    </row>
    <row r="43" spans="1:7" ht="60" hidden="1" x14ac:dyDescent="0.25">
      <c r="A43" s="18">
        <v>18050500</v>
      </c>
      <c r="B43" s="34" t="s">
        <v>41</v>
      </c>
      <c r="C43" s="24">
        <v>8771.2990000000009</v>
      </c>
      <c r="D43" s="24">
        <v>2111.299</v>
      </c>
      <c r="E43" s="24">
        <v>3441.2926299999999</v>
      </c>
      <c r="F43" s="24">
        <f t="shared" si="2"/>
        <v>1329.9936299999999</v>
      </c>
      <c r="G43" s="4">
        <f t="shared" si="3"/>
        <v>162.99409178898867</v>
      </c>
    </row>
    <row r="44" spans="1:7" s="32" customFormat="1" ht="14.25" customHeight="1" x14ac:dyDescent="0.25">
      <c r="A44" s="3">
        <v>20000000</v>
      </c>
      <c r="B44" s="33" t="s">
        <v>42</v>
      </c>
      <c r="C44" s="30">
        <v>2083.3000000000002</v>
      </c>
      <c r="D44" s="30">
        <v>361.6</v>
      </c>
      <c r="E44" s="30">
        <v>303.70828999999998</v>
      </c>
      <c r="F44" s="30">
        <f t="shared" si="2"/>
        <v>-57.891710000000046</v>
      </c>
      <c r="G44" s="31">
        <f t="shared" si="3"/>
        <v>83.990124446902641</v>
      </c>
    </row>
    <row r="45" spans="1:7" ht="0.75" hidden="1" customHeight="1" x14ac:dyDescent="0.25">
      <c r="A45" s="18">
        <v>21000000</v>
      </c>
      <c r="B45" s="34" t="s">
        <v>43</v>
      </c>
      <c r="C45" s="24">
        <v>151</v>
      </c>
      <c r="D45" s="24">
        <v>16.600000000000001</v>
      </c>
      <c r="E45" s="24">
        <v>33.482849999999999</v>
      </c>
      <c r="F45" s="24">
        <f t="shared" si="2"/>
        <v>16.882849999999998</v>
      </c>
      <c r="G45" s="4">
        <f t="shared" si="3"/>
        <v>201.70391566265062</v>
      </c>
    </row>
    <row r="46" spans="1:7" ht="75" hidden="1" x14ac:dyDescent="0.25">
      <c r="A46" s="18">
        <v>21010000</v>
      </c>
      <c r="B46" s="34" t="s">
        <v>44</v>
      </c>
      <c r="C46" s="24">
        <v>1</v>
      </c>
      <c r="D46" s="24">
        <v>0</v>
      </c>
      <c r="E46" s="24">
        <v>1.0317100000000001</v>
      </c>
      <c r="F46" s="24">
        <f t="shared" si="2"/>
        <v>1.0317100000000001</v>
      </c>
      <c r="G46" s="4">
        <f t="shared" si="3"/>
        <v>0</v>
      </c>
    </row>
    <row r="47" spans="1:7" ht="45" hidden="1" x14ac:dyDescent="0.25">
      <c r="A47" s="18">
        <v>21010300</v>
      </c>
      <c r="B47" s="34" t="s">
        <v>45</v>
      </c>
      <c r="C47" s="24">
        <v>1</v>
      </c>
      <c r="D47" s="24">
        <v>0</v>
      </c>
      <c r="E47" s="24">
        <v>1.0317100000000001</v>
      </c>
      <c r="F47" s="24">
        <f t="shared" si="2"/>
        <v>1.0317100000000001</v>
      </c>
      <c r="G47" s="4">
        <f t="shared" si="3"/>
        <v>0</v>
      </c>
    </row>
    <row r="48" spans="1:7" hidden="1" x14ac:dyDescent="0.25">
      <c r="A48" s="18">
        <v>21080000</v>
      </c>
      <c r="B48" s="34" t="s">
        <v>46</v>
      </c>
      <c r="C48" s="24">
        <v>150</v>
      </c>
      <c r="D48" s="24">
        <v>16.600000000000001</v>
      </c>
      <c r="E48" s="24">
        <v>32.451140000000002</v>
      </c>
      <c r="F48" s="24">
        <f t="shared" si="2"/>
        <v>15.851140000000001</v>
      </c>
      <c r="G48" s="4">
        <f t="shared" si="3"/>
        <v>195.48879518072289</v>
      </c>
    </row>
    <row r="49" spans="1:7" hidden="1" x14ac:dyDescent="0.25">
      <c r="A49" s="18">
        <v>21081100</v>
      </c>
      <c r="B49" s="34" t="s">
        <v>47</v>
      </c>
      <c r="C49" s="24">
        <v>50</v>
      </c>
      <c r="D49" s="24">
        <v>0</v>
      </c>
      <c r="E49" s="24">
        <v>7.65</v>
      </c>
      <c r="F49" s="24">
        <f t="shared" si="2"/>
        <v>7.65</v>
      </c>
      <c r="G49" s="4">
        <f t="shared" si="3"/>
        <v>0</v>
      </c>
    </row>
    <row r="50" spans="1:7" ht="45" hidden="1" x14ac:dyDescent="0.25">
      <c r="A50" s="18">
        <v>21081800</v>
      </c>
      <c r="B50" s="34" t="s">
        <v>48</v>
      </c>
      <c r="C50" s="24">
        <v>100</v>
      </c>
      <c r="D50" s="24">
        <v>16.600000000000001</v>
      </c>
      <c r="E50" s="24">
        <v>24.80114</v>
      </c>
      <c r="F50" s="24">
        <f t="shared" si="2"/>
        <v>8.2011399999999988</v>
      </c>
      <c r="G50" s="4">
        <f t="shared" si="3"/>
        <v>149.40445783132529</v>
      </c>
    </row>
    <row r="51" spans="1:7" ht="30" hidden="1" x14ac:dyDescent="0.25">
      <c r="A51" s="18">
        <v>22000000</v>
      </c>
      <c r="B51" s="34" t="s">
        <v>49</v>
      </c>
      <c r="C51" s="24">
        <v>1803.3</v>
      </c>
      <c r="D51" s="24">
        <v>216</v>
      </c>
      <c r="E51" s="24">
        <v>87.950140000000005</v>
      </c>
      <c r="F51" s="24">
        <f t="shared" si="2"/>
        <v>-128.04986</v>
      </c>
      <c r="G51" s="4">
        <f t="shared" si="3"/>
        <v>40.717657407407408</v>
      </c>
    </row>
    <row r="52" spans="1:7" hidden="1" x14ac:dyDescent="0.25">
      <c r="A52" s="18">
        <v>22010000</v>
      </c>
      <c r="B52" s="34" t="s">
        <v>50</v>
      </c>
      <c r="C52" s="24">
        <v>1760</v>
      </c>
      <c r="D52" s="24">
        <v>210</v>
      </c>
      <c r="E52" s="24">
        <v>81.290800000000004</v>
      </c>
      <c r="F52" s="24">
        <f t="shared" si="2"/>
        <v>-128.70920000000001</v>
      </c>
      <c r="G52" s="4">
        <f t="shared" si="3"/>
        <v>38.70990476190476</v>
      </c>
    </row>
    <row r="53" spans="1:7" hidden="1" x14ac:dyDescent="0.25">
      <c r="A53" s="18">
        <v>22012500</v>
      </c>
      <c r="B53" s="34" t="s">
        <v>51</v>
      </c>
      <c r="C53" s="24">
        <v>1700</v>
      </c>
      <c r="D53" s="24">
        <v>200</v>
      </c>
      <c r="E53" s="24">
        <v>74.788800000000009</v>
      </c>
      <c r="F53" s="24">
        <f t="shared" si="2"/>
        <v>-125.21119999999999</v>
      </c>
      <c r="G53" s="4">
        <f t="shared" si="3"/>
        <v>37.394400000000005</v>
      </c>
    </row>
    <row r="54" spans="1:7" ht="30" hidden="1" x14ac:dyDescent="0.25">
      <c r="A54" s="18">
        <v>22012600</v>
      </c>
      <c r="B54" s="34" t="s">
        <v>52</v>
      </c>
      <c r="C54" s="24">
        <v>60</v>
      </c>
      <c r="D54" s="24">
        <v>10</v>
      </c>
      <c r="E54" s="24">
        <v>6.5019999999999998</v>
      </c>
      <c r="F54" s="24">
        <f t="shared" si="2"/>
        <v>-3.4980000000000002</v>
      </c>
      <c r="G54" s="4">
        <f t="shared" si="3"/>
        <v>65.02</v>
      </c>
    </row>
    <row r="55" spans="1:7" hidden="1" x14ac:dyDescent="0.25">
      <c r="A55" s="18">
        <v>22090000</v>
      </c>
      <c r="B55" s="34" t="s">
        <v>53</v>
      </c>
      <c r="C55" s="24">
        <v>40.200000000000003</v>
      </c>
      <c r="D55" s="24">
        <v>6</v>
      </c>
      <c r="E55" s="24">
        <v>6.6593400000000003</v>
      </c>
      <c r="F55" s="24">
        <f t="shared" si="2"/>
        <v>0.65934000000000026</v>
      </c>
      <c r="G55" s="4">
        <f t="shared" si="3"/>
        <v>110.989</v>
      </c>
    </row>
    <row r="56" spans="1:7" ht="45" hidden="1" x14ac:dyDescent="0.25">
      <c r="A56" s="18">
        <v>22090100</v>
      </c>
      <c r="B56" s="34" t="s">
        <v>54</v>
      </c>
      <c r="C56" s="24">
        <v>40</v>
      </c>
      <c r="D56" s="24">
        <v>6</v>
      </c>
      <c r="E56" s="24">
        <v>6.6593400000000003</v>
      </c>
      <c r="F56" s="24">
        <f t="shared" si="2"/>
        <v>0.65934000000000026</v>
      </c>
      <c r="G56" s="4">
        <f t="shared" si="3"/>
        <v>110.989</v>
      </c>
    </row>
    <row r="57" spans="1:7" ht="45" hidden="1" x14ac:dyDescent="0.25">
      <c r="A57" s="18">
        <v>22090400</v>
      </c>
      <c r="B57" s="34" t="s">
        <v>55</v>
      </c>
      <c r="C57" s="24">
        <v>0.2</v>
      </c>
      <c r="D57" s="24">
        <v>0</v>
      </c>
      <c r="E57" s="24">
        <v>0</v>
      </c>
      <c r="F57" s="24">
        <f t="shared" si="2"/>
        <v>0</v>
      </c>
      <c r="G57" s="4">
        <f t="shared" si="3"/>
        <v>0</v>
      </c>
    </row>
    <row r="58" spans="1:7" ht="75" hidden="1" x14ac:dyDescent="0.25">
      <c r="A58" s="18">
        <v>22130000</v>
      </c>
      <c r="B58" s="34" t="s">
        <v>56</v>
      </c>
      <c r="C58" s="24">
        <v>3.1</v>
      </c>
      <c r="D58" s="24">
        <v>0</v>
      </c>
      <c r="E58" s="24">
        <v>0</v>
      </c>
      <c r="F58" s="24">
        <f t="shared" si="2"/>
        <v>0</v>
      </c>
      <c r="G58" s="4">
        <f t="shared" si="3"/>
        <v>0</v>
      </c>
    </row>
    <row r="59" spans="1:7" hidden="1" x14ac:dyDescent="0.25">
      <c r="A59" s="18">
        <v>24000000</v>
      </c>
      <c r="B59" s="34" t="s">
        <v>57</v>
      </c>
      <c r="C59" s="24">
        <v>129</v>
      </c>
      <c r="D59" s="24">
        <v>129</v>
      </c>
      <c r="E59" s="24">
        <v>182.27529999999999</v>
      </c>
      <c r="F59" s="24">
        <f t="shared" si="2"/>
        <v>53.275299999999987</v>
      </c>
      <c r="G59" s="4">
        <f t="shared" si="3"/>
        <v>141.29868217054263</v>
      </c>
    </row>
    <row r="60" spans="1:7" hidden="1" x14ac:dyDescent="0.25">
      <c r="A60" s="18">
        <v>24060000</v>
      </c>
      <c r="B60" s="34" t="s">
        <v>46</v>
      </c>
      <c r="C60" s="24">
        <v>129</v>
      </c>
      <c r="D60" s="24">
        <v>129</v>
      </c>
      <c r="E60" s="24">
        <v>182.27529999999999</v>
      </c>
      <c r="F60" s="24">
        <f t="shared" si="2"/>
        <v>53.275299999999987</v>
      </c>
      <c r="G60" s="4">
        <f t="shared" si="3"/>
        <v>141.29868217054263</v>
      </c>
    </row>
    <row r="61" spans="1:7" hidden="1" x14ac:dyDescent="0.25">
      <c r="A61" s="18">
        <v>24060300</v>
      </c>
      <c r="B61" s="34" t="s">
        <v>46</v>
      </c>
      <c r="C61" s="24">
        <v>129</v>
      </c>
      <c r="D61" s="24">
        <v>129</v>
      </c>
      <c r="E61" s="24">
        <v>182.27529999999999</v>
      </c>
      <c r="F61" s="24">
        <f t="shared" si="2"/>
        <v>53.275299999999987</v>
      </c>
      <c r="G61" s="4">
        <f t="shared" si="3"/>
        <v>141.29868217054263</v>
      </c>
    </row>
    <row r="62" spans="1:7" s="32" customFormat="1" ht="14.25" customHeight="1" x14ac:dyDescent="0.25">
      <c r="A62" s="3">
        <v>40000000</v>
      </c>
      <c r="B62" s="33" t="s">
        <v>58</v>
      </c>
      <c r="C62" s="30">
        <v>88450.463000000003</v>
      </c>
      <c r="D62" s="30">
        <v>18877.782999999999</v>
      </c>
      <c r="E62" s="30">
        <v>18665.896000000001</v>
      </c>
      <c r="F62" s="30">
        <f t="shared" si="2"/>
        <v>-211.88699999999881</v>
      </c>
      <c r="G62" s="31">
        <f t="shared" si="3"/>
        <v>98.877585360526723</v>
      </c>
    </row>
    <row r="63" spans="1:7" hidden="1" x14ac:dyDescent="0.25">
      <c r="A63" s="18">
        <v>41000000</v>
      </c>
      <c r="B63" s="34" t="s">
        <v>59</v>
      </c>
      <c r="C63" s="24">
        <v>88450.463000000003</v>
      </c>
      <c r="D63" s="24">
        <v>18877.782999999999</v>
      </c>
      <c r="E63" s="24">
        <v>18665.896000000001</v>
      </c>
      <c r="F63" s="24">
        <f t="shared" si="2"/>
        <v>-211.88699999999881</v>
      </c>
      <c r="G63" s="4">
        <f t="shared" si="3"/>
        <v>98.877585360526723</v>
      </c>
    </row>
    <row r="64" spans="1:7" hidden="1" x14ac:dyDescent="0.25">
      <c r="A64" s="18">
        <v>41020000</v>
      </c>
      <c r="B64" s="34" t="s">
        <v>60</v>
      </c>
      <c r="C64" s="24">
        <v>38984.699999999997</v>
      </c>
      <c r="D64" s="24">
        <v>6497.4</v>
      </c>
      <c r="E64" s="24">
        <v>6497.4</v>
      </c>
      <c r="F64" s="24">
        <f t="shared" si="2"/>
        <v>0</v>
      </c>
      <c r="G64" s="4">
        <f t="shared" si="3"/>
        <v>100</v>
      </c>
    </row>
    <row r="65" spans="1:7" x14ac:dyDescent="0.25">
      <c r="A65" s="18">
        <v>41020100</v>
      </c>
      <c r="B65" s="34" t="s">
        <v>61</v>
      </c>
      <c r="C65" s="24">
        <v>22616</v>
      </c>
      <c r="D65" s="24">
        <v>3769.4</v>
      </c>
      <c r="E65" s="24">
        <v>3769.4</v>
      </c>
      <c r="F65" s="24">
        <f t="shared" si="2"/>
        <v>0</v>
      </c>
      <c r="G65" s="4">
        <f t="shared" si="3"/>
        <v>100</v>
      </c>
    </row>
    <row r="66" spans="1:7" ht="45" x14ac:dyDescent="0.25">
      <c r="A66" s="18">
        <v>41020300</v>
      </c>
      <c r="B66" s="34" t="s">
        <v>62</v>
      </c>
      <c r="C66" s="24">
        <v>6228.3</v>
      </c>
      <c r="D66" s="24">
        <v>1038</v>
      </c>
      <c r="E66" s="24">
        <v>1038</v>
      </c>
      <c r="F66" s="24">
        <f t="shared" si="2"/>
        <v>0</v>
      </c>
      <c r="G66" s="4">
        <f t="shared" si="3"/>
        <v>100</v>
      </c>
    </row>
    <row r="67" spans="1:7" ht="75" x14ac:dyDescent="0.25">
      <c r="A67" s="18">
        <v>41021400</v>
      </c>
      <c r="B67" s="34" t="s">
        <v>63</v>
      </c>
      <c r="C67" s="24">
        <v>10140.4</v>
      </c>
      <c r="D67" s="24">
        <v>1690</v>
      </c>
      <c r="E67" s="24">
        <v>1690</v>
      </c>
      <c r="F67" s="24">
        <f t="shared" si="2"/>
        <v>0</v>
      </c>
      <c r="G67" s="4">
        <f t="shared" si="3"/>
        <v>100</v>
      </c>
    </row>
    <row r="68" spans="1:7" ht="45" x14ac:dyDescent="0.25">
      <c r="A68" s="18">
        <v>41031100</v>
      </c>
      <c r="B68" s="34" t="s">
        <v>64</v>
      </c>
      <c r="C68" s="24">
        <v>2060.1999999999998</v>
      </c>
      <c r="D68" s="24">
        <v>824</v>
      </c>
      <c r="E68" s="24">
        <v>824</v>
      </c>
      <c r="F68" s="24">
        <f t="shared" si="2"/>
        <v>0</v>
      </c>
      <c r="G68" s="4">
        <f t="shared" si="3"/>
        <v>100</v>
      </c>
    </row>
    <row r="69" spans="1:7" ht="30" x14ac:dyDescent="0.25">
      <c r="A69" s="18">
        <v>41033900</v>
      </c>
      <c r="B69" s="34" t="s">
        <v>65</v>
      </c>
      <c r="C69" s="24">
        <v>40191.9</v>
      </c>
      <c r="D69" s="24">
        <v>9196</v>
      </c>
      <c r="E69" s="24">
        <v>9196</v>
      </c>
      <c r="F69" s="24">
        <f t="shared" si="2"/>
        <v>0</v>
      </c>
      <c r="G69" s="4">
        <f t="shared" si="3"/>
        <v>100</v>
      </c>
    </row>
    <row r="70" spans="1:7" ht="45" x14ac:dyDescent="0.25">
      <c r="A70" s="18">
        <v>41035400</v>
      </c>
      <c r="B70" s="34" t="s">
        <v>66</v>
      </c>
      <c r="C70" s="24">
        <v>161</v>
      </c>
      <c r="D70" s="24">
        <v>53.6</v>
      </c>
      <c r="E70" s="24">
        <v>53.6</v>
      </c>
      <c r="F70" s="24">
        <f t="shared" si="2"/>
        <v>0</v>
      </c>
      <c r="G70" s="4">
        <f t="shared" si="3"/>
        <v>100</v>
      </c>
    </row>
    <row r="71" spans="1:7" ht="45" x14ac:dyDescent="0.25">
      <c r="A71" s="18">
        <v>41036300</v>
      </c>
      <c r="B71" s="34" t="s">
        <v>67</v>
      </c>
      <c r="C71" s="24">
        <v>5729</v>
      </c>
      <c r="D71" s="24">
        <v>1909.6</v>
      </c>
      <c r="E71" s="24">
        <v>1909.6</v>
      </c>
      <c r="F71" s="24">
        <f t="shared" ref="F71:F76" si="4">E71-D71</f>
        <v>0</v>
      </c>
      <c r="G71" s="4">
        <f t="shared" ref="G71:G76" si="5">IF(D71=0,0,E71/D71*100)</f>
        <v>100</v>
      </c>
    </row>
    <row r="72" spans="1:7" x14ac:dyDescent="0.25">
      <c r="A72" s="18">
        <v>41050000</v>
      </c>
      <c r="B72" s="34" t="s">
        <v>68</v>
      </c>
      <c r="C72" s="24">
        <v>1323.663</v>
      </c>
      <c r="D72" s="24">
        <v>397.18299999999999</v>
      </c>
      <c r="E72" s="24">
        <v>185.29599999999999</v>
      </c>
      <c r="F72" s="24">
        <f t="shared" si="4"/>
        <v>-211.887</v>
      </c>
      <c r="G72" s="4">
        <f t="shared" si="5"/>
        <v>46.65255058751255</v>
      </c>
    </row>
    <row r="73" spans="1:7" x14ac:dyDescent="0.25">
      <c r="A73" s="18">
        <v>41053900</v>
      </c>
      <c r="B73" s="34" t="s">
        <v>69</v>
      </c>
      <c r="C73" s="24">
        <v>211.887</v>
      </c>
      <c r="D73" s="24">
        <v>211.887</v>
      </c>
      <c r="E73" s="24">
        <v>0</v>
      </c>
      <c r="F73" s="24">
        <f t="shared" si="4"/>
        <v>-211.887</v>
      </c>
      <c r="G73" s="4">
        <f t="shared" si="5"/>
        <v>0</v>
      </c>
    </row>
    <row r="74" spans="1:7" ht="75" x14ac:dyDescent="0.25">
      <c r="A74" s="18">
        <v>41059300</v>
      </c>
      <c r="B74" s="34" t="s">
        <v>70</v>
      </c>
      <c r="C74" s="24">
        <v>1111.7760000000001</v>
      </c>
      <c r="D74" s="24">
        <v>185.29599999999999</v>
      </c>
      <c r="E74" s="24">
        <v>185.29599999999999</v>
      </c>
      <c r="F74" s="24">
        <f t="shared" si="4"/>
        <v>0</v>
      </c>
      <c r="G74" s="4">
        <f t="shared" si="5"/>
        <v>100</v>
      </c>
    </row>
    <row r="75" spans="1:7" x14ac:dyDescent="0.25">
      <c r="A75" s="25" t="s">
        <v>146</v>
      </c>
      <c r="B75" s="25"/>
      <c r="C75" s="26">
        <v>143897.299</v>
      </c>
      <c r="D75" s="26">
        <v>24269.319</v>
      </c>
      <c r="E75" s="26">
        <v>35914.817579999995</v>
      </c>
      <c r="F75" s="26">
        <f t="shared" si="4"/>
        <v>11645.498579999996</v>
      </c>
      <c r="G75" s="27">
        <f t="shared" si="5"/>
        <v>147.98444727682715</v>
      </c>
    </row>
    <row r="76" spans="1:7" x14ac:dyDescent="0.25">
      <c r="A76" s="25" t="s">
        <v>147</v>
      </c>
      <c r="B76" s="25"/>
      <c r="C76" s="26">
        <v>232347.76199999999</v>
      </c>
      <c r="D76" s="26">
        <v>43147.101999999999</v>
      </c>
      <c r="E76" s="26">
        <v>54580.713579999996</v>
      </c>
      <c r="F76" s="26">
        <f t="shared" si="4"/>
        <v>11433.611579999997</v>
      </c>
      <c r="G76" s="27">
        <f t="shared" si="5"/>
        <v>126.49914142553536</v>
      </c>
    </row>
  </sheetData>
  <mergeCells count="9">
    <mergeCell ref="A2:G2"/>
    <mergeCell ref="A3:G3"/>
    <mergeCell ref="A4:G4"/>
    <mergeCell ref="A5:G5"/>
    <mergeCell ref="A75:B75"/>
    <mergeCell ref="A76:B76"/>
    <mergeCell ref="A7:A8"/>
    <mergeCell ref="B7:B8"/>
    <mergeCell ref="C7:G7"/>
  </mergeCells>
  <pageMargins left="0.59055118110236227" right="0.19685039370078741" top="0.39370078740157483" bottom="0.39370078740157483" header="0" footer="0"/>
  <pageSetup paperSize="9" scale="70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7F4F-B07B-423B-939A-31781199E91A}">
  <dimension ref="A2:N51"/>
  <sheetViews>
    <sheetView tabSelected="1" workbookViewId="0">
      <selection activeCell="N7" sqref="N7"/>
    </sheetView>
  </sheetViews>
  <sheetFormatPr defaultRowHeight="12.75" x14ac:dyDescent="0.2"/>
  <cols>
    <col min="1" max="1" width="12.7109375" style="6" customWidth="1"/>
    <col min="2" max="2" width="50.7109375" style="7" customWidth="1"/>
    <col min="3" max="8" width="15.7109375" style="5" customWidth="1"/>
    <col min="9" max="248" width="9.140625" style="5"/>
    <col min="249" max="249" width="12.7109375" style="5" customWidth="1"/>
    <col min="250" max="250" width="50.7109375" style="5" customWidth="1"/>
    <col min="251" max="264" width="15.7109375" style="5" customWidth="1"/>
    <col min="265" max="504" width="9.140625" style="5"/>
    <col min="505" max="505" width="12.7109375" style="5" customWidth="1"/>
    <col min="506" max="506" width="50.7109375" style="5" customWidth="1"/>
    <col min="507" max="520" width="15.7109375" style="5" customWidth="1"/>
    <col min="521" max="760" width="9.140625" style="5"/>
    <col min="761" max="761" width="12.7109375" style="5" customWidth="1"/>
    <col min="762" max="762" width="50.7109375" style="5" customWidth="1"/>
    <col min="763" max="776" width="15.7109375" style="5" customWidth="1"/>
    <col min="777" max="1016" width="9.140625" style="5"/>
    <col min="1017" max="1017" width="12.7109375" style="5" customWidth="1"/>
    <col min="1018" max="1018" width="50.7109375" style="5" customWidth="1"/>
    <col min="1019" max="1032" width="15.7109375" style="5" customWidth="1"/>
    <col min="1033" max="1272" width="9.140625" style="5"/>
    <col min="1273" max="1273" width="12.7109375" style="5" customWidth="1"/>
    <col min="1274" max="1274" width="50.7109375" style="5" customWidth="1"/>
    <col min="1275" max="1288" width="15.7109375" style="5" customWidth="1"/>
    <col min="1289" max="1528" width="9.140625" style="5"/>
    <col min="1529" max="1529" width="12.7109375" style="5" customWidth="1"/>
    <col min="1530" max="1530" width="50.7109375" style="5" customWidth="1"/>
    <col min="1531" max="1544" width="15.7109375" style="5" customWidth="1"/>
    <col min="1545" max="1784" width="9.140625" style="5"/>
    <col min="1785" max="1785" width="12.7109375" style="5" customWidth="1"/>
    <col min="1786" max="1786" width="50.7109375" style="5" customWidth="1"/>
    <col min="1787" max="1800" width="15.7109375" style="5" customWidth="1"/>
    <col min="1801" max="2040" width="9.140625" style="5"/>
    <col min="2041" max="2041" width="12.7109375" style="5" customWidth="1"/>
    <col min="2042" max="2042" width="50.7109375" style="5" customWidth="1"/>
    <col min="2043" max="2056" width="15.7109375" style="5" customWidth="1"/>
    <col min="2057" max="2296" width="9.140625" style="5"/>
    <col min="2297" max="2297" width="12.7109375" style="5" customWidth="1"/>
    <col min="2298" max="2298" width="50.7109375" style="5" customWidth="1"/>
    <col min="2299" max="2312" width="15.7109375" style="5" customWidth="1"/>
    <col min="2313" max="2552" width="9.140625" style="5"/>
    <col min="2553" max="2553" width="12.7109375" style="5" customWidth="1"/>
    <col min="2554" max="2554" width="50.7109375" style="5" customWidth="1"/>
    <col min="2555" max="2568" width="15.7109375" style="5" customWidth="1"/>
    <col min="2569" max="2808" width="9.140625" style="5"/>
    <col min="2809" max="2809" width="12.7109375" style="5" customWidth="1"/>
    <col min="2810" max="2810" width="50.7109375" style="5" customWidth="1"/>
    <col min="2811" max="2824" width="15.7109375" style="5" customWidth="1"/>
    <col min="2825" max="3064" width="9.140625" style="5"/>
    <col min="3065" max="3065" width="12.7109375" style="5" customWidth="1"/>
    <col min="3066" max="3066" width="50.7109375" style="5" customWidth="1"/>
    <col min="3067" max="3080" width="15.7109375" style="5" customWidth="1"/>
    <col min="3081" max="3320" width="9.140625" style="5"/>
    <col min="3321" max="3321" width="12.7109375" style="5" customWidth="1"/>
    <col min="3322" max="3322" width="50.7109375" style="5" customWidth="1"/>
    <col min="3323" max="3336" width="15.7109375" style="5" customWidth="1"/>
    <col min="3337" max="3576" width="9.140625" style="5"/>
    <col min="3577" max="3577" width="12.7109375" style="5" customWidth="1"/>
    <col min="3578" max="3578" width="50.7109375" style="5" customWidth="1"/>
    <col min="3579" max="3592" width="15.7109375" style="5" customWidth="1"/>
    <col min="3593" max="3832" width="9.140625" style="5"/>
    <col min="3833" max="3833" width="12.7109375" style="5" customWidth="1"/>
    <col min="3834" max="3834" width="50.7109375" style="5" customWidth="1"/>
    <col min="3835" max="3848" width="15.7109375" style="5" customWidth="1"/>
    <col min="3849" max="4088" width="9.140625" style="5"/>
    <col min="4089" max="4089" width="12.7109375" style="5" customWidth="1"/>
    <col min="4090" max="4090" width="50.7109375" style="5" customWidth="1"/>
    <col min="4091" max="4104" width="15.7109375" style="5" customWidth="1"/>
    <col min="4105" max="4344" width="9.140625" style="5"/>
    <col min="4345" max="4345" width="12.7109375" style="5" customWidth="1"/>
    <col min="4346" max="4346" width="50.7109375" style="5" customWidth="1"/>
    <col min="4347" max="4360" width="15.7109375" style="5" customWidth="1"/>
    <col min="4361" max="4600" width="9.140625" style="5"/>
    <col min="4601" max="4601" width="12.7109375" style="5" customWidth="1"/>
    <col min="4602" max="4602" width="50.7109375" style="5" customWidth="1"/>
    <col min="4603" max="4616" width="15.7109375" style="5" customWidth="1"/>
    <col min="4617" max="4856" width="9.140625" style="5"/>
    <col min="4857" max="4857" width="12.7109375" style="5" customWidth="1"/>
    <col min="4858" max="4858" width="50.7109375" style="5" customWidth="1"/>
    <col min="4859" max="4872" width="15.7109375" style="5" customWidth="1"/>
    <col min="4873" max="5112" width="9.140625" style="5"/>
    <col min="5113" max="5113" width="12.7109375" style="5" customWidth="1"/>
    <col min="5114" max="5114" width="50.7109375" style="5" customWidth="1"/>
    <col min="5115" max="5128" width="15.7109375" style="5" customWidth="1"/>
    <col min="5129" max="5368" width="9.140625" style="5"/>
    <col min="5369" max="5369" width="12.7109375" style="5" customWidth="1"/>
    <col min="5370" max="5370" width="50.7109375" style="5" customWidth="1"/>
    <col min="5371" max="5384" width="15.7109375" style="5" customWidth="1"/>
    <col min="5385" max="5624" width="9.140625" style="5"/>
    <col min="5625" max="5625" width="12.7109375" style="5" customWidth="1"/>
    <col min="5626" max="5626" width="50.7109375" style="5" customWidth="1"/>
    <col min="5627" max="5640" width="15.7109375" style="5" customWidth="1"/>
    <col min="5641" max="5880" width="9.140625" style="5"/>
    <col min="5881" max="5881" width="12.7109375" style="5" customWidth="1"/>
    <col min="5882" max="5882" width="50.7109375" style="5" customWidth="1"/>
    <col min="5883" max="5896" width="15.7109375" style="5" customWidth="1"/>
    <col min="5897" max="6136" width="9.140625" style="5"/>
    <col min="6137" max="6137" width="12.7109375" style="5" customWidth="1"/>
    <col min="6138" max="6138" width="50.7109375" style="5" customWidth="1"/>
    <col min="6139" max="6152" width="15.7109375" style="5" customWidth="1"/>
    <col min="6153" max="6392" width="9.140625" style="5"/>
    <col min="6393" max="6393" width="12.7109375" style="5" customWidth="1"/>
    <col min="6394" max="6394" width="50.7109375" style="5" customWidth="1"/>
    <col min="6395" max="6408" width="15.7109375" style="5" customWidth="1"/>
    <col min="6409" max="6648" width="9.140625" style="5"/>
    <col min="6649" max="6649" width="12.7109375" style="5" customWidth="1"/>
    <col min="6650" max="6650" width="50.7109375" style="5" customWidth="1"/>
    <col min="6651" max="6664" width="15.7109375" style="5" customWidth="1"/>
    <col min="6665" max="6904" width="9.140625" style="5"/>
    <col min="6905" max="6905" width="12.7109375" style="5" customWidth="1"/>
    <col min="6906" max="6906" width="50.7109375" style="5" customWidth="1"/>
    <col min="6907" max="6920" width="15.7109375" style="5" customWidth="1"/>
    <col min="6921" max="7160" width="9.140625" style="5"/>
    <col min="7161" max="7161" width="12.7109375" style="5" customWidth="1"/>
    <col min="7162" max="7162" width="50.7109375" style="5" customWidth="1"/>
    <col min="7163" max="7176" width="15.7109375" style="5" customWidth="1"/>
    <col min="7177" max="7416" width="9.140625" style="5"/>
    <col min="7417" max="7417" width="12.7109375" style="5" customWidth="1"/>
    <col min="7418" max="7418" width="50.7109375" style="5" customWidth="1"/>
    <col min="7419" max="7432" width="15.7109375" style="5" customWidth="1"/>
    <col min="7433" max="7672" width="9.140625" style="5"/>
    <col min="7673" max="7673" width="12.7109375" style="5" customWidth="1"/>
    <col min="7674" max="7674" width="50.7109375" style="5" customWidth="1"/>
    <col min="7675" max="7688" width="15.7109375" style="5" customWidth="1"/>
    <col min="7689" max="7928" width="9.140625" style="5"/>
    <col min="7929" max="7929" width="12.7109375" style="5" customWidth="1"/>
    <col min="7930" max="7930" width="50.7109375" style="5" customWidth="1"/>
    <col min="7931" max="7944" width="15.7109375" style="5" customWidth="1"/>
    <col min="7945" max="8184" width="9.140625" style="5"/>
    <col min="8185" max="8185" width="12.7109375" style="5" customWidth="1"/>
    <col min="8186" max="8186" width="50.7109375" style="5" customWidth="1"/>
    <col min="8187" max="8200" width="15.7109375" style="5" customWidth="1"/>
    <col min="8201" max="8440" width="9.140625" style="5"/>
    <col min="8441" max="8441" width="12.7109375" style="5" customWidth="1"/>
    <col min="8442" max="8442" width="50.7109375" style="5" customWidth="1"/>
    <col min="8443" max="8456" width="15.7109375" style="5" customWidth="1"/>
    <col min="8457" max="8696" width="9.140625" style="5"/>
    <col min="8697" max="8697" width="12.7109375" style="5" customWidth="1"/>
    <col min="8698" max="8698" width="50.7109375" style="5" customWidth="1"/>
    <col min="8699" max="8712" width="15.7109375" style="5" customWidth="1"/>
    <col min="8713" max="8952" width="9.140625" style="5"/>
    <col min="8953" max="8953" width="12.7109375" style="5" customWidth="1"/>
    <col min="8954" max="8954" width="50.7109375" style="5" customWidth="1"/>
    <col min="8955" max="8968" width="15.7109375" style="5" customWidth="1"/>
    <col min="8969" max="9208" width="9.140625" style="5"/>
    <col min="9209" max="9209" width="12.7109375" style="5" customWidth="1"/>
    <col min="9210" max="9210" width="50.7109375" style="5" customWidth="1"/>
    <col min="9211" max="9224" width="15.7109375" style="5" customWidth="1"/>
    <col min="9225" max="9464" width="9.140625" style="5"/>
    <col min="9465" max="9465" width="12.7109375" style="5" customWidth="1"/>
    <col min="9466" max="9466" width="50.7109375" style="5" customWidth="1"/>
    <col min="9467" max="9480" width="15.7109375" style="5" customWidth="1"/>
    <col min="9481" max="9720" width="9.140625" style="5"/>
    <col min="9721" max="9721" width="12.7109375" style="5" customWidth="1"/>
    <col min="9722" max="9722" width="50.7109375" style="5" customWidth="1"/>
    <col min="9723" max="9736" width="15.7109375" style="5" customWidth="1"/>
    <col min="9737" max="9976" width="9.140625" style="5"/>
    <col min="9977" max="9977" width="12.7109375" style="5" customWidth="1"/>
    <col min="9978" max="9978" width="50.7109375" style="5" customWidth="1"/>
    <col min="9979" max="9992" width="15.7109375" style="5" customWidth="1"/>
    <col min="9993" max="10232" width="9.140625" style="5"/>
    <col min="10233" max="10233" width="12.7109375" style="5" customWidth="1"/>
    <col min="10234" max="10234" width="50.7109375" style="5" customWidth="1"/>
    <col min="10235" max="10248" width="15.7109375" style="5" customWidth="1"/>
    <col min="10249" max="10488" width="9.140625" style="5"/>
    <col min="10489" max="10489" width="12.7109375" style="5" customWidth="1"/>
    <col min="10490" max="10490" width="50.7109375" style="5" customWidth="1"/>
    <col min="10491" max="10504" width="15.7109375" style="5" customWidth="1"/>
    <col min="10505" max="10744" width="9.140625" style="5"/>
    <col min="10745" max="10745" width="12.7109375" style="5" customWidth="1"/>
    <col min="10746" max="10746" width="50.7109375" style="5" customWidth="1"/>
    <col min="10747" max="10760" width="15.7109375" style="5" customWidth="1"/>
    <col min="10761" max="11000" width="9.140625" style="5"/>
    <col min="11001" max="11001" width="12.7109375" style="5" customWidth="1"/>
    <col min="11002" max="11002" width="50.7109375" style="5" customWidth="1"/>
    <col min="11003" max="11016" width="15.7109375" style="5" customWidth="1"/>
    <col min="11017" max="11256" width="9.140625" style="5"/>
    <col min="11257" max="11257" width="12.7109375" style="5" customWidth="1"/>
    <col min="11258" max="11258" width="50.7109375" style="5" customWidth="1"/>
    <col min="11259" max="11272" width="15.7109375" style="5" customWidth="1"/>
    <col min="11273" max="11512" width="9.140625" style="5"/>
    <col min="11513" max="11513" width="12.7109375" style="5" customWidth="1"/>
    <col min="11514" max="11514" width="50.7109375" style="5" customWidth="1"/>
    <col min="11515" max="11528" width="15.7109375" style="5" customWidth="1"/>
    <col min="11529" max="11768" width="9.140625" style="5"/>
    <col min="11769" max="11769" width="12.7109375" style="5" customWidth="1"/>
    <col min="11770" max="11770" width="50.7109375" style="5" customWidth="1"/>
    <col min="11771" max="11784" width="15.7109375" style="5" customWidth="1"/>
    <col min="11785" max="12024" width="9.140625" style="5"/>
    <col min="12025" max="12025" width="12.7109375" style="5" customWidth="1"/>
    <col min="12026" max="12026" width="50.7109375" style="5" customWidth="1"/>
    <col min="12027" max="12040" width="15.7109375" style="5" customWidth="1"/>
    <col min="12041" max="12280" width="9.140625" style="5"/>
    <col min="12281" max="12281" width="12.7109375" style="5" customWidth="1"/>
    <col min="12282" max="12282" width="50.7109375" style="5" customWidth="1"/>
    <col min="12283" max="12296" width="15.7109375" style="5" customWidth="1"/>
    <col min="12297" max="12536" width="9.140625" style="5"/>
    <col min="12537" max="12537" width="12.7109375" style="5" customWidth="1"/>
    <col min="12538" max="12538" width="50.7109375" style="5" customWidth="1"/>
    <col min="12539" max="12552" width="15.7109375" style="5" customWidth="1"/>
    <col min="12553" max="12792" width="9.140625" style="5"/>
    <col min="12793" max="12793" width="12.7109375" style="5" customWidth="1"/>
    <col min="12794" max="12794" width="50.7109375" style="5" customWidth="1"/>
    <col min="12795" max="12808" width="15.7109375" style="5" customWidth="1"/>
    <col min="12809" max="13048" width="9.140625" style="5"/>
    <col min="13049" max="13049" width="12.7109375" style="5" customWidth="1"/>
    <col min="13050" max="13050" width="50.7109375" style="5" customWidth="1"/>
    <col min="13051" max="13064" width="15.7109375" style="5" customWidth="1"/>
    <col min="13065" max="13304" width="9.140625" style="5"/>
    <col min="13305" max="13305" width="12.7109375" style="5" customWidth="1"/>
    <col min="13306" max="13306" width="50.7109375" style="5" customWidth="1"/>
    <col min="13307" max="13320" width="15.7109375" style="5" customWidth="1"/>
    <col min="13321" max="13560" width="9.140625" style="5"/>
    <col min="13561" max="13561" width="12.7109375" style="5" customWidth="1"/>
    <col min="13562" max="13562" width="50.7109375" style="5" customWidth="1"/>
    <col min="13563" max="13576" width="15.7109375" style="5" customWidth="1"/>
    <col min="13577" max="13816" width="9.140625" style="5"/>
    <col min="13817" max="13817" width="12.7109375" style="5" customWidth="1"/>
    <col min="13818" max="13818" width="50.7109375" style="5" customWidth="1"/>
    <col min="13819" max="13832" width="15.7109375" style="5" customWidth="1"/>
    <col min="13833" max="14072" width="9.140625" style="5"/>
    <col min="14073" max="14073" width="12.7109375" style="5" customWidth="1"/>
    <col min="14074" max="14074" width="50.7109375" style="5" customWidth="1"/>
    <col min="14075" max="14088" width="15.7109375" style="5" customWidth="1"/>
    <col min="14089" max="14328" width="9.140625" style="5"/>
    <col min="14329" max="14329" width="12.7109375" style="5" customWidth="1"/>
    <col min="14330" max="14330" width="50.7109375" style="5" customWidth="1"/>
    <col min="14331" max="14344" width="15.7109375" style="5" customWidth="1"/>
    <col min="14345" max="14584" width="9.140625" style="5"/>
    <col min="14585" max="14585" width="12.7109375" style="5" customWidth="1"/>
    <col min="14586" max="14586" width="50.7109375" style="5" customWidth="1"/>
    <col min="14587" max="14600" width="15.7109375" style="5" customWidth="1"/>
    <col min="14601" max="14840" width="9.140625" style="5"/>
    <col min="14841" max="14841" width="12.7109375" style="5" customWidth="1"/>
    <col min="14842" max="14842" width="50.7109375" style="5" customWidth="1"/>
    <col min="14843" max="14856" width="15.7109375" style="5" customWidth="1"/>
    <col min="14857" max="15096" width="9.140625" style="5"/>
    <col min="15097" max="15097" width="12.7109375" style="5" customWidth="1"/>
    <col min="15098" max="15098" width="50.7109375" style="5" customWidth="1"/>
    <col min="15099" max="15112" width="15.7109375" style="5" customWidth="1"/>
    <col min="15113" max="15352" width="9.140625" style="5"/>
    <col min="15353" max="15353" width="12.7109375" style="5" customWidth="1"/>
    <col min="15354" max="15354" width="50.7109375" style="5" customWidth="1"/>
    <col min="15355" max="15368" width="15.7109375" style="5" customWidth="1"/>
    <col min="15369" max="15608" width="9.140625" style="5"/>
    <col min="15609" max="15609" width="12.7109375" style="5" customWidth="1"/>
    <col min="15610" max="15610" width="50.7109375" style="5" customWidth="1"/>
    <col min="15611" max="15624" width="15.7109375" style="5" customWidth="1"/>
    <col min="15625" max="15864" width="9.140625" style="5"/>
    <col min="15865" max="15865" width="12.7109375" style="5" customWidth="1"/>
    <col min="15866" max="15866" width="50.7109375" style="5" customWidth="1"/>
    <col min="15867" max="15880" width="15.7109375" style="5" customWidth="1"/>
    <col min="15881" max="16120" width="9.140625" style="5"/>
    <col min="16121" max="16121" width="12.7109375" style="5" customWidth="1"/>
    <col min="16122" max="16122" width="50.7109375" style="5" customWidth="1"/>
    <col min="16123" max="16136" width="15.7109375" style="5" customWidth="1"/>
    <col min="16137" max="16384" width="9.140625" style="5"/>
  </cols>
  <sheetData>
    <row r="2" spans="1:14" ht="15" x14ac:dyDescent="0.25">
      <c r="A2" s="37" t="s">
        <v>141</v>
      </c>
      <c r="B2" s="37"/>
      <c r="C2" s="37"/>
      <c r="D2" s="37"/>
      <c r="E2" s="37"/>
      <c r="F2" s="37"/>
      <c r="G2" s="37"/>
      <c r="H2" s="37"/>
    </row>
    <row r="3" spans="1:14" x14ac:dyDescent="0.2">
      <c r="A3" s="21" t="s">
        <v>149</v>
      </c>
      <c r="B3" s="21"/>
      <c r="C3" s="21"/>
      <c r="D3" s="21"/>
      <c r="E3" s="21"/>
      <c r="F3" s="21"/>
      <c r="G3" s="21"/>
      <c r="H3" s="21"/>
    </row>
    <row r="4" spans="1:14" x14ac:dyDescent="0.2">
      <c r="A4" s="21" t="s">
        <v>143</v>
      </c>
      <c r="B4" s="21"/>
      <c r="C4" s="21"/>
      <c r="D4" s="21"/>
      <c r="E4" s="21"/>
      <c r="F4" s="21"/>
      <c r="G4" s="21"/>
      <c r="H4" s="21"/>
    </row>
    <row r="5" spans="1:14" x14ac:dyDescent="0.2">
      <c r="A5" s="38" t="s">
        <v>150</v>
      </c>
      <c r="B5" s="38"/>
      <c r="C5" s="38"/>
      <c r="D5" s="38"/>
      <c r="E5" s="38"/>
      <c r="F5" s="38"/>
      <c r="G5" s="38"/>
      <c r="H5" s="38"/>
    </row>
    <row r="6" spans="1:14" x14ac:dyDescent="0.2">
      <c r="A6" s="21"/>
      <c r="B6" s="21"/>
      <c r="C6" s="21"/>
      <c r="D6" s="21"/>
      <c r="E6" s="21"/>
      <c r="F6" s="21"/>
      <c r="G6" s="21"/>
      <c r="H6" s="21"/>
    </row>
    <row r="7" spans="1:14" s="8" customFormat="1" ht="63.75" x14ac:dyDescent="0.2">
      <c r="A7" s="9" t="s">
        <v>71</v>
      </c>
      <c r="B7" s="9" t="s">
        <v>72</v>
      </c>
      <c r="C7" s="9" t="s">
        <v>73</v>
      </c>
      <c r="D7" s="9" t="s">
        <v>74</v>
      </c>
      <c r="E7" s="9" t="s">
        <v>75</v>
      </c>
      <c r="F7" s="9" t="s">
        <v>76</v>
      </c>
      <c r="G7" s="9" t="s">
        <v>77</v>
      </c>
      <c r="H7" s="9" t="s">
        <v>148</v>
      </c>
      <c r="N7" s="5"/>
    </row>
    <row r="8" spans="1:14" x14ac:dyDescent="0.2">
      <c r="A8" s="10">
        <v>1</v>
      </c>
      <c r="B8" s="10">
        <v>2</v>
      </c>
      <c r="C8" s="10">
        <v>3</v>
      </c>
      <c r="D8" s="10">
        <v>4</v>
      </c>
      <c r="E8" s="10">
        <v>5</v>
      </c>
      <c r="F8" s="10">
        <v>6</v>
      </c>
      <c r="G8" s="10">
        <v>7</v>
      </c>
      <c r="H8" s="10">
        <v>8</v>
      </c>
    </row>
    <row r="9" spans="1:14" ht="51" x14ac:dyDescent="0.2">
      <c r="A9" s="11" t="s">
        <v>78</v>
      </c>
      <c r="B9" s="12" t="s">
        <v>79</v>
      </c>
      <c r="C9" s="13">
        <v>51184.219000000005</v>
      </c>
      <c r="D9" s="13">
        <v>8753.1220000000012</v>
      </c>
      <c r="E9" s="13">
        <v>4496.74298</v>
      </c>
      <c r="F9" s="36">
        <f t="shared" ref="F9:F41" si="0">C9-E9</f>
        <v>46687.476020000002</v>
      </c>
      <c r="G9" s="36">
        <f t="shared" ref="G9:G41" si="1">D9-E9</f>
        <v>4256.3790200000012</v>
      </c>
      <c r="H9" s="36">
        <f t="shared" ref="H9:H41" si="2">IF(D9=0,0,(E9/D9)*100)</f>
        <v>51.373018449874216</v>
      </c>
      <c r="I9" s="15"/>
      <c r="N9" s="8"/>
    </row>
    <row r="10" spans="1:14" ht="38.25" x14ac:dyDescent="0.2">
      <c r="A10" s="11" t="s">
        <v>80</v>
      </c>
      <c r="B10" s="12" t="s">
        <v>81</v>
      </c>
      <c r="C10" s="13">
        <v>29601.903000000002</v>
      </c>
      <c r="D10" s="13">
        <v>8381.2470000000012</v>
      </c>
      <c r="E10" s="13">
        <v>4687.2983400000003</v>
      </c>
      <c r="F10" s="36">
        <f t="shared" si="0"/>
        <v>24914.604660000001</v>
      </c>
      <c r="G10" s="36">
        <f t="shared" si="1"/>
        <v>3693.9486600000009</v>
      </c>
      <c r="H10" s="36">
        <f t="shared" si="2"/>
        <v>55.926025566362611</v>
      </c>
      <c r="I10" s="15"/>
    </row>
    <row r="11" spans="1:14" ht="38.25" x14ac:dyDescent="0.2">
      <c r="A11" s="11" t="s">
        <v>82</v>
      </c>
      <c r="B11" s="12" t="s">
        <v>83</v>
      </c>
      <c r="C11" s="13">
        <v>40191.9</v>
      </c>
      <c r="D11" s="13">
        <v>9196</v>
      </c>
      <c r="E11" s="13">
        <v>9069.867400000001</v>
      </c>
      <c r="F11" s="36">
        <f t="shared" si="0"/>
        <v>31122.032599999999</v>
      </c>
      <c r="G11" s="36">
        <f t="shared" si="1"/>
        <v>126.132599999999</v>
      </c>
      <c r="H11" s="36">
        <f t="shared" si="2"/>
        <v>98.628397129186624</v>
      </c>
      <c r="I11" s="15"/>
    </row>
    <row r="12" spans="1:14" ht="63.75" x14ac:dyDescent="0.2">
      <c r="A12" s="11" t="s">
        <v>84</v>
      </c>
      <c r="B12" s="12" t="s">
        <v>85</v>
      </c>
      <c r="C12" s="13">
        <v>161</v>
      </c>
      <c r="D12" s="13">
        <v>53.599999999999994</v>
      </c>
      <c r="E12" s="13">
        <v>53.545549999999999</v>
      </c>
      <c r="F12" s="36">
        <f t="shared" si="0"/>
        <v>107.45445000000001</v>
      </c>
      <c r="G12" s="36">
        <f t="shared" si="1"/>
        <v>5.4449999999995669E-2</v>
      </c>
      <c r="H12" s="36">
        <f t="shared" si="2"/>
        <v>99.898414179104492</v>
      </c>
      <c r="I12" s="15"/>
    </row>
    <row r="13" spans="1:14" ht="38.25" x14ac:dyDescent="0.2">
      <c r="A13" s="11" t="s">
        <v>86</v>
      </c>
      <c r="B13" s="12" t="s">
        <v>87</v>
      </c>
      <c r="C13" s="13">
        <v>5729</v>
      </c>
      <c r="D13" s="13">
        <v>1909.6000000000001</v>
      </c>
      <c r="E13" s="13">
        <v>1758.7416400000002</v>
      </c>
      <c r="F13" s="36">
        <f t="shared" si="0"/>
        <v>3970.2583599999998</v>
      </c>
      <c r="G13" s="36">
        <f t="shared" si="1"/>
        <v>150.85835999999995</v>
      </c>
      <c r="H13" s="36">
        <f t="shared" si="2"/>
        <v>92.100002094679525</v>
      </c>
      <c r="I13" s="15"/>
    </row>
    <row r="14" spans="1:14" ht="38.25" x14ac:dyDescent="0.2">
      <c r="A14" s="11" t="s">
        <v>88</v>
      </c>
      <c r="B14" s="12" t="s">
        <v>89</v>
      </c>
      <c r="C14" s="13">
        <v>2060.1999999999998</v>
      </c>
      <c r="D14" s="13">
        <v>824</v>
      </c>
      <c r="E14" s="13">
        <v>52.8675</v>
      </c>
      <c r="F14" s="36">
        <f t="shared" si="0"/>
        <v>2007.3324999999998</v>
      </c>
      <c r="G14" s="36">
        <f t="shared" si="1"/>
        <v>771.13250000000005</v>
      </c>
      <c r="H14" s="36">
        <f t="shared" si="2"/>
        <v>6.4159587378640772</v>
      </c>
      <c r="I14" s="15"/>
    </row>
    <row r="15" spans="1:14" ht="25.5" x14ac:dyDescent="0.2">
      <c r="A15" s="11" t="s">
        <v>90</v>
      </c>
      <c r="B15" s="12" t="s">
        <v>91</v>
      </c>
      <c r="C15" s="13">
        <v>918</v>
      </c>
      <c r="D15" s="13">
        <v>918</v>
      </c>
      <c r="E15" s="13">
        <v>188</v>
      </c>
      <c r="F15" s="36">
        <f t="shared" si="0"/>
        <v>730</v>
      </c>
      <c r="G15" s="36">
        <f t="shared" si="1"/>
        <v>730</v>
      </c>
      <c r="H15" s="36">
        <f t="shared" si="2"/>
        <v>20.479302832244009</v>
      </c>
      <c r="I15" s="15"/>
    </row>
    <row r="16" spans="1:14" ht="25.5" x14ac:dyDescent="0.2">
      <c r="A16" s="11" t="s">
        <v>92</v>
      </c>
      <c r="B16" s="12" t="s">
        <v>93</v>
      </c>
      <c r="C16" s="13">
        <v>213.42000000000002</v>
      </c>
      <c r="D16" s="13">
        <v>213.42000000000002</v>
      </c>
      <c r="E16" s="13">
        <v>205.51051000000001</v>
      </c>
      <c r="F16" s="36">
        <f t="shared" si="0"/>
        <v>7.9094900000000052</v>
      </c>
      <c r="G16" s="36">
        <f t="shared" si="1"/>
        <v>7.9094900000000052</v>
      </c>
      <c r="H16" s="36">
        <f t="shared" si="2"/>
        <v>96.293932152563016</v>
      </c>
      <c r="I16" s="15"/>
    </row>
    <row r="17" spans="1:9" x14ac:dyDescent="0.2">
      <c r="A17" s="11" t="s">
        <v>94</v>
      </c>
      <c r="B17" s="12" t="s">
        <v>95</v>
      </c>
      <c r="C17" s="13">
        <v>1001</v>
      </c>
      <c r="D17" s="13">
        <v>1001</v>
      </c>
      <c r="E17" s="13">
        <v>0</v>
      </c>
      <c r="F17" s="36">
        <f t="shared" si="0"/>
        <v>1001</v>
      </c>
      <c r="G17" s="36">
        <f t="shared" si="1"/>
        <v>1001</v>
      </c>
      <c r="H17" s="36">
        <f t="shared" si="2"/>
        <v>0</v>
      </c>
      <c r="I17" s="15"/>
    </row>
    <row r="18" spans="1:9" ht="25.5" x14ac:dyDescent="0.2">
      <c r="A18" s="11" t="s">
        <v>96</v>
      </c>
      <c r="B18" s="12" t="s">
        <v>97</v>
      </c>
      <c r="C18" s="13">
        <v>60</v>
      </c>
      <c r="D18" s="13">
        <v>0</v>
      </c>
      <c r="E18" s="13">
        <v>0</v>
      </c>
      <c r="F18" s="36">
        <f t="shared" si="0"/>
        <v>60</v>
      </c>
      <c r="G18" s="36">
        <f t="shared" si="1"/>
        <v>0</v>
      </c>
      <c r="H18" s="36">
        <f t="shared" si="2"/>
        <v>0</v>
      </c>
      <c r="I18" s="15"/>
    </row>
    <row r="19" spans="1:9" ht="25.5" x14ac:dyDescent="0.2">
      <c r="A19" s="11" t="s">
        <v>98</v>
      </c>
      <c r="B19" s="12" t="s">
        <v>99</v>
      </c>
      <c r="C19" s="13">
        <v>30</v>
      </c>
      <c r="D19" s="13">
        <v>30</v>
      </c>
      <c r="E19" s="13">
        <v>0</v>
      </c>
      <c r="F19" s="36">
        <f t="shared" si="0"/>
        <v>30</v>
      </c>
      <c r="G19" s="36">
        <f t="shared" si="1"/>
        <v>30</v>
      </c>
      <c r="H19" s="36">
        <f t="shared" si="2"/>
        <v>0</v>
      </c>
      <c r="I19" s="15"/>
    </row>
    <row r="20" spans="1:9" ht="51" x14ac:dyDescent="0.2">
      <c r="A20" s="11" t="s">
        <v>100</v>
      </c>
      <c r="B20" s="12" t="s">
        <v>101</v>
      </c>
      <c r="C20" s="13">
        <v>370</v>
      </c>
      <c r="D20" s="13">
        <v>0</v>
      </c>
      <c r="E20" s="13">
        <v>0</v>
      </c>
      <c r="F20" s="36">
        <f t="shared" si="0"/>
        <v>370</v>
      </c>
      <c r="G20" s="36">
        <f t="shared" si="1"/>
        <v>0</v>
      </c>
      <c r="H20" s="36">
        <f t="shared" si="2"/>
        <v>0</v>
      </c>
      <c r="I20" s="15"/>
    </row>
    <row r="21" spans="1:9" ht="63.75" x14ac:dyDescent="0.2">
      <c r="A21" s="11" t="s">
        <v>102</v>
      </c>
      <c r="B21" s="12" t="s">
        <v>103</v>
      </c>
      <c r="C21" s="13">
        <v>508.8</v>
      </c>
      <c r="D21" s="13">
        <v>84.8</v>
      </c>
      <c r="E21" s="13">
        <v>29.446060000000003</v>
      </c>
      <c r="F21" s="36">
        <f t="shared" si="0"/>
        <v>479.35394000000002</v>
      </c>
      <c r="G21" s="36">
        <f t="shared" si="1"/>
        <v>55.353939999999994</v>
      </c>
      <c r="H21" s="36">
        <f t="shared" si="2"/>
        <v>34.72412735849057</v>
      </c>
      <c r="I21" s="15"/>
    </row>
    <row r="22" spans="1:9" ht="51" x14ac:dyDescent="0.2">
      <c r="A22" s="11" t="s">
        <v>104</v>
      </c>
      <c r="B22" s="12" t="s">
        <v>105</v>
      </c>
      <c r="C22" s="13">
        <v>1111.7760000000001</v>
      </c>
      <c r="D22" s="13">
        <v>185.29599999999999</v>
      </c>
      <c r="E22" s="13">
        <v>175.71088999999998</v>
      </c>
      <c r="F22" s="36">
        <f t="shared" si="0"/>
        <v>936.06511000000012</v>
      </c>
      <c r="G22" s="36">
        <f t="shared" si="1"/>
        <v>9.5851100000000145</v>
      </c>
      <c r="H22" s="36">
        <f t="shared" si="2"/>
        <v>94.827136041792585</v>
      </c>
      <c r="I22" s="15"/>
    </row>
    <row r="23" spans="1:9" ht="38.25" x14ac:dyDescent="0.2">
      <c r="A23" s="11" t="s">
        <v>106</v>
      </c>
      <c r="B23" s="12" t="s">
        <v>107</v>
      </c>
      <c r="C23" s="13">
        <v>12287.383</v>
      </c>
      <c r="D23" s="13">
        <v>2055.8069999999998</v>
      </c>
      <c r="E23" s="13">
        <v>1230.61834</v>
      </c>
      <c r="F23" s="36">
        <f t="shared" si="0"/>
        <v>11056.764660000001</v>
      </c>
      <c r="G23" s="36">
        <f t="shared" si="1"/>
        <v>825.1886599999998</v>
      </c>
      <c r="H23" s="36">
        <f t="shared" si="2"/>
        <v>59.860596836181614</v>
      </c>
      <c r="I23" s="15"/>
    </row>
    <row r="24" spans="1:9" ht="25.5" x14ac:dyDescent="0.2">
      <c r="A24" s="11" t="s">
        <v>108</v>
      </c>
      <c r="B24" s="12" t="s">
        <v>109</v>
      </c>
      <c r="C24" s="13">
        <v>3590.2870000000003</v>
      </c>
      <c r="D24" s="13">
        <v>774.95299999999997</v>
      </c>
      <c r="E24" s="13">
        <v>85.2</v>
      </c>
      <c r="F24" s="36">
        <f t="shared" si="0"/>
        <v>3505.0870000000004</v>
      </c>
      <c r="G24" s="36">
        <f t="shared" si="1"/>
        <v>689.75299999999993</v>
      </c>
      <c r="H24" s="36">
        <f t="shared" si="2"/>
        <v>10.994215133046779</v>
      </c>
      <c r="I24" s="15"/>
    </row>
    <row r="25" spans="1:9" ht="25.5" x14ac:dyDescent="0.2">
      <c r="A25" s="11" t="s">
        <v>110</v>
      </c>
      <c r="B25" s="12" t="s">
        <v>111</v>
      </c>
      <c r="C25" s="13">
        <v>11430.532000000001</v>
      </c>
      <c r="D25" s="13">
        <v>1853.7070000000001</v>
      </c>
      <c r="E25" s="13">
        <v>1196.2468100000001</v>
      </c>
      <c r="F25" s="36">
        <f t="shared" si="0"/>
        <v>10234.285190000001</v>
      </c>
      <c r="G25" s="36">
        <f t="shared" si="1"/>
        <v>657.46019000000001</v>
      </c>
      <c r="H25" s="36">
        <f t="shared" si="2"/>
        <v>64.532680191637624</v>
      </c>
      <c r="I25" s="15"/>
    </row>
    <row r="26" spans="1:9" ht="38.25" x14ac:dyDescent="0.2">
      <c r="A26" s="11" t="s">
        <v>112</v>
      </c>
      <c r="B26" s="12" t="s">
        <v>113</v>
      </c>
      <c r="C26" s="13">
        <v>4039.84</v>
      </c>
      <c r="D26" s="13">
        <v>4039.84</v>
      </c>
      <c r="E26" s="13">
        <v>3824.6859800000002</v>
      </c>
      <c r="F26" s="36">
        <f t="shared" si="0"/>
        <v>215.15401999999995</v>
      </c>
      <c r="G26" s="36">
        <f t="shared" si="1"/>
        <v>215.15401999999995</v>
      </c>
      <c r="H26" s="36">
        <f t="shared" si="2"/>
        <v>94.674194522555354</v>
      </c>
      <c r="I26" s="15"/>
    </row>
    <row r="27" spans="1:9" x14ac:dyDescent="0.2">
      <c r="A27" s="11" t="s">
        <v>114</v>
      </c>
      <c r="B27" s="12" t="s">
        <v>115</v>
      </c>
      <c r="C27" s="13">
        <v>26587.65</v>
      </c>
      <c r="D27" s="13">
        <v>5375.2000000000007</v>
      </c>
      <c r="E27" s="13">
        <v>3473.4099299999998</v>
      </c>
      <c r="F27" s="36">
        <f t="shared" si="0"/>
        <v>23114.24007</v>
      </c>
      <c r="G27" s="36">
        <f t="shared" si="1"/>
        <v>1901.7900700000009</v>
      </c>
      <c r="H27" s="36">
        <f t="shared" si="2"/>
        <v>64.619175658580133</v>
      </c>
      <c r="I27" s="15"/>
    </row>
    <row r="28" spans="1:9" ht="25.5" x14ac:dyDescent="0.2">
      <c r="A28" s="11" t="s">
        <v>116</v>
      </c>
      <c r="B28" s="12" t="s">
        <v>117</v>
      </c>
      <c r="C28" s="13">
        <v>138.62700000000001</v>
      </c>
      <c r="D28" s="13">
        <v>138.62700000000001</v>
      </c>
      <c r="E28" s="13">
        <v>49.941000000000003</v>
      </c>
      <c r="F28" s="36">
        <f t="shared" si="0"/>
        <v>88.686000000000007</v>
      </c>
      <c r="G28" s="36">
        <f t="shared" si="1"/>
        <v>88.686000000000007</v>
      </c>
      <c r="H28" s="36">
        <f t="shared" si="2"/>
        <v>36.025449587742649</v>
      </c>
      <c r="I28" s="15"/>
    </row>
    <row r="29" spans="1:9" x14ac:dyDescent="0.2">
      <c r="A29" s="11" t="s">
        <v>118</v>
      </c>
      <c r="B29" s="12" t="s">
        <v>119</v>
      </c>
      <c r="C29" s="13">
        <v>6005.9480000000003</v>
      </c>
      <c r="D29" s="13">
        <v>1455.335</v>
      </c>
      <c r="E29" s="13">
        <v>798.15587000000005</v>
      </c>
      <c r="F29" s="36">
        <f t="shared" si="0"/>
        <v>5207.7921299999998</v>
      </c>
      <c r="G29" s="36">
        <f t="shared" si="1"/>
        <v>657.17912999999999</v>
      </c>
      <c r="H29" s="36">
        <f t="shared" si="2"/>
        <v>54.843446354275827</v>
      </c>
      <c r="I29" s="15"/>
    </row>
    <row r="30" spans="1:9" ht="25.5" x14ac:dyDescent="0.2">
      <c r="A30" s="11" t="s">
        <v>120</v>
      </c>
      <c r="B30" s="12" t="s">
        <v>121</v>
      </c>
      <c r="C30" s="13">
        <v>445</v>
      </c>
      <c r="D30" s="13">
        <v>0</v>
      </c>
      <c r="E30" s="13">
        <v>0</v>
      </c>
      <c r="F30" s="36">
        <f t="shared" si="0"/>
        <v>445</v>
      </c>
      <c r="G30" s="36">
        <f t="shared" si="1"/>
        <v>0</v>
      </c>
      <c r="H30" s="36">
        <f t="shared" si="2"/>
        <v>0</v>
      </c>
      <c r="I30" s="15"/>
    </row>
    <row r="31" spans="1:9" ht="25.5" x14ac:dyDescent="0.2">
      <c r="A31" s="11" t="s">
        <v>122</v>
      </c>
      <c r="B31" s="12" t="s">
        <v>123</v>
      </c>
      <c r="C31" s="13">
        <v>8864.0310000000009</v>
      </c>
      <c r="D31" s="13">
        <v>1599.0609999999999</v>
      </c>
      <c r="E31" s="13">
        <v>1285.16704</v>
      </c>
      <c r="F31" s="36">
        <f t="shared" si="0"/>
        <v>7578.8639600000006</v>
      </c>
      <c r="G31" s="36">
        <f t="shared" si="1"/>
        <v>313.89395999999988</v>
      </c>
      <c r="H31" s="36">
        <f t="shared" si="2"/>
        <v>80.370107206666916</v>
      </c>
      <c r="I31" s="15"/>
    </row>
    <row r="32" spans="1:9" x14ac:dyDescent="0.2">
      <c r="A32" s="11" t="s">
        <v>124</v>
      </c>
      <c r="B32" s="12" t="s">
        <v>125</v>
      </c>
      <c r="C32" s="13">
        <v>100</v>
      </c>
      <c r="D32" s="13">
        <v>100</v>
      </c>
      <c r="E32" s="13">
        <v>0</v>
      </c>
      <c r="F32" s="36">
        <f t="shared" si="0"/>
        <v>100</v>
      </c>
      <c r="G32" s="36">
        <f t="shared" si="1"/>
        <v>100</v>
      </c>
      <c r="H32" s="36">
        <f t="shared" si="2"/>
        <v>0</v>
      </c>
      <c r="I32" s="15"/>
    </row>
    <row r="33" spans="1:9" x14ac:dyDescent="0.2">
      <c r="A33" s="11" t="s">
        <v>126</v>
      </c>
      <c r="B33" s="12" t="s">
        <v>127</v>
      </c>
      <c r="C33" s="13">
        <v>495.35</v>
      </c>
      <c r="D33" s="13">
        <v>495.35</v>
      </c>
      <c r="E33" s="13">
        <v>26.91</v>
      </c>
      <c r="F33" s="36">
        <f t="shared" si="0"/>
        <v>468.44</v>
      </c>
      <c r="G33" s="36">
        <f t="shared" si="1"/>
        <v>468.44</v>
      </c>
      <c r="H33" s="36">
        <f t="shared" si="2"/>
        <v>5.4325224588674672</v>
      </c>
      <c r="I33" s="15"/>
    </row>
    <row r="34" spans="1:9" ht="38.25" x14ac:dyDescent="0.2">
      <c r="A34" s="11" t="s">
        <v>128</v>
      </c>
      <c r="B34" s="12" t="s">
        <v>129</v>
      </c>
      <c r="C34" s="13">
        <v>99</v>
      </c>
      <c r="D34" s="13">
        <v>99</v>
      </c>
      <c r="E34" s="13">
        <v>0</v>
      </c>
      <c r="F34" s="36">
        <f t="shared" si="0"/>
        <v>99</v>
      </c>
      <c r="G34" s="36">
        <f t="shared" si="1"/>
        <v>99</v>
      </c>
      <c r="H34" s="36">
        <f t="shared" si="2"/>
        <v>0</v>
      </c>
      <c r="I34" s="15"/>
    </row>
    <row r="35" spans="1:9" ht="25.5" x14ac:dyDescent="0.2">
      <c r="A35" s="11" t="s">
        <v>130</v>
      </c>
      <c r="B35" s="12" t="s">
        <v>131</v>
      </c>
      <c r="C35" s="13">
        <v>2037.9059999999999</v>
      </c>
      <c r="D35" s="13">
        <v>256.31599999999997</v>
      </c>
      <c r="E35" s="13">
        <v>183.32706999999999</v>
      </c>
      <c r="F35" s="36">
        <f t="shared" si="0"/>
        <v>1854.5789299999999</v>
      </c>
      <c r="G35" s="36">
        <f t="shared" si="1"/>
        <v>72.988929999999982</v>
      </c>
      <c r="H35" s="36">
        <f t="shared" si="2"/>
        <v>71.523849467064096</v>
      </c>
      <c r="I35" s="15"/>
    </row>
    <row r="36" spans="1:9" ht="25.5" x14ac:dyDescent="0.2">
      <c r="A36" s="11" t="s">
        <v>132</v>
      </c>
      <c r="B36" s="12" t="s">
        <v>131</v>
      </c>
      <c r="C36" s="13">
        <v>9978.256000000003</v>
      </c>
      <c r="D36" s="13">
        <v>2066.9610000000002</v>
      </c>
      <c r="E36" s="13">
        <v>1638.2891600000003</v>
      </c>
      <c r="F36" s="36">
        <f t="shared" si="0"/>
        <v>8339.9668400000028</v>
      </c>
      <c r="G36" s="36">
        <f t="shared" si="1"/>
        <v>428.67183999999997</v>
      </c>
      <c r="H36" s="36">
        <f t="shared" si="2"/>
        <v>79.260767861609395</v>
      </c>
      <c r="I36" s="15"/>
    </row>
    <row r="37" spans="1:9" x14ac:dyDescent="0.2">
      <c r="A37" s="11" t="s">
        <v>133</v>
      </c>
      <c r="B37" s="12" t="s">
        <v>115</v>
      </c>
      <c r="C37" s="13">
        <v>2388</v>
      </c>
      <c r="D37" s="13">
        <v>400</v>
      </c>
      <c r="E37" s="13">
        <v>382.51</v>
      </c>
      <c r="F37" s="36">
        <f t="shared" si="0"/>
        <v>2005.49</v>
      </c>
      <c r="G37" s="36">
        <f t="shared" si="1"/>
        <v>17.490000000000009</v>
      </c>
      <c r="H37" s="36">
        <f t="shared" si="2"/>
        <v>95.627499999999998</v>
      </c>
      <c r="I37" s="15"/>
    </row>
    <row r="38" spans="1:9" ht="25.5" x14ac:dyDescent="0.2">
      <c r="A38" s="11" t="s">
        <v>134</v>
      </c>
      <c r="B38" s="12" t="s">
        <v>135</v>
      </c>
      <c r="C38" s="13">
        <v>600</v>
      </c>
      <c r="D38" s="13">
        <v>600</v>
      </c>
      <c r="E38" s="13">
        <v>0</v>
      </c>
      <c r="F38" s="36">
        <f t="shared" si="0"/>
        <v>600</v>
      </c>
      <c r="G38" s="36">
        <f t="shared" si="1"/>
        <v>600</v>
      </c>
      <c r="H38" s="36">
        <f t="shared" si="2"/>
        <v>0</v>
      </c>
      <c r="I38" s="15"/>
    </row>
    <row r="39" spans="1:9" ht="25.5" x14ac:dyDescent="0.2">
      <c r="A39" s="11" t="s">
        <v>136</v>
      </c>
      <c r="B39" s="12" t="s">
        <v>131</v>
      </c>
      <c r="C39" s="13">
        <v>2677.1640000000002</v>
      </c>
      <c r="D39" s="13">
        <v>377.75599999999997</v>
      </c>
      <c r="E39" s="13">
        <v>283.11864000000003</v>
      </c>
      <c r="F39" s="36">
        <f t="shared" si="0"/>
        <v>2394.0453600000001</v>
      </c>
      <c r="G39" s="36">
        <f t="shared" si="1"/>
        <v>94.637359999999944</v>
      </c>
      <c r="H39" s="36">
        <f t="shared" si="2"/>
        <v>74.947489914124475</v>
      </c>
      <c r="I39" s="15"/>
    </row>
    <row r="40" spans="1:9" x14ac:dyDescent="0.2">
      <c r="A40" s="11" t="s">
        <v>137</v>
      </c>
      <c r="B40" s="12" t="s">
        <v>138</v>
      </c>
      <c r="C40" s="13">
        <v>100</v>
      </c>
      <c r="D40" s="13">
        <v>100</v>
      </c>
      <c r="E40" s="13">
        <v>0</v>
      </c>
      <c r="F40" s="36">
        <f t="shared" si="0"/>
        <v>100</v>
      </c>
      <c r="G40" s="36">
        <f t="shared" si="1"/>
        <v>100</v>
      </c>
      <c r="H40" s="36">
        <f t="shared" si="2"/>
        <v>0</v>
      </c>
      <c r="I40" s="15"/>
    </row>
    <row r="41" spans="1:9" x14ac:dyDescent="0.2">
      <c r="A41" s="11" t="s">
        <v>139</v>
      </c>
      <c r="B41" s="12" t="s">
        <v>140</v>
      </c>
      <c r="C41" s="13">
        <v>225006.19199999995</v>
      </c>
      <c r="D41" s="13">
        <v>53337.998000000014</v>
      </c>
      <c r="E41" s="13">
        <v>35175.310709999998</v>
      </c>
      <c r="F41" s="14">
        <f t="shared" si="0"/>
        <v>189830.88128999996</v>
      </c>
      <c r="G41" s="14">
        <f t="shared" si="1"/>
        <v>18162.687290000016</v>
      </c>
      <c r="H41" s="14">
        <f t="shared" si="2"/>
        <v>65.94793960958188</v>
      </c>
      <c r="I41" s="15"/>
    </row>
    <row r="43" spans="1:9" x14ac:dyDescent="0.2">
      <c r="A43" s="16"/>
      <c r="B43" s="17"/>
      <c r="C43" s="15"/>
      <c r="D43" s="15"/>
      <c r="E43" s="15"/>
      <c r="F43" s="15"/>
      <c r="G43" s="15"/>
      <c r="H43" s="15"/>
    </row>
    <row r="51" hidden="1" x14ac:dyDescent="0.2"/>
  </sheetData>
  <mergeCells count="5">
    <mergeCell ref="A5:H5"/>
    <mergeCell ref="A6:H6"/>
    <mergeCell ref="A2:H2"/>
    <mergeCell ref="A3:H3"/>
    <mergeCell ref="A4:H4"/>
  </mergeCells>
  <conditionalFormatting sqref="A9:A41">
    <cfRule type="expression" dxfId="53" priority="49" stopIfTrue="1">
      <formula>#REF!=1</formula>
    </cfRule>
    <cfRule type="expression" dxfId="52" priority="50" stopIfTrue="1">
      <formula>#REF!=2</formula>
    </cfRule>
    <cfRule type="expression" dxfId="51" priority="51" stopIfTrue="1">
      <formula>#REF!=3</formula>
    </cfRule>
  </conditionalFormatting>
  <conditionalFormatting sqref="B9:B41">
    <cfRule type="expression" dxfId="50" priority="52" stopIfTrue="1">
      <formula>#REF!=1</formula>
    </cfRule>
    <cfRule type="expression" dxfId="49" priority="53" stopIfTrue="1">
      <formula>#REF!=2</formula>
    </cfRule>
    <cfRule type="expression" dxfId="48" priority="54" stopIfTrue="1">
      <formula>#REF!=3</formula>
    </cfRule>
  </conditionalFormatting>
  <conditionalFormatting sqref="C9:C41">
    <cfRule type="expression" dxfId="44" priority="58" stopIfTrue="1">
      <formula>#REF!=1</formula>
    </cfRule>
    <cfRule type="expression" dxfId="43" priority="59" stopIfTrue="1">
      <formula>#REF!=2</formula>
    </cfRule>
    <cfRule type="expression" dxfId="42" priority="60" stopIfTrue="1">
      <formula>#REF!=3</formula>
    </cfRule>
  </conditionalFormatting>
  <conditionalFormatting sqref="D9:D41">
    <cfRule type="expression" dxfId="41" priority="61" stopIfTrue="1">
      <formula>#REF!=1</formula>
    </cfRule>
    <cfRule type="expression" dxfId="40" priority="62" stopIfTrue="1">
      <formula>#REF!=2</formula>
    </cfRule>
    <cfRule type="expression" dxfId="39" priority="63" stopIfTrue="1">
      <formula>#REF!=3</formula>
    </cfRule>
  </conditionalFormatting>
  <conditionalFormatting sqref="E9:E41">
    <cfRule type="expression" dxfId="38" priority="70" stopIfTrue="1">
      <formula>#REF!=1</formula>
    </cfRule>
    <cfRule type="expression" dxfId="37" priority="71" stopIfTrue="1">
      <formula>#REF!=2</formula>
    </cfRule>
    <cfRule type="expression" dxfId="36" priority="72" stopIfTrue="1">
      <formula>#REF!=3</formula>
    </cfRule>
  </conditionalFormatting>
  <conditionalFormatting sqref="F9:F41">
    <cfRule type="expression" dxfId="35" priority="88" stopIfTrue="1">
      <formula>#REF!=1</formula>
    </cfRule>
    <cfRule type="expression" dxfId="34" priority="89" stopIfTrue="1">
      <formula>#REF!=2</formula>
    </cfRule>
    <cfRule type="expression" dxfId="33" priority="90" stopIfTrue="1">
      <formula>#REF!=3</formula>
    </cfRule>
  </conditionalFormatting>
  <conditionalFormatting sqref="G9:G41">
    <cfRule type="expression" dxfId="32" priority="91" stopIfTrue="1">
      <formula>#REF!=1</formula>
    </cfRule>
    <cfRule type="expression" dxfId="31" priority="92" stopIfTrue="1">
      <formula>#REF!=2</formula>
    </cfRule>
    <cfRule type="expression" dxfId="30" priority="93" stopIfTrue="1">
      <formula>#REF!=3</formula>
    </cfRule>
  </conditionalFormatting>
  <conditionalFormatting sqref="H9:H41">
    <cfRule type="expression" dxfId="29" priority="94" stopIfTrue="1">
      <formula>#REF!=1</formula>
    </cfRule>
    <cfRule type="expression" dxfId="28" priority="95" stopIfTrue="1">
      <formula>#REF!=2</formula>
    </cfRule>
    <cfRule type="expression" dxfId="27" priority="96" stopIfTrue="1">
      <formula>#REF!=3</formula>
    </cfRule>
  </conditionalFormatting>
  <conditionalFormatting sqref="A43:A52">
    <cfRule type="expression" dxfId="26" priority="1" stopIfTrue="1">
      <formula>#REF!=1</formula>
    </cfRule>
    <cfRule type="expression" dxfId="25" priority="2" stopIfTrue="1">
      <formula>#REF!=2</formula>
    </cfRule>
    <cfRule type="expression" dxfId="24" priority="3" stopIfTrue="1">
      <formula>#REF!=3</formula>
    </cfRule>
  </conditionalFormatting>
  <conditionalFormatting sqref="B43:B52">
    <cfRule type="expression" dxfId="23" priority="4" stopIfTrue="1">
      <formula>#REF!=1</formula>
    </cfRule>
    <cfRule type="expression" dxfId="22" priority="5" stopIfTrue="1">
      <formula>#REF!=2</formula>
    </cfRule>
    <cfRule type="expression" dxfId="21" priority="6" stopIfTrue="1">
      <formula>#REF!=3</formula>
    </cfRule>
  </conditionalFormatting>
  <conditionalFormatting sqref="C43:C52">
    <cfRule type="expression" dxfId="17" priority="10" stopIfTrue="1">
      <formula>#REF!=1</formula>
    </cfRule>
    <cfRule type="expression" dxfId="16" priority="11" stopIfTrue="1">
      <formula>#REF!=2</formula>
    </cfRule>
    <cfRule type="expression" dxfId="15" priority="12" stopIfTrue="1">
      <formula>#REF!=3</formula>
    </cfRule>
  </conditionalFormatting>
  <conditionalFormatting sqref="D43:D52">
    <cfRule type="expression" dxfId="14" priority="13" stopIfTrue="1">
      <formula>#REF!=1</formula>
    </cfRule>
    <cfRule type="expression" dxfId="13" priority="14" stopIfTrue="1">
      <formula>#REF!=2</formula>
    </cfRule>
    <cfRule type="expression" dxfId="12" priority="15" stopIfTrue="1">
      <formula>#REF!=3</formula>
    </cfRule>
  </conditionalFormatting>
  <conditionalFormatting sqref="E43:E52">
    <cfRule type="expression" dxfId="11" priority="22" stopIfTrue="1">
      <formula>#REF!=1</formula>
    </cfRule>
    <cfRule type="expression" dxfId="10" priority="23" stopIfTrue="1">
      <formula>#REF!=2</formula>
    </cfRule>
    <cfRule type="expression" dxfId="9" priority="24" stopIfTrue="1">
      <formula>#REF!=3</formula>
    </cfRule>
  </conditionalFormatting>
  <conditionalFormatting sqref="F43:F52">
    <cfRule type="expression" dxfId="8" priority="40" stopIfTrue="1">
      <formula>#REF!=1</formula>
    </cfRule>
    <cfRule type="expression" dxfId="7" priority="41" stopIfTrue="1">
      <formula>#REF!=2</formula>
    </cfRule>
    <cfRule type="expression" dxfId="6" priority="42" stopIfTrue="1">
      <formula>#REF!=3</formula>
    </cfRule>
  </conditionalFormatting>
  <conditionalFormatting sqref="G43:G52">
    <cfRule type="expression" dxfId="5" priority="43" stopIfTrue="1">
      <formula>#REF!=1</formula>
    </cfRule>
    <cfRule type="expression" dxfId="4" priority="44" stopIfTrue="1">
      <formula>#REF!=2</formula>
    </cfRule>
    <cfRule type="expression" dxfId="3" priority="45" stopIfTrue="1">
      <formula>#REF!=3</formula>
    </cfRule>
  </conditionalFormatting>
  <conditionalFormatting sqref="H43:H52">
    <cfRule type="expression" dxfId="2" priority="46" stopIfTrue="1">
      <formula>#REF!=1</formula>
    </cfRule>
    <cfRule type="expression" dxfId="1" priority="47" stopIfTrue="1">
      <formula>#REF!=2</formula>
    </cfRule>
    <cfRule type="expression" dxfId="0" priority="48" stopIfTrue="1">
      <formula>#REF!=3</formula>
    </cfRule>
  </conditionalFormatting>
  <pageMargins left="0.51181102362204722" right="0.31496062992125984" top="0.19685039370078741" bottom="0.19685039370078741" header="0" footer="0"/>
  <pageSetup paperSize="9" scale="60" fitToHeight="50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доходи</vt:lpstr>
      <vt:lpstr>видатки</vt:lpstr>
      <vt:lpstr>видатки!Заголовки_для_печати</vt:lpstr>
      <vt:lpstr>доходи!Заголовки_для_печати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2026-03-11T08:04:25Z</cp:lastPrinted>
  <dcterms:created xsi:type="dcterms:W3CDTF">2026-03-03T12:22:23Z</dcterms:created>
  <dcterms:modified xsi:type="dcterms:W3CDTF">2026-03-11T08:17:18Z</dcterms:modified>
</cp:coreProperties>
</file>