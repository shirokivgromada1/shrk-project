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F389556E-D782-46D2-9AFA-AB05A740B6D1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6030" sheetId="6" r:id="rId1"/>
  </sheets>
  <definedNames>
    <definedName name="_xlnm.Print_Area" localSheetId="0">'Додаток2 КПК0116030'!$A$1:$BY$306</definedName>
  </definedNames>
  <calcPr calcId="191029"/>
</workbook>
</file>

<file path=xl/calcChain.xml><?xml version="1.0" encoding="utf-8"?>
<calcChain xmlns="http://schemas.openxmlformats.org/spreadsheetml/2006/main">
  <c r="BH283" i="6" l="1"/>
  <c r="AT283" i="6"/>
  <c r="AJ283" i="6"/>
  <c r="BG274" i="6"/>
  <c r="AQ274" i="6"/>
  <c r="AZ251" i="6"/>
  <c r="AK251" i="6"/>
  <c r="BO243" i="6"/>
  <c r="AZ243" i="6"/>
  <c r="AK243" i="6"/>
  <c r="BD198" i="6"/>
  <c r="AJ198" i="6"/>
  <c r="BD197" i="6"/>
  <c r="AJ197" i="6"/>
  <c r="BD196" i="6"/>
  <c r="AJ196" i="6"/>
  <c r="BD195" i="6"/>
  <c r="AJ195" i="6"/>
  <c r="BD194" i="6"/>
  <c r="AJ194" i="6"/>
  <c r="BD193" i="6"/>
  <c r="AJ193" i="6"/>
  <c r="BD192" i="6"/>
  <c r="AJ192" i="6"/>
  <c r="BD191" i="6"/>
  <c r="AJ191" i="6"/>
  <c r="BD190" i="6"/>
  <c r="AJ190" i="6"/>
  <c r="BD189" i="6"/>
  <c r="AJ189" i="6"/>
  <c r="BD188" i="6"/>
  <c r="AJ188" i="6"/>
  <c r="BD187" i="6"/>
  <c r="AJ187" i="6"/>
  <c r="BD186" i="6"/>
  <c r="AJ186" i="6"/>
  <c r="BD185" i="6"/>
  <c r="AJ185" i="6"/>
  <c r="BD184" i="6"/>
  <c r="AJ184" i="6"/>
  <c r="BD183" i="6"/>
  <c r="AJ183" i="6"/>
  <c r="BD182" i="6"/>
  <c r="AJ182" i="6"/>
  <c r="BD181" i="6"/>
  <c r="AJ181" i="6"/>
  <c r="BD180" i="6"/>
  <c r="AJ180" i="6"/>
  <c r="BD179" i="6"/>
  <c r="AJ179" i="6"/>
  <c r="BD178" i="6"/>
  <c r="AJ178" i="6"/>
  <c r="BD177" i="6"/>
  <c r="AJ177" i="6"/>
  <c r="BD176" i="6"/>
  <c r="AJ176" i="6"/>
  <c r="BD175" i="6"/>
  <c r="AJ175" i="6"/>
  <c r="BD174" i="6"/>
  <c r="AJ174" i="6"/>
  <c r="BD173" i="6"/>
  <c r="AJ173" i="6"/>
  <c r="BD172" i="6"/>
  <c r="AJ172" i="6"/>
  <c r="BD171" i="6"/>
  <c r="AJ171" i="6"/>
  <c r="BD170" i="6"/>
  <c r="AJ170" i="6"/>
  <c r="BD169" i="6"/>
  <c r="AJ169" i="6"/>
  <c r="BD168" i="6"/>
  <c r="AJ168" i="6"/>
  <c r="BD167" i="6"/>
  <c r="AJ167" i="6"/>
  <c r="BD166" i="6"/>
  <c r="AJ166" i="6"/>
  <c r="BD165" i="6"/>
  <c r="AJ165" i="6"/>
  <c r="BD164" i="6"/>
  <c r="AJ164" i="6"/>
  <c r="BD163" i="6"/>
  <c r="AJ163" i="6"/>
  <c r="BD162" i="6"/>
  <c r="AJ162" i="6"/>
  <c r="BD161" i="6"/>
  <c r="AJ161" i="6"/>
  <c r="BD160" i="6"/>
  <c r="AJ160" i="6"/>
  <c r="BD159" i="6"/>
  <c r="AJ159" i="6"/>
  <c r="BD158" i="6"/>
  <c r="AJ158" i="6"/>
  <c r="BD157" i="6"/>
  <c r="AJ157" i="6"/>
  <c r="BD156" i="6"/>
  <c r="AJ156" i="6"/>
  <c r="BD155" i="6"/>
  <c r="AJ155" i="6"/>
  <c r="BU147" i="6"/>
  <c r="BB147" i="6"/>
  <c r="AI147" i="6"/>
  <c r="BU146" i="6"/>
  <c r="BB146" i="6"/>
  <c r="AI146" i="6"/>
  <c r="BU145" i="6"/>
  <c r="BB145" i="6"/>
  <c r="AI145" i="6"/>
  <c r="BU144" i="6"/>
  <c r="BB144" i="6"/>
  <c r="AI144" i="6"/>
  <c r="BU143" i="6"/>
  <c r="BB143" i="6"/>
  <c r="AI143" i="6"/>
  <c r="BU142" i="6"/>
  <c r="BB142" i="6"/>
  <c r="AI142" i="6"/>
  <c r="BU141" i="6"/>
  <c r="BB141" i="6"/>
  <c r="AI141" i="6"/>
  <c r="BU140" i="6"/>
  <c r="BB140" i="6"/>
  <c r="AI140" i="6"/>
  <c r="BU139" i="6"/>
  <c r="BB139" i="6"/>
  <c r="AI139" i="6"/>
  <c r="BU138" i="6"/>
  <c r="BB138" i="6"/>
  <c r="AI138" i="6"/>
  <c r="BU137" i="6"/>
  <c r="BB137" i="6"/>
  <c r="AI137" i="6"/>
  <c r="BU136" i="6"/>
  <c r="BB136" i="6"/>
  <c r="AI136" i="6"/>
  <c r="BU135" i="6"/>
  <c r="BB135" i="6"/>
  <c r="AI135" i="6"/>
  <c r="BU134" i="6"/>
  <c r="BB134" i="6"/>
  <c r="AI134" i="6"/>
  <c r="BU133" i="6"/>
  <c r="BB133" i="6"/>
  <c r="AI133" i="6"/>
  <c r="BU132" i="6"/>
  <c r="BB132" i="6"/>
  <c r="AI132" i="6"/>
  <c r="BU131" i="6"/>
  <c r="BB131" i="6"/>
  <c r="AI131" i="6"/>
  <c r="BU130" i="6"/>
  <c r="BB130" i="6"/>
  <c r="AI130" i="6"/>
  <c r="BU129" i="6"/>
  <c r="BB129" i="6"/>
  <c r="AI129" i="6"/>
  <c r="BU128" i="6"/>
  <c r="BB128" i="6"/>
  <c r="AI128" i="6"/>
  <c r="BU127" i="6"/>
  <c r="BB127" i="6"/>
  <c r="AI127" i="6"/>
  <c r="BU126" i="6"/>
  <c r="BB126" i="6"/>
  <c r="AI126" i="6"/>
  <c r="BU125" i="6"/>
  <c r="BB125" i="6"/>
  <c r="AI125" i="6"/>
  <c r="BU124" i="6"/>
  <c r="BB124" i="6"/>
  <c r="AI124" i="6"/>
  <c r="BU123" i="6"/>
  <c r="BB123" i="6"/>
  <c r="AI123" i="6"/>
  <c r="BU122" i="6"/>
  <c r="BB122" i="6"/>
  <c r="AI122" i="6"/>
  <c r="BU121" i="6"/>
  <c r="BB121" i="6"/>
  <c r="AI121" i="6"/>
  <c r="BU120" i="6"/>
  <c r="BB120" i="6"/>
  <c r="AI120" i="6"/>
  <c r="BU119" i="6"/>
  <c r="BB119" i="6"/>
  <c r="AI119" i="6"/>
  <c r="BU118" i="6"/>
  <c r="BB118" i="6"/>
  <c r="AI118" i="6"/>
  <c r="BU117" i="6"/>
  <c r="BB117" i="6"/>
  <c r="AI117" i="6"/>
  <c r="BU116" i="6"/>
  <c r="BB116" i="6"/>
  <c r="AI116" i="6"/>
  <c r="BU115" i="6"/>
  <c r="BB115" i="6"/>
  <c r="AI115" i="6"/>
  <c r="BU114" i="6"/>
  <c r="BB114" i="6"/>
  <c r="AI114" i="6"/>
  <c r="BU113" i="6"/>
  <c r="BB113" i="6"/>
  <c r="AI113" i="6"/>
  <c r="BU112" i="6"/>
  <c r="BB112" i="6"/>
  <c r="AI112" i="6"/>
  <c r="BU111" i="6"/>
  <c r="BB111" i="6"/>
  <c r="AI111" i="6"/>
  <c r="BU110" i="6"/>
  <c r="BB110" i="6"/>
  <c r="AI110" i="6"/>
  <c r="BU109" i="6"/>
  <c r="BB109" i="6"/>
  <c r="AI109" i="6"/>
  <c r="BU108" i="6"/>
  <c r="BB108" i="6"/>
  <c r="AI108" i="6"/>
  <c r="BU107" i="6"/>
  <c r="BB107" i="6"/>
  <c r="AI107" i="6"/>
  <c r="BU106" i="6"/>
  <c r="BB106" i="6"/>
  <c r="AI106" i="6"/>
  <c r="BU105" i="6"/>
  <c r="BB105" i="6"/>
  <c r="AI105" i="6"/>
  <c r="BU104" i="6"/>
  <c r="BB104" i="6"/>
  <c r="AI104" i="6"/>
  <c r="BG94" i="6"/>
  <c r="AM94" i="6"/>
  <c r="BG86" i="6"/>
  <c r="AM86" i="6"/>
  <c r="BG85" i="6"/>
  <c r="AM85" i="6"/>
  <c r="BG84" i="6"/>
  <c r="AM84" i="6"/>
  <c r="BG83" i="6"/>
  <c r="AM83" i="6"/>
  <c r="BG82" i="6"/>
  <c r="AM82" i="6"/>
  <c r="BG81" i="6"/>
  <c r="AM81" i="6"/>
  <c r="BG80" i="6"/>
  <c r="AM80" i="6"/>
  <c r="BG79" i="6"/>
  <c r="AM79" i="6"/>
  <c r="BG78" i="6"/>
  <c r="AM78" i="6"/>
  <c r="BU70" i="6"/>
  <c r="BB70" i="6"/>
  <c r="AI70" i="6"/>
  <c r="BU62" i="6"/>
  <c r="BB62" i="6"/>
  <c r="AI62" i="6"/>
  <c r="BU61" i="6"/>
  <c r="BB61" i="6"/>
  <c r="AI61" i="6"/>
  <c r="BU60" i="6"/>
  <c r="BB60" i="6"/>
  <c r="AI60" i="6"/>
  <c r="BU59" i="6"/>
  <c r="BB59" i="6"/>
  <c r="AI59" i="6"/>
  <c r="BU58" i="6"/>
  <c r="BB58" i="6"/>
  <c r="AI58" i="6"/>
  <c r="BU57" i="6"/>
  <c r="BB57" i="6"/>
  <c r="AI57" i="6"/>
  <c r="BU56" i="6"/>
  <c r="BB56" i="6"/>
  <c r="AI56" i="6"/>
  <c r="BU55" i="6"/>
  <c r="BB55" i="6"/>
  <c r="AI55" i="6"/>
  <c r="BU54" i="6"/>
  <c r="BB54" i="6"/>
  <c r="AI54" i="6"/>
  <c r="BG44" i="6"/>
  <c r="AM44" i="6"/>
  <c r="BG43" i="6"/>
  <c r="AM43" i="6"/>
  <c r="BG42" i="6"/>
  <c r="AM42" i="6"/>
  <c r="BG41" i="6"/>
  <c r="AM41" i="6"/>
  <c r="BU33" i="6"/>
  <c r="BB33" i="6"/>
  <c r="AI33" i="6"/>
  <c r="BU32" i="6"/>
  <c r="BB32" i="6"/>
  <c r="AI32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<sst xmlns="http://schemas.openxmlformats.org/spreadsheetml/2006/main" count="758" uniqueCount="286">
  <si>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</si>
  <si>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</si>
  <si>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</si>
  <si>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</si>
  <si>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</si>
  <si>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</si>
  <si>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</si>
  <si>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</si>
  <si>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</si>
  <si>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</si>
  <si>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</si>
  <si>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</si>
  <si>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</si>
  <si>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</si>
  <si>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</si>
  <si>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</si>
  <si>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</si>
  <si>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</si>
  <si>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</si>
  <si>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</si>
  <si>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</si>
  <si>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</si>
  <si>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</si>
  <si>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</si>
  <si>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</si>
  <si>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</si>
  <si>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</si>
  <si>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</si>
  <si>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</si>
  <si>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</si>
  <si>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</si>
  <si>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</si>
  <si>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</si>
  <si>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</si>
  <si>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</si>
  <si>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</si>
  <si>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</si>
  <si>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</si>
  <si>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</si>
  <si>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</si>
  <si>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</si>
  <si>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</si>
  <si>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</si>
  <si>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</si>
  <si>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</si>
  <si>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</si>
  <si>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</si>
  <si>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</si>
  <si>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</si>
  <si>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</si>
  <si>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</si>
  <si>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</si>
  <si>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</si>
  <si>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</si>
  <si>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</si>
  <si>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</si>
  <si>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</si>
  <si>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</si>
  <si>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</si>
  <si>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</si>
  <si>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</si>
  <si>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</si>
  <si>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</si>
  <si>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</si>
  <si>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</si>
  <si>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</si>
  <si>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</si>
  <si>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</si>
  <si>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</si>
  <si>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</si>
  <si>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</si>
  <si>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</si>
  <si>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</si>
  <si>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</si>
  <si>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</si>
  <si>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</si>
  <si>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</si>
  <si>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</si>
  <si>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</si>
  <si>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</si>
  <si>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</si>
  <si>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</si>
  <si>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</si>
  <si>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</si>
  <si>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</si>
  <si>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</si>
  <si>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</si>
  <si>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</si>
  <si>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</si>
  <si>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</si>
  <si>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</si>
  <si>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</si>
  <si>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</si>
  <si>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</si>
  <si>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</si>
  <si>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</si>
  <si>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</si>
  <si>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</si>
  <si>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</si>
  <si>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</si>
  <si>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</si>
  <si>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</si>
  <si>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</si>
  <si>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</si>
  <si>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</si>
  <si>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</si>
  <si>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</si>
  <si>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</si>
  <si>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</si>
  <si>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</si>
  <si>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</si>
  <si>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</si>
  <si>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</si>
  <si>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</si>
  <si>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</si>
  <si>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</si>
  <si>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</si>
  <si>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</si>
  <si>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</si>
  <si>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</si>
  <si>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</si>
  <si>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</si>
  <si>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</si>
  <si>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</si>
  <si>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</si>
  <si>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</si>
  <si>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</si>
  <si>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</si>
  <si>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</si>
  <si>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</si>
  <si>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</si>
  <si>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</si>
  <si>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</si>
  <si>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</si>
  <si>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</si>
  <si>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</si>
  <si>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</si>
  <si>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</si>
  <si>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</si>
  <si>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</si>
  <si>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</si>
  <si>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</si>
  <si>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</si>
  <si>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</si>
  <si>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</si>
  <si>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</si>
  <si>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</si>
  <si>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</si>
  <si>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</si>
  <si>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</si>
  <si>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</si>
  <si>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</si>
  <si>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</si>
  <si>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</si>
  <si>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</si>
  <si>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</si>
  <si>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</si>
  <si>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</si>
  <si>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</si>
  <si>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</si>
  <si>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</si>
  <si>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</si>
  <si>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</si>
  <si>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</si>
  <si>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</si>
  <si>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</si>
  <si>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</si>
  <si>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</si>
  <si>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</si>
  <si>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</si>
  <si>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</si>
  <si>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</si>
  <si>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</si>
  <si>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</si>
  <si>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Інші надходження спеціального фонду (розписати за видами надходжень)</t>
  </si>
  <si>
    <t>Кошти, що передаються із загального фонду бюджету до бюджету розвитку (спеціального фонду)</t>
  </si>
  <si>
    <t>Предмети, матеріали, обладнання та інвентар</t>
  </si>
  <si>
    <t>Оплата послуг (крім комунальних)</t>
  </si>
  <si>
    <t>Оплата електроенергії</t>
  </si>
  <si>
    <t>Дослідження і розробки, окремі заходи розвитку по реалізації державних (регіональних) програм</t>
  </si>
  <si>
    <t>Субсидії та поточні трансферти підприємствам (установам, організаціям)</t>
  </si>
  <si>
    <t>Придбання обладнання і предметів довгострокового користування</t>
  </si>
  <si>
    <t>Капітальний ремонт інших об`єктів</t>
  </si>
  <si>
    <t>Реконструкція та реставрація інших об`єктів</t>
  </si>
  <si>
    <t>Виготовлення ПКД організації длорожнього руху "Влаштування дорожніх знаків та пристроїв примусового зниження швикодсті транспортних засобів на території Широківської сільської ради Запорізького райлону Запорізької області, а саме: вул.Ясна, вул.Половецька, вул.Лісна, вул.Зелена Діброва у селищі Сонячне"</t>
  </si>
  <si>
    <t>Виготовлення ПКД та проведення експертизи ПКД "Поточний середній ремонт дорожнього покриття по вул.Зелена Діброва селища Сонячне Запорізького району Запорізької області"</t>
  </si>
  <si>
    <t>Виготовлення ПКД та проведення експертизи ПКД "Поточний середній ремонт дорожнього покриття по вул.Набережна села Придніпровське Запорізького району Запорізької області"</t>
  </si>
  <si>
    <t>Виготовлення ПКД та проведення експертизи ПКД "Поточний середній ремонт дорожнього покриття по вул.Половецька селища Сонячне Запорізького району Запорізької області"</t>
  </si>
  <si>
    <t>Оплата за електроенергію (вуличне освітлення)</t>
  </si>
  <si>
    <t>Оплата за проведення інженерних вишукуваньпо об"єкту "Капітальний ремонт внутрішньоквартальної дороги по вул.Половецька с.Сонячне"</t>
  </si>
  <si>
    <t>Оплата послуг з виконання робіт поточного ремонту внутрішньоквартальних доріг, тротуарів та пішохідних доріжок населених пунктів громади</t>
  </si>
  <si>
    <t>Оплата послуг з демонтажу світлового електричного утстаткування, обладнання</t>
  </si>
  <si>
    <t>Оплата послуг з обрізування, підрізання дерев та живих огорож на території громади</t>
  </si>
  <si>
    <t>Оплата послуг з покосу трави</t>
  </si>
  <si>
    <t>Оплата послуг з поточного ремонту вуличних лавок, урн для сміття, зупинкових комплексів</t>
  </si>
  <si>
    <t>Оплата послуг з поточного ремонту і технічного обслуговування обладнання ігрових майданчиків</t>
  </si>
  <si>
    <t>Оплата послуг з поточного ремонту металевих огорож, навісів та інших конструкцій на території населених пунктів</t>
  </si>
  <si>
    <t>Оплата послуг з поточного ремонту та встановлення придлорожніх знаків та вуличних інформаційних стендів на території населених пунктів громади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</si>
  <si>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</si>
  <si>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</si>
  <si>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прибирання та підмітання вулиць</t>
  </si>
  <si>
    <t>Оплата послуг з приєднання до електричних мереж</t>
  </si>
  <si>
    <t>Оплата послуг з ремонту та технічного обслуговування електрообладнання та електричних мереж</t>
  </si>
  <si>
    <t>Оплата послуг з розробки проектів землеустрою щодо відведення земельних ділянок</t>
  </si>
  <si>
    <t>Оплата послуг з розробки технічної документації із землеустрою щодо інвентаризації земель комунальної власності</t>
  </si>
  <si>
    <t>Оплата послуг по поточному ремонту вуличного освітлення</t>
  </si>
  <si>
    <t>Оплата послуг проведення нормативної грошової оцінки земель в межах населених пунктів</t>
  </si>
  <si>
    <t>Оплата послуг спецтехніки</t>
  </si>
  <si>
    <t>Придбання автогідропідйомника телескопічного типу на шасі вантажного автомобіля за рахунок субвенції з державного бюджету місцевим бюджетам на здійснення заходів щодо соціально-економічного розвитку окремих територій</t>
  </si>
  <si>
    <t>Придбання великовантажних транспортних засобів спеціального призначення</t>
  </si>
  <si>
    <t>Придбання вуличних лавок</t>
  </si>
  <si>
    <t>Придбання електролічильників для вуличного освітлення</t>
  </si>
  <si>
    <t>Придбання євроконтейнерів</t>
  </si>
  <si>
    <t>Придбання кришок оглядових колодязів з установкою</t>
  </si>
  <si>
    <t>Придбання придорожніх знаків та вуличних інформаційних стендів</t>
  </si>
  <si>
    <t>Придбання світлодіодних ламп для вуличного освітлення та інших витратних матеріалів</t>
  </si>
  <si>
    <t>Придбання сертифікованої автоцистерни питної води за рахунок субвенції з державного бюджету місцевим бюджетам на здійснення заходів щодо соціально-економічного розвитку окремих територій</t>
  </si>
  <si>
    <t>Придбання сміттєвоза</t>
  </si>
  <si>
    <t>Придбання сміттєвозу  за рахунок субвенції з державного бюджету місцевим бюджетам на здійснення заходів щодо соціально-економічного розвитку окремих територій</t>
  </si>
  <si>
    <t>Придбання та виготовлення адресних табличок для маркування будівель комунальної власності з установкою</t>
  </si>
  <si>
    <t>Придбання та виготовлення дерев"яних виробів з установкою</t>
  </si>
  <si>
    <t>Придбання та встановлення елементів дитячих ігрових майданчиків</t>
  </si>
  <si>
    <t>Придбання урн для сміття</t>
  </si>
  <si>
    <t>Проведення експертизи кошторисної частини проекту організації дорожнього руху "Влаштування дорожніх знаків та пристроїв примусового зниження швикодсті транспортних засобів на території Широківської сільської ради Запорізького райлону Запорізької області, а саме: вул.Ясна, вул.Половецька, вул.Лісна, вул.Зелена Діброва у селищі Сонячне"</t>
  </si>
  <si>
    <t>Проведення капітального ремонту тротуарів, пішохідних доріжок</t>
  </si>
  <si>
    <t>Проведення поточного ремонту доріг комунальної форми власності (депутатський фонд)</t>
  </si>
  <si>
    <t>Реалізація проектів-переможців "Громадський бюджет"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</si>
  <si>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</si>
  <si>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</si>
  <si>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</si>
  <si>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Підвищення рівня благоустрою території</t>
  </si>
  <si>
    <t>Відшкодування різниці в тарифах підприємствам паливно-енергетичного комплексу; _x000D_
Забезпечення підтримки комунальних підприємств для утримання та експлуатації житлового фонду; _x000D_
Забезпечення облаштування та утримання в належному стані території; _x000D_
Проведення робіт по облаштуванню дитячих майданчиків; _x000D_
Забезпечення утримання в належному технічному стані об’єктів дорожнього господарства; _x000D_
Забезпечення функціонування мереж вуличного освітлення; _x000D_
Розроблення технічної документації із землеустрою щодо інвентаризації земель; _x000D_
Проведення капітального ремонту футбольних полів; _x000D_
Розроблення проектів землеустрою; _x000D_
Проведення нормативної грошової оцінки земель в межах населених пунктів; _x000D_
Виготовлення технічної документації на земельні ділянки під кладовищами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</si>
  <si>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 та благоустрою населених пунктів Широківської сільської ради на 2022-2024 роки</t>
  </si>
  <si>
    <t>Станом на 01.01.2022 кредиторська заборгованість відсутня. _x000D_
_x000D_
Станом на 01.01.2023 кредиторська заборгованість відсутня._x000D_
_x000D_
Відповідно до положень статті 48 Бюджетного кодексу України із змінами сільською радою реєструються бюджетні зобов’язання та здійснюються платежі тільки в межах бюджетних асигнувань, затверджених кошторисом на 2023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</si>
  <si>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Метою даної бюджетної програми є забезпечення благоустрою території громади._x000D_
_x000D_
За результатами аналізу ефективності бюджетної програми у 2022 році індекс виконання показників ефективності становить135,3, показників якості - 83,3. Ефективність за оцінкою висока та становить 243,6 балів. У 2023 році очікується анлогічний результат._x000D_
_x000D_
З метою реалізації бюджетної програми необхідно продовжувати її фінансування в 2024 році для виконання визначених бюджетною програмою мети та завдань.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</si>
  <si>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</si>
  <si>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</si>
  <si>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</si>
  <si>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</si>
  <si>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</si>
  <si>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</si>
  <si>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</si>
  <si>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</si>
  <si>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</si>
  <si>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</si>
  <si>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</si>
  <si>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</si>
  <si>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</si>
  <si>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</si>
  <si>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</si>
  <si>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</si>
  <si>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</si>
  <si>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</si>
  <si>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</si>
  <si>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</si>
  <si>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</si>
  <si>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</si>
  <si>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</si>
  <si>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</si>
  <si>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</si>
  <si>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</si>
  <si>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</si>
  <si>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</si>
  <si>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</si>
  <si>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</si>
  <si>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</si>
  <si>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</si>
  <si>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</si>
  <si>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</si>
  <si>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</si>
  <si>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</si>
  <si>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</si>
  <si>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</si>
  <si>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</si>
  <si>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</si>
  <si>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</si>
  <si>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</si>
  <si>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</si>
  <si>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</si>
  <si>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</si>
  <si>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(0)(1)(1)(6)(0)(3)(0)</t>
  </si>
  <si>
    <t>(6)(0)(3)(0)</t>
  </si>
  <si>
    <t>(0)(6)(2)(0)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</si>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</sst>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13" fillId="0" borderId="0" xfId="0" applyFont="1" applyBorder="1" applyAlignment="1"/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1" fillId="0" borderId="5" xfId="0" applyNumberFormat="1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0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4" fillId="0" borderId="6" xfId="0" quotePrefix="1" applyFont="1" applyBorder="1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9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307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1" t="s">
        <v>115</v>
      </c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</row>
    <row r="2" spans="1:79" ht="14.25" customHeight="1" x14ac:dyDescent="0.2">
      <c r="A2" s="32" t="s">
        <v>267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4" t="s">
        <v>236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8"/>
      <c r="AH4" s="35" t="s">
        <v>235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29" t="s">
        <v>241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4" t="s">
        <v>284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8"/>
      <c r="AH7" s="35" t="s">
        <v>285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29" t="s">
        <v>241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14.25" customHeight="1" x14ac:dyDescent="0.2">
      <c r="A10" s="11" t="s">
        <v>163</v>
      </c>
      <c r="B10" s="35" t="s">
        <v>280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281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282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0" t="s">
        <v>283</v>
      </c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20"/>
      <c r="BL10" s="129" t="s">
        <v>242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268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15" customHeight="1" x14ac:dyDescent="0.2">
      <c r="A15" s="122" t="s">
        <v>230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2" t="s">
        <v>149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</row>
    <row r="18" spans="1:79" ht="165" customHeight="1" x14ac:dyDescent="0.2">
      <c r="A18" s="122" t="s">
        <v>231</v>
      </c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20" customHeight="1" x14ac:dyDescent="0.2">
      <c r="A21" s="122" t="s">
        <v>232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80" t="s">
        <v>254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</row>
    <row r="25" spans="1:79" ht="15" customHeight="1" x14ac:dyDescent="0.2">
      <c r="A25" s="31" t="s">
        <v>243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244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247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255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3" t="s">
        <v>65</v>
      </c>
      <c r="V29" s="84"/>
      <c r="W29" s="84"/>
      <c r="X29" s="84"/>
      <c r="Y29" s="85"/>
      <c r="Z29" s="83" t="s">
        <v>66</v>
      </c>
      <c r="AA29" s="84"/>
      <c r="AB29" s="84"/>
      <c r="AC29" s="84"/>
      <c r="AD29" s="85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100" customFormat="1" ht="12.75" customHeight="1" x14ac:dyDescent="0.2">
      <c r="A30" s="90"/>
      <c r="B30" s="91"/>
      <c r="C30" s="91"/>
      <c r="D30" s="92"/>
      <c r="E30" s="93" t="s">
        <v>172</v>
      </c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5"/>
      <c r="U30" s="96">
        <v>10615994</v>
      </c>
      <c r="V30" s="96"/>
      <c r="W30" s="96"/>
      <c r="X30" s="96"/>
      <c r="Y30" s="96"/>
      <c r="Z30" s="96" t="s">
        <v>173</v>
      </c>
      <c r="AA30" s="96"/>
      <c r="AB30" s="96"/>
      <c r="AC30" s="96"/>
      <c r="AD30" s="96"/>
      <c r="AE30" s="97" t="s">
        <v>173</v>
      </c>
      <c r="AF30" s="98"/>
      <c r="AG30" s="98"/>
      <c r="AH30" s="99"/>
      <c r="AI30" s="97">
        <f>IF(ISNUMBER(U30),U30,0)+IF(ISNUMBER(Z30),Z30,0)</f>
        <v>10615994</v>
      </c>
      <c r="AJ30" s="98"/>
      <c r="AK30" s="98"/>
      <c r="AL30" s="98"/>
      <c r="AM30" s="99"/>
      <c r="AN30" s="97">
        <v>144335752</v>
      </c>
      <c r="AO30" s="98"/>
      <c r="AP30" s="98"/>
      <c r="AQ30" s="98"/>
      <c r="AR30" s="99"/>
      <c r="AS30" s="97" t="s">
        <v>173</v>
      </c>
      <c r="AT30" s="98"/>
      <c r="AU30" s="98"/>
      <c r="AV30" s="98"/>
      <c r="AW30" s="99"/>
      <c r="AX30" s="97" t="s">
        <v>173</v>
      </c>
      <c r="AY30" s="98"/>
      <c r="AZ30" s="98"/>
      <c r="BA30" s="99"/>
      <c r="BB30" s="97">
        <f>IF(ISNUMBER(AN30),AN30,0)+IF(ISNUMBER(AS30),AS30,0)</f>
        <v>144335752</v>
      </c>
      <c r="BC30" s="98"/>
      <c r="BD30" s="98"/>
      <c r="BE30" s="98"/>
      <c r="BF30" s="99"/>
      <c r="BG30" s="97">
        <v>17567561</v>
      </c>
      <c r="BH30" s="98"/>
      <c r="BI30" s="98"/>
      <c r="BJ30" s="98"/>
      <c r="BK30" s="99"/>
      <c r="BL30" s="97" t="s">
        <v>173</v>
      </c>
      <c r="BM30" s="98"/>
      <c r="BN30" s="98"/>
      <c r="BO30" s="98"/>
      <c r="BP30" s="99"/>
      <c r="BQ30" s="97" t="s">
        <v>173</v>
      </c>
      <c r="BR30" s="98"/>
      <c r="BS30" s="98"/>
      <c r="BT30" s="99"/>
      <c r="BU30" s="97">
        <f>IF(ISNUMBER(BG30),BG30,0)+IF(ISNUMBER(BL30),BL30,0)</f>
        <v>17567561</v>
      </c>
      <c r="BV30" s="98"/>
      <c r="BW30" s="98"/>
      <c r="BX30" s="98"/>
      <c r="BY30" s="99"/>
      <c r="CA30" s="100" t="s">
        <v>22</v>
      </c>
    </row>
    <row r="31" spans="1:79" s="100" customFormat="1" ht="25.5" customHeight="1" x14ac:dyDescent="0.2">
      <c r="A31" s="90"/>
      <c r="B31" s="91"/>
      <c r="C31" s="91"/>
      <c r="D31" s="92"/>
      <c r="E31" s="93" t="s">
        <v>174</v>
      </c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5"/>
      <c r="U31" s="96" t="s">
        <v>173</v>
      </c>
      <c r="V31" s="96"/>
      <c r="W31" s="96"/>
      <c r="X31" s="96"/>
      <c r="Y31" s="96"/>
      <c r="Z31" s="96">
        <v>39900</v>
      </c>
      <c r="AA31" s="96"/>
      <c r="AB31" s="96"/>
      <c r="AC31" s="96"/>
      <c r="AD31" s="96"/>
      <c r="AE31" s="97">
        <v>0</v>
      </c>
      <c r="AF31" s="98"/>
      <c r="AG31" s="98"/>
      <c r="AH31" s="99"/>
      <c r="AI31" s="97">
        <f>IF(ISNUMBER(U31),U31,0)+IF(ISNUMBER(Z31),Z31,0)</f>
        <v>39900</v>
      </c>
      <c r="AJ31" s="98"/>
      <c r="AK31" s="98"/>
      <c r="AL31" s="98"/>
      <c r="AM31" s="99"/>
      <c r="AN31" s="97" t="s">
        <v>173</v>
      </c>
      <c r="AO31" s="98"/>
      <c r="AP31" s="98"/>
      <c r="AQ31" s="98"/>
      <c r="AR31" s="99"/>
      <c r="AS31" s="97">
        <v>23279999</v>
      </c>
      <c r="AT31" s="98"/>
      <c r="AU31" s="98"/>
      <c r="AV31" s="98"/>
      <c r="AW31" s="99"/>
      <c r="AX31" s="97">
        <v>0</v>
      </c>
      <c r="AY31" s="98"/>
      <c r="AZ31" s="98"/>
      <c r="BA31" s="99"/>
      <c r="BB31" s="97">
        <f>IF(ISNUMBER(AN31),AN31,0)+IF(ISNUMBER(AS31),AS31,0)</f>
        <v>23279999</v>
      </c>
      <c r="BC31" s="98"/>
      <c r="BD31" s="98"/>
      <c r="BE31" s="98"/>
      <c r="BF31" s="99"/>
      <c r="BG31" s="97" t="s">
        <v>173</v>
      </c>
      <c r="BH31" s="98"/>
      <c r="BI31" s="98"/>
      <c r="BJ31" s="98"/>
      <c r="BK31" s="99"/>
      <c r="BL31" s="97">
        <v>0</v>
      </c>
      <c r="BM31" s="98"/>
      <c r="BN31" s="98"/>
      <c r="BO31" s="98"/>
      <c r="BP31" s="99"/>
      <c r="BQ31" s="97">
        <v>0</v>
      </c>
      <c r="BR31" s="98"/>
      <c r="BS31" s="98"/>
      <c r="BT31" s="99"/>
      <c r="BU31" s="97">
        <f>IF(ISNUMBER(BG31),BG31,0)+IF(ISNUMBER(BL31),BL31,0)</f>
        <v>0</v>
      </c>
      <c r="BV31" s="98"/>
      <c r="BW31" s="98"/>
      <c r="BX31" s="98"/>
      <c r="BY31" s="99"/>
    </row>
    <row r="32" spans="1:79" s="100" customFormat="1" ht="38.25" customHeight="1" x14ac:dyDescent="0.2">
      <c r="A32" s="90">
        <v>208400</v>
      </c>
      <c r="B32" s="91"/>
      <c r="C32" s="91"/>
      <c r="D32" s="92"/>
      <c r="E32" s="93" t="s">
        <v>175</v>
      </c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5"/>
      <c r="U32" s="96" t="s">
        <v>173</v>
      </c>
      <c r="V32" s="96"/>
      <c r="W32" s="96"/>
      <c r="X32" s="96"/>
      <c r="Y32" s="96"/>
      <c r="Z32" s="96">
        <v>39900</v>
      </c>
      <c r="AA32" s="96"/>
      <c r="AB32" s="96"/>
      <c r="AC32" s="96"/>
      <c r="AD32" s="96"/>
      <c r="AE32" s="97">
        <v>0</v>
      </c>
      <c r="AF32" s="98"/>
      <c r="AG32" s="98"/>
      <c r="AH32" s="99"/>
      <c r="AI32" s="97">
        <f>IF(ISNUMBER(U32),U32,0)+IF(ISNUMBER(Z32),Z32,0)</f>
        <v>39900</v>
      </c>
      <c r="AJ32" s="98"/>
      <c r="AK32" s="98"/>
      <c r="AL32" s="98"/>
      <c r="AM32" s="99"/>
      <c r="AN32" s="97" t="s">
        <v>173</v>
      </c>
      <c r="AO32" s="98"/>
      <c r="AP32" s="98"/>
      <c r="AQ32" s="98"/>
      <c r="AR32" s="99"/>
      <c r="AS32" s="97">
        <v>23279999</v>
      </c>
      <c r="AT32" s="98"/>
      <c r="AU32" s="98"/>
      <c r="AV32" s="98"/>
      <c r="AW32" s="99"/>
      <c r="AX32" s="97">
        <v>0</v>
      </c>
      <c r="AY32" s="98"/>
      <c r="AZ32" s="98"/>
      <c r="BA32" s="99"/>
      <c r="BB32" s="97">
        <f>IF(ISNUMBER(AN32),AN32,0)+IF(ISNUMBER(AS32),AS32,0)</f>
        <v>23279999</v>
      </c>
      <c r="BC32" s="98"/>
      <c r="BD32" s="98"/>
      <c r="BE32" s="98"/>
      <c r="BF32" s="99"/>
      <c r="BG32" s="97" t="s">
        <v>173</v>
      </c>
      <c r="BH32" s="98"/>
      <c r="BI32" s="98"/>
      <c r="BJ32" s="98"/>
      <c r="BK32" s="99"/>
      <c r="BL32" s="97">
        <v>0</v>
      </c>
      <c r="BM32" s="98"/>
      <c r="BN32" s="98"/>
      <c r="BO32" s="98"/>
      <c r="BP32" s="99"/>
      <c r="BQ32" s="97">
        <v>0</v>
      </c>
      <c r="BR32" s="98"/>
      <c r="BS32" s="98"/>
      <c r="BT32" s="99"/>
      <c r="BU32" s="97">
        <f>IF(ISNUMBER(BG32),BG32,0)+IF(ISNUMBER(BL32),BL32,0)</f>
        <v>0</v>
      </c>
      <c r="BV32" s="98"/>
      <c r="BW32" s="98"/>
      <c r="BX32" s="98"/>
      <c r="BY32" s="99"/>
    </row>
    <row r="33" spans="1:79" s="6" customFormat="1" ht="12.75" customHeight="1" x14ac:dyDescent="0.2">
      <c r="A33" s="87"/>
      <c r="B33" s="88"/>
      <c r="C33" s="88"/>
      <c r="D33" s="89"/>
      <c r="E33" s="101" t="s">
        <v>147</v>
      </c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3"/>
      <c r="U33" s="104">
        <v>10615994</v>
      </c>
      <c r="V33" s="104"/>
      <c r="W33" s="104"/>
      <c r="X33" s="104"/>
      <c r="Y33" s="104"/>
      <c r="Z33" s="104">
        <v>39900</v>
      </c>
      <c r="AA33" s="104"/>
      <c r="AB33" s="104"/>
      <c r="AC33" s="104"/>
      <c r="AD33" s="104"/>
      <c r="AE33" s="105">
        <v>0</v>
      </c>
      <c r="AF33" s="106"/>
      <c r="AG33" s="106"/>
      <c r="AH33" s="107"/>
      <c r="AI33" s="105">
        <f>IF(ISNUMBER(U33),U33,0)+IF(ISNUMBER(Z33),Z33,0)</f>
        <v>10655894</v>
      </c>
      <c r="AJ33" s="106"/>
      <c r="AK33" s="106"/>
      <c r="AL33" s="106"/>
      <c r="AM33" s="107"/>
      <c r="AN33" s="105">
        <v>144335752</v>
      </c>
      <c r="AO33" s="106"/>
      <c r="AP33" s="106"/>
      <c r="AQ33" s="106"/>
      <c r="AR33" s="107"/>
      <c r="AS33" s="105">
        <v>23279999</v>
      </c>
      <c r="AT33" s="106"/>
      <c r="AU33" s="106"/>
      <c r="AV33" s="106"/>
      <c r="AW33" s="107"/>
      <c r="AX33" s="105">
        <v>0</v>
      </c>
      <c r="AY33" s="106"/>
      <c r="AZ33" s="106"/>
      <c r="BA33" s="107"/>
      <c r="BB33" s="105">
        <f>IF(ISNUMBER(AN33),AN33,0)+IF(ISNUMBER(AS33),AS33,0)</f>
        <v>167615751</v>
      </c>
      <c r="BC33" s="106"/>
      <c r="BD33" s="106"/>
      <c r="BE33" s="106"/>
      <c r="BF33" s="107"/>
      <c r="BG33" s="105">
        <v>17567561</v>
      </c>
      <c r="BH33" s="106"/>
      <c r="BI33" s="106"/>
      <c r="BJ33" s="106"/>
      <c r="BK33" s="107"/>
      <c r="BL33" s="105">
        <v>0</v>
      </c>
      <c r="BM33" s="106"/>
      <c r="BN33" s="106"/>
      <c r="BO33" s="106"/>
      <c r="BP33" s="107"/>
      <c r="BQ33" s="105">
        <v>0</v>
      </c>
      <c r="BR33" s="106"/>
      <c r="BS33" s="106"/>
      <c r="BT33" s="107"/>
      <c r="BU33" s="105">
        <f>IF(ISNUMBER(BG33),BG33,0)+IF(ISNUMBER(BL33),BL33,0)</f>
        <v>17567561</v>
      </c>
      <c r="BV33" s="106"/>
      <c r="BW33" s="106"/>
      <c r="BX33" s="106"/>
      <c r="BY33" s="107"/>
    </row>
    <row r="35" spans="1:79" ht="14.25" customHeight="1" x14ac:dyDescent="0.2">
      <c r="A35" s="80" t="s">
        <v>269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</row>
    <row r="36" spans="1:79" ht="15" customHeight="1" x14ac:dyDescent="0.2">
      <c r="A36" s="44" t="s">
        <v>243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</row>
    <row r="37" spans="1:79" ht="22.5" customHeight="1" x14ac:dyDescent="0.2">
      <c r="A37" s="51" t="s">
        <v>2</v>
      </c>
      <c r="B37" s="52"/>
      <c r="C37" s="52"/>
      <c r="D37" s="53"/>
      <c r="E37" s="51" t="s">
        <v>19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3"/>
      <c r="X37" s="36" t="s">
        <v>265</v>
      </c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8"/>
      <c r="AR37" s="27" t="s">
        <v>270</v>
      </c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</row>
    <row r="38" spans="1:79" ht="36" customHeight="1" x14ac:dyDescent="0.2">
      <c r="A38" s="54"/>
      <c r="B38" s="55"/>
      <c r="C38" s="55"/>
      <c r="D38" s="56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6"/>
      <c r="X38" s="27" t="s">
        <v>4</v>
      </c>
      <c r="Y38" s="27"/>
      <c r="Z38" s="27"/>
      <c r="AA38" s="27"/>
      <c r="AB38" s="27"/>
      <c r="AC38" s="27" t="s">
        <v>3</v>
      </c>
      <c r="AD38" s="27"/>
      <c r="AE38" s="27"/>
      <c r="AF38" s="27"/>
      <c r="AG38" s="27"/>
      <c r="AH38" s="57" t="s">
        <v>116</v>
      </c>
      <c r="AI38" s="58"/>
      <c r="AJ38" s="58"/>
      <c r="AK38" s="58"/>
      <c r="AL38" s="59"/>
      <c r="AM38" s="36" t="s">
        <v>5</v>
      </c>
      <c r="AN38" s="37"/>
      <c r="AO38" s="37"/>
      <c r="AP38" s="37"/>
      <c r="AQ38" s="38"/>
      <c r="AR38" s="36" t="s">
        <v>4</v>
      </c>
      <c r="AS38" s="37"/>
      <c r="AT38" s="37"/>
      <c r="AU38" s="37"/>
      <c r="AV38" s="38"/>
      <c r="AW38" s="36" t="s">
        <v>3</v>
      </c>
      <c r="AX38" s="37"/>
      <c r="AY38" s="37"/>
      <c r="AZ38" s="37"/>
      <c r="BA38" s="38"/>
      <c r="BB38" s="57" t="s">
        <v>116</v>
      </c>
      <c r="BC38" s="58"/>
      <c r="BD38" s="58"/>
      <c r="BE38" s="58"/>
      <c r="BF38" s="59"/>
      <c r="BG38" s="36" t="s">
        <v>96</v>
      </c>
      <c r="BH38" s="37"/>
      <c r="BI38" s="37"/>
      <c r="BJ38" s="37"/>
      <c r="BK38" s="38"/>
    </row>
    <row r="39" spans="1:79" ht="15" customHeight="1" x14ac:dyDescent="0.2">
      <c r="A39" s="36">
        <v>1</v>
      </c>
      <c r="B39" s="37"/>
      <c r="C39" s="37"/>
      <c r="D39" s="38"/>
      <c r="E39" s="36">
        <v>2</v>
      </c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8"/>
      <c r="X39" s="27">
        <v>3</v>
      </c>
      <c r="Y39" s="27"/>
      <c r="Z39" s="27"/>
      <c r="AA39" s="27"/>
      <c r="AB39" s="27"/>
      <c r="AC39" s="27">
        <v>4</v>
      </c>
      <c r="AD39" s="27"/>
      <c r="AE39" s="27"/>
      <c r="AF39" s="27"/>
      <c r="AG39" s="27"/>
      <c r="AH39" s="27">
        <v>5</v>
      </c>
      <c r="AI39" s="27"/>
      <c r="AJ39" s="27"/>
      <c r="AK39" s="27"/>
      <c r="AL39" s="27"/>
      <c r="AM39" s="27">
        <v>6</v>
      </c>
      <c r="AN39" s="27"/>
      <c r="AO39" s="27"/>
      <c r="AP39" s="27"/>
      <c r="AQ39" s="27"/>
      <c r="AR39" s="36">
        <v>7</v>
      </c>
      <c r="AS39" s="37"/>
      <c r="AT39" s="37"/>
      <c r="AU39" s="37"/>
      <c r="AV39" s="38"/>
      <c r="AW39" s="36">
        <v>8</v>
      </c>
      <c r="AX39" s="37"/>
      <c r="AY39" s="37"/>
      <c r="AZ39" s="37"/>
      <c r="BA39" s="38"/>
      <c r="BB39" s="36">
        <v>9</v>
      </c>
      <c r="BC39" s="37"/>
      <c r="BD39" s="37"/>
      <c r="BE39" s="37"/>
      <c r="BF39" s="38"/>
      <c r="BG39" s="36">
        <v>10</v>
      </c>
      <c r="BH39" s="37"/>
      <c r="BI39" s="37"/>
      <c r="BJ39" s="37"/>
      <c r="BK39" s="38"/>
    </row>
    <row r="40" spans="1:79" ht="20.25" hidden="1" customHeight="1" x14ac:dyDescent="0.2">
      <c r="A40" s="39" t="s">
        <v>56</v>
      </c>
      <c r="B40" s="40"/>
      <c r="C40" s="40"/>
      <c r="D40" s="41"/>
      <c r="E40" s="39" t="s">
        <v>57</v>
      </c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1"/>
      <c r="X40" s="26" t="s">
        <v>60</v>
      </c>
      <c r="Y40" s="26"/>
      <c r="Z40" s="26"/>
      <c r="AA40" s="26"/>
      <c r="AB40" s="26"/>
      <c r="AC40" s="26" t="s">
        <v>61</v>
      </c>
      <c r="AD40" s="26"/>
      <c r="AE40" s="26"/>
      <c r="AF40" s="26"/>
      <c r="AG40" s="26"/>
      <c r="AH40" s="39" t="s">
        <v>94</v>
      </c>
      <c r="AI40" s="40"/>
      <c r="AJ40" s="40"/>
      <c r="AK40" s="40"/>
      <c r="AL40" s="41"/>
      <c r="AM40" s="47" t="s">
        <v>170</v>
      </c>
      <c r="AN40" s="48"/>
      <c r="AO40" s="48"/>
      <c r="AP40" s="48"/>
      <c r="AQ40" s="49"/>
      <c r="AR40" s="39" t="s">
        <v>62</v>
      </c>
      <c r="AS40" s="40"/>
      <c r="AT40" s="40"/>
      <c r="AU40" s="40"/>
      <c r="AV40" s="41"/>
      <c r="AW40" s="39" t="s">
        <v>63</v>
      </c>
      <c r="AX40" s="40"/>
      <c r="AY40" s="40"/>
      <c r="AZ40" s="40"/>
      <c r="BA40" s="41"/>
      <c r="BB40" s="39" t="s">
        <v>95</v>
      </c>
      <c r="BC40" s="40"/>
      <c r="BD40" s="40"/>
      <c r="BE40" s="40"/>
      <c r="BF40" s="41"/>
      <c r="BG40" s="47" t="s">
        <v>170</v>
      </c>
      <c r="BH40" s="48"/>
      <c r="BI40" s="48"/>
      <c r="BJ40" s="48"/>
      <c r="BK40" s="49"/>
      <c r="CA40" t="s">
        <v>23</v>
      </c>
    </row>
    <row r="41" spans="1:79" s="100" customFormat="1" ht="12.75" customHeight="1" x14ac:dyDescent="0.2">
      <c r="A41" s="90"/>
      <c r="B41" s="91"/>
      <c r="C41" s="91"/>
      <c r="D41" s="92"/>
      <c r="E41" s="93" t="s">
        <v>172</v>
      </c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5"/>
      <c r="X41" s="97">
        <v>18851421</v>
      </c>
      <c r="Y41" s="98"/>
      <c r="Z41" s="98"/>
      <c r="AA41" s="98"/>
      <c r="AB41" s="99"/>
      <c r="AC41" s="97" t="s">
        <v>173</v>
      </c>
      <c r="AD41" s="98"/>
      <c r="AE41" s="98"/>
      <c r="AF41" s="98"/>
      <c r="AG41" s="99"/>
      <c r="AH41" s="97" t="s">
        <v>173</v>
      </c>
      <c r="AI41" s="98"/>
      <c r="AJ41" s="98"/>
      <c r="AK41" s="98"/>
      <c r="AL41" s="99"/>
      <c r="AM41" s="97">
        <f>IF(ISNUMBER(X41),X41,0)+IF(ISNUMBER(AC41),AC41,0)</f>
        <v>18851421</v>
      </c>
      <c r="AN41" s="98"/>
      <c r="AO41" s="98"/>
      <c r="AP41" s="98"/>
      <c r="AQ41" s="99"/>
      <c r="AR41" s="97">
        <v>19992567</v>
      </c>
      <c r="AS41" s="98"/>
      <c r="AT41" s="98"/>
      <c r="AU41" s="98"/>
      <c r="AV41" s="99"/>
      <c r="AW41" s="97" t="s">
        <v>173</v>
      </c>
      <c r="AX41" s="98"/>
      <c r="AY41" s="98"/>
      <c r="AZ41" s="98"/>
      <c r="BA41" s="99"/>
      <c r="BB41" s="97" t="s">
        <v>173</v>
      </c>
      <c r="BC41" s="98"/>
      <c r="BD41" s="98"/>
      <c r="BE41" s="98"/>
      <c r="BF41" s="99"/>
      <c r="BG41" s="96">
        <f>IF(ISNUMBER(AR41),AR41,0)+IF(ISNUMBER(AW41),AW41,0)</f>
        <v>19992567</v>
      </c>
      <c r="BH41" s="96"/>
      <c r="BI41" s="96"/>
      <c r="BJ41" s="96"/>
      <c r="BK41" s="96"/>
      <c r="CA41" s="100" t="s">
        <v>24</v>
      </c>
    </row>
    <row r="42" spans="1:79" s="100" customFormat="1" ht="25.5" customHeight="1" x14ac:dyDescent="0.2">
      <c r="A42" s="90"/>
      <c r="B42" s="91"/>
      <c r="C42" s="91"/>
      <c r="D42" s="92"/>
      <c r="E42" s="93" t="s">
        <v>174</v>
      </c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5"/>
      <c r="X42" s="97" t="s">
        <v>173</v>
      </c>
      <c r="Y42" s="98"/>
      <c r="Z42" s="98"/>
      <c r="AA42" s="98"/>
      <c r="AB42" s="99"/>
      <c r="AC42" s="97">
        <v>0</v>
      </c>
      <c r="AD42" s="98"/>
      <c r="AE42" s="98"/>
      <c r="AF42" s="98"/>
      <c r="AG42" s="99"/>
      <c r="AH42" s="97">
        <v>0</v>
      </c>
      <c r="AI42" s="98"/>
      <c r="AJ42" s="98"/>
      <c r="AK42" s="98"/>
      <c r="AL42" s="99"/>
      <c r="AM42" s="97">
        <f>IF(ISNUMBER(X42),X42,0)+IF(ISNUMBER(AC42),AC42,0)</f>
        <v>0</v>
      </c>
      <c r="AN42" s="98"/>
      <c r="AO42" s="98"/>
      <c r="AP42" s="98"/>
      <c r="AQ42" s="99"/>
      <c r="AR42" s="97" t="s">
        <v>173</v>
      </c>
      <c r="AS42" s="98"/>
      <c r="AT42" s="98"/>
      <c r="AU42" s="98"/>
      <c r="AV42" s="99"/>
      <c r="AW42" s="97">
        <v>0</v>
      </c>
      <c r="AX42" s="98"/>
      <c r="AY42" s="98"/>
      <c r="AZ42" s="98"/>
      <c r="BA42" s="99"/>
      <c r="BB42" s="97">
        <v>0</v>
      </c>
      <c r="BC42" s="98"/>
      <c r="BD42" s="98"/>
      <c r="BE42" s="98"/>
      <c r="BF42" s="99"/>
      <c r="BG42" s="96">
        <f>IF(ISNUMBER(AR42),AR42,0)+IF(ISNUMBER(AW42),AW42,0)</f>
        <v>0</v>
      </c>
      <c r="BH42" s="96"/>
      <c r="BI42" s="96"/>
      <c r="BJ42" s="96"/>
      <c r="BK42" s="96"/>
    </row>
    <row r="43" spans="1:79" s="100" customFormat="1" ht="25.5" customHeight="1" x14ac:dyDescent="0.2">
      <c r="A43" s="90">
        <v>208400</v>
      </c>
      <c r="B43" s="91"/>
      <c r="C43" s="91"/>
      <c r="D43" s="92"/>
      <c r="E43" s="93" t="s">
        <v>175</v>
      </c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5"/>
      <c r="X43" s="97" t="s">
        <v>173</v>
      </c>
      <c r="Y43" s="98"/>
      <c r="Z43" s="98"/>
      <c r="AA43" s="98"/>
      <c r="AB43" s="99"/>
      <c r="AC43" s="97">
        <v>0</v>
      </c>
      <c r="AD43" s="98"/>
      <c r="AE43" s="98"/>
      <c r="AF43" s="98"/>
      <c r="AG43" s="99"/>
      <c r="AH43" s="97">
        <v>0</v>
      </c>
      <c r="AI43" s="98"/>
      <c r="AJ43" s="98"/>
      <c r="AK43" s="98"/>
      <c r="AL43" s="99"/>
      <c r="AM43" s="97">
        <f>IF(ISNUMBER(X43),X43,0)+IF(ISNUMBER(AC43),AC43,0)</f>
        <v>0</v>
      </c>
      <c r="AN43" s="98"/>
      <c r="AO43" s="98"/>
      <c r="AP43" s="98"/>
      <c r="AQ43" s="99"/>
      <c r="AR43" s="97" t="s">
        <v>173</v>
      </c>
      <c r="AS43" s="98"/>
      <c r="AT43" s="98"/>
      <c r="AU43" s="98"/>
      <c r="AV43" s="99"/>
      <c r="AW43" s="97">
        <v>0</v>
      </c>
      <c r="AX43" s="98"/>
      <c r="AY43" s="98"/>
      <c r="AZ43" s="98"/>
      <c r="BA43" s="99"/>
      <c r="BB43" s="97">
        <v>0</v>
      </c>
      <c r="BC43" s="98"/>
      <c r="BD43" s="98"/>
      <c r="BE43" s="98"/>
      <c r="BF43" s="99"/>
      <c r="BG43" s="96">
        <f>IF(ISNUMBER(AR43),AR43,0)+IF(ISNUMBER(AW43),AW43,0)</f>
        <v>0</v>
      </c>
      <c r="BH43" s="96"/>
      <c r="BI43" s="96"/>
      <c r="BJ43" s="96"/>
      <c r="BK43" s="96"/>
    </row>
    <row r="44" spans="1:79" s="6" customFormat="1" ht="12.75" customHeight="1" x14ac:dyDescent="0.2">
      <c r="A44" s="87"/>
      <c r="B44" s="88"/>
      <c r="C44" s="88"/>
      <c r="D44" s="89"/>
      <c r="E44" s="101" t="s">
        <v>147</v>
      </c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3"/>
      <c r="X44" s="105">
        <v>18851421</v>
      </c>
      <c r="Y44" s="106"/>
      <c r="Z44" s="106"/>
      <c r="AA44" s="106"/>
      <c r="AB44" s="107"/>
      <c r="AC44" s="105">
        <v>0</v>
      </c>
      <c r="AD44" s="106"/>
      <c r="AE44" s="106"/>
      <c r="AF44" s="106"/>
      <c r="AG44" s="107"/>
      <c r="AH44" s="105">
        <v>0</v>
      </c>
      <c r="AI44" s="106"/>
      <c r="AJ44" s="106"/>
      <c r="AK44" s="106"/>
      <c r="AL44" s="107"/>
      <c r="AM44" s="105">
        <f>IF(ISNUMBER(X44),X44,0)+IF(ISNUMBER(AC44),AC44,0)</f>
        <v>18851421</v>
      </c>
      <c r="AN44" s="106"/>
      <c r="AO44" s="106"/>
      <c r="AP44" s="106"/>
      <c r="AQ44" s="107"/>
      <c r="AR44" s="105">
        <v>19992567</v>
      </c>
      <c r="AS44" s="106"/>
      <c r="AT44" s="106"/>
      <c r="AU44" s="106"/>
      <c r="AV44" s="107"/>
      <c r="AW44" s="105">
        <v>0</v>
      </c>
      <c r="AX44" s="106"/>
      <c r="AY44" s="106"/>
      <c r="AZ44" s="106"/>
      <c r="BA44" s="107"/>
      <c r="BB44" s="105">
        <v>0</v>
      </c>
      <c r="BC44" s="106"/>
      <c r="BD44" s="106"/>
      <c r="BE44" s="106"/>
      <c r="BF44" s="107"/>
      <c r="BG44" s="104">
        <f>IF(ISNUMBER(AR44),AR44,0)+IF(ISNUMBER(AW44),AW44,0)</f>
        <v>19992567</v>
      </c>
      <c r="BH44" s="104"/>
      <c r="BI44" s="104"/>
      <c r="BJ44" s="104"/>
      <c r="BK44" s="104"/>
    </row>
    <row r="45" spans="1:79" s="4" customFormat="1" ht="12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</row>
    <row r="47" spans="1:79" s="3" customFormat="1" ht="14.25" customHeight="1" x14ac:dyDescent="0.2">
      <c r="A47" s="29" t="s">
        <v>117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9"/>
    </row>
    <row r="48" spans="1:79" ht="14.25" customHeight="1" x14ac:dyDescent="0.2">
      <c r="A48" s="29" t="s">
        <v>256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</row>
    <row r="49" spans="1:79" ht="15" customHeight="1" x14ac:dyDescent="0.2">
      <c r="A49" s="31" t="s">
        <v>243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</row>
    <row r="50" spans="1:79" ht="23.1" customHeight="1" x14ac:dyDescent="0.2">
      <c r="A50" s="61" t="s">
        <v>118</v>
      </c>
      <c r="B50" s="62"/>
      <c r="C50" s="62"/>
      <c r="D50" s="63"/>
      <c r="E50" s="27" t="s">
        <v>19</v>
      </c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36" t="s">
        <v>244</v>
      </c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8"/>
      <c r="AN50" s="36" t="s">
        <v>247</v>
      </c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8"/>
      <c r="BG50" s="36" t="s">
        <v>255</v>
      </c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8"/>
    </row>
    <row r="51" spans="1:79" ht="48.75" customHeight="1" x14ac:dyDescent="0.2">
      <c r="A51" s="64"/>
      <c r="B51" s="65"/>
      <c r="C51" s="65"/>
      <c r="D51" s="6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36" t="s">
        <v>4</v>
      </c>
      <c r="V51" s="37"/>
      <c r="W51" s="37"/>
      <c r="X51" s="37"/>
      <c r="Y51" s="38"/>
      <c r="Z51" s="36" t="s">
        <v>3</v>
      </c>
      <c r="AA51" s="37"/>
      <c r="AB51" s="37"/>
      <c r="AC51" s="37"/>
      <c r="AD51" s="38"/>
      <c r="AE51" s="57" t="s">
        <v>116</v>
      </c>
      <c r="AF51" s="58"/>
      <c r="AG51" s="58"/>
      <c r="AH51" s="59"/>
      <c r="AI51" s="36" t="s">
        <v>5</v>
      </c>
      <c r="AJ51" s="37"/>
      <c r="AK51" s="37"/>
      <c r="AL51" s="37"/>
      <c r="AM51" s="38"/>
      <c r="AN51" s="36" t="s">
        <v>4</v>
      </c>
      <c r="AO51" s="37"/>
      <c r="AP51" s="37"/>
      <c r="AQ51" s="37"/>
      <c r="AR51" s="38"/>
      <c r="AS51" s="36" t="s">
        <v>3</v>
      </c>
      <c r="AT51" s="37"/>
      <c r="AU51" s="37"/>
      <c r="AV51" s="37"/>
      <c r="AW51" s="38"/>
      <c r="AX51" s="57" t="s">
        <v>116</v>
      </c>
      <c r="AY51" s="58"/>
      <c r="AZ51" s="58"/>
      <c r="BA51" s="59"/>
      <c r="BB51" s="36" t="s">
        <v>96</v>
      </c>
      <c r="BC51" s="37"/>
      <c r="BD51" s="37"/>
      <c r="BE51" s="37"/>
      <c r="BF51" s="38"/>
      <c r="BG51" s="36" t="s">
        <v>4</v>
      </c>
      <c r="BH51" s="37"/>
      <c r="BI51" s="37"/>
      <c r="BJ51" s="37"/>
      <c r="BK51" s="38"/>
      <c r="BL51" s="36" t="s">
        <v>3</v>
      </c>
      <c r="BM51" s="37"/>
      <c r="BN51" s="37"/>
      <c r="BO51" s="37"/>
      <c r="BP51" s="38"/>
      <c r="BQ51" s="57" t="s">
        <v>116</v>
      </c>
      <c r="BR51" s="58"/>
      <c r="BS51" s="58"/>
      <c r="BT51" s="59"/>
      <c r="BU51" s="36" t="s">
        <v>97</v>
      </c>
      <c r="BV51" s="37"/>
      <c r="BW51" s="37"/>
      <c r="BX51" s="37"/>
      <c r="BY51" s="38"/>
    </row>
    <row r="52" spans="1:79" ht="15" customHeight="1" x14ac:dyDescent="0.2">
      <c r="A52" s="36">
        <v>1</v>
      </c>
      <c r="B52" s="37"/>
      <c r="C52" s="37"/>
      <c r="D52" s="38"/>
      <c r="E52" s="36">
        <v>2</v>
      </c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8"/>
      <c r="U52" s="36">
        <v>3</v>
      </c>
      <c r="V52" s="37"/>
      <c r="W52" s="37"/>
      <c r="X52" s="37"/>
      <c r="Y52" s="38"/>
      <c r="Z52" s="36">
        <v>4</v>
      </c>
      <c r="AA52" s="37"/>
      <c r="AB52" s="37"/>
      <c r="AC52" s="37"/>
      <c r="AD52" s="38"/>
      <c r="AE52" s="36">
        <v>5</v>
      </c>
      <c r="AF52" s="37"/>
      <c r="AG52" s="37"/>
      <c r="AH52" s="38"/>
      <c r="AI52" s="36">
        <v>6</v>
      </c>
      <c r="AJ52" s="37"/>
      <c r="AK52" s="37"/>
      <c r="AL52" s="37"/>
      <c r="AM52" s="38"/>
      <c r="AN52" s="36">
        <v>7</v>
      </c>
      <c r="AO52" s="37"/>
      <c r="AP52" s="37"/>
      <c r="AQ52" s="37"/>
      <c r="AR52" s="38"/>
      <c r="AS52" s="36">
        <v>8</v>
      </c>
      <c r="AT52" s="37"/>
      <c r="AU52" s="37"/>
      <c r="AV52" s="37"/>
      <c r="AW52" s="38"/>
      <c r="AX52" s="36">
        <v>9</v>
      </c>
      <c r="AY52" s="37"/>
      <c r="AZ52" s="37"/>
      <c r="BA52" s="38"/>
      <c r="BB52" s="36">
        <v>10</v>
      </c>
      <c r="BC52" s="37"/>
      <c r="BD52" s="37"/>
      <c r="BE52" s="37"/>
      <c r="BF52" s="38"/>
      <c r="BG52" s="36">
        <v>11</v>
      </c>
      <c r="BH52" s="37"/>
      <c r="BI52" s="37"/>
      <c r="BJ52" s="37"/>
      <c r="BK52" s="38"/>
      <c r="BL52" s="36">
        <v>12</v>
      </c>
      <c r="BM52" s="37"/>
      <c r="BN52" s="37"/>
      <c r="BO52" s="37"/>
      <c r="BP52" s="38"/>
      <c r="BQ52" s="36">
        <v>13</v>
      </c>
      <c r="BR52" s="37"/>
      <c r="BS52" s="37"/>
      <c r="BT52" s="38"/>
      <c r="BU52" s="36">
        <v>14</v>
      </c>
      <c r="BV52" s="37"/>
      <c r="BW52" s="37"/>
      <c r="BX52" s="37"/>
      <c r="BY52" s="38"/>
    </row>
    <row r="53" spans="1:79" s="1" customFormat="1" ht="12.75" hidden="1" customHeight="1" x14ac:dyDescent="0.2">
      <c r="A53" s="39" t="s">
        <v>64</v>
      </c>
      <c r="B53" s="40"/>
      <c r="C53" s="40"/>
      <c r="D53" s="41"/>
      <c r="E53" s="39" t="s">
        <v>57</v>
      </c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1"/>
      <c r="U53" s="39" t="s">
        <v>65</v>
      </c>
      <c r="V53" s="40"/>
      <c r="W53" s="40"/>
      <c r="X53" s="40"/>
      <c r="Y53" s="41"/>
      <c r="Z53" s="39" t="s">
        <v>66</v>
      </c>
      <c r="AA53" s="40"/>
      <c r="AB53" s="40"/>
      <c r="AC53" s="40"/>
      <c r="AD53" s="41"/>
      <c r="AE53" s="39" t="s">
        <v>91</v>
      </c>
      <c r="AF53" s="40"/>
      <c r="AG53" s="40"/>
      <c r="AH53" s="41"/>
      <c r="AI53" s="47" t="s">
        <v>169</v>
      </c>
      <c r="AJ53" s="48"/>
      <c r="AK53" s="48"/>
      <c r="AL53" s="48"/>
      <c r="AM53" s="49"/>
      <c r="AN53" s="39" t="s">
        <v>67</v>
      </c>
      <c r="AO53" s="40"/>
      <c r="AP53" s="40"/>
      <c r="AQ53" s="40"/>
      <c r="AR53" s="41"/>
      <c r="AS53" s="39" t="s">
        <v>68</v>
      </c>
      <c r="AT53" s="40"/>
      <c r="AU53" s="40"/>
      <c r="AV53" s="40"/>
      <c r="AW53" s="41"/>
      <c r="AX53" s="39" t="s">
        <v>92</v>
      </c>
      <c r="AY53" s="40"/>
      <c r="AZ53" s="40"/>
      <c r="BA53" s="41"/>
      <c r="BB53" s="47" t="s">
        <v>169</v>
      </c>
      <c r="BC53" s="48"/>
      <c r="BD53" s="48"/>
      <c r="BE53" s="48"/>
      <c r="BF53" s="49"/>
      <c r="BG53" s="39" t="s">
        <v>58</v>
      </c>
      <c r="BH53" s="40"/>
      <c r="BI53" s="40"/>
      <c r="BJ53" s="40"/>
      <c r="BK53" s="41"/>
      <c r="BL53" s="39" t="s">
        <v>59</v>
      </c>
      <c r="BM53" s="40"/>
      <c r="BN53" s="40"/>
      <c r="BO53" s="40"/>
      <c r="BP53" s="41"/>
      <c r="BQ53" s="39" t="s">
        <v>93</v>
      </c>
      <c r="BR53" s="40"/>
      <c r="BS53" s="40"/>
      <c r="BT53" s="41"/>
      <c r="BU53" s="47" t="s">
        <v>169</v>
      </c>
      <c r="BV53" s="48"/>
      <c r="BW53" s="48"/>
      <c r="BX53" s="48"/>
      <c r="BY53" s="49"/>
      <c r="CA53" t="s">
        <v>25</v>
      </c>
    </row>
    <row r="54" spans="1:79" s="100" customFormat="1" ht="12.75" customHeight="1" x14ac:dyDescent="0.2">
      <c r="A54" s="90">
        <v>2210</v>
      </c>
      <c r="B54" s="91"/>
      <c r="C54" s="91"/>
      <c r="D54" s="92"/>
      <c r="E54" s="93" t="s">
        <v>176</v>
      </c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5"/>
      <c r="U54" s="97">
        <v>126860</v>
      </c>
      <c r="V54" s="98"/>
      <c r="W54" s="98"/>
      <c r="X54" s="98"/>
      <c r="Y54" s="99"/>
      <c r="Z54" s="97">
        <v>0</v>
      </c>
      <c r="AA54" s="98"/>
      <c r="AB54" s="98"/>
      <c r="AC54" s="98"/>
      <c r="AD54" s="99"/>
      <c r="AE54" s="97">
        <v>0</v>
      </c>
      <c r="AF54" s="98"/>
      <c r="AG54" s="98"/>
      <c r="AH54" s="99"/>
      <c r="AI54" s="97">
        <f>IF(ISNUMBER(U54),U54,0)+IF(ISNUMBER(Z54),Z54,0)</f>
        <v>126860</v>
      </c>
      <c r="AJ54" s="98"/>
      <c r="AK54" s="98"/>
      <c r="AL54" s="98"/>
      <c r="AM54" s="99"/>
      <c r="AN54" s="97">
        <v>67919</v>
      </c>
      <c r="AO54" s="98"/>
      <c r="AP54" s="98"/>
      <c r="AQ54" s="98"/>
      <c r="AR54" s="99"/>
      <c r="AS54" s="97">
        <v>0</v>
      </c>
      <c r="AT54" s="98"/>
      <c r="AU54" s="98"/>
      <c r="AV54" s="98"/>
      <c r="AW54" s="99"/>
      <c r="AX54" s="97">
        <v>0</v>
      </c>
      <c r="AY54" s="98"/>
      <c r="AZ54" s="98"/>
      <c r="BA54" s="99"/>
      <c r="BB54" s="97">
        <f>IF(ISNUMBER(AN54),AN54,0)+IF(ISNUMBER(AS54),AS54,0)</f>
        <v>67919</v>
      </c>
      <c r="BC54" s="98"/>
      <c r="BD54" s="98"/>
      <c r="BE54" s="98"/>
      <c r="BF54" s="99"/>
      <c r="BG54" s="97">
        <v>99000</v>
      </c>
      <c r="BH54" s="98"/>
      <c r="BI54" s="98"/>
      <c r="BJ54" s="98"/>
      <c r="BK54" s="99"/>
      <c r="BL54" s="97">
        <v>0</v>
      </c>
      <c r="BM54" s="98"/>
      <c r="BN54" s="98"/>
      <c r="BO54" s="98"/>
      <c r="BP54" s="99"/>
      <c r="BQ54" s="97">
        <v>0</v>
      </c>
      <c r="BR54" s="98"/>
      <c r="BS54" s="98"/>
      <c r="BT54" s="99"/>
      <c r="BU54" s="97">
        <f>IF(ISNUMBER(BG54),BG54,0)+IF(ISNUMBER(BL54),BL54,0)</f>
        <v>99000</v>
      </c>
      <c r="BV54" s="98"/>
      <c r="BW54" s="98"/>
      <c r="BX54" s="98"/>
      <c r="BY54" s="99"/>
      <c r="CA54" s="100" t="s">
        <v>26</v>
      </c>
    </row>
    <row r="55" spans="1:79" s="100" customFormat="1" ht="12.75" customHeight="1" x14ac:dyDescent="0.2">
      <c r="A55" s="90">
        <v>2240</v>
      </c>
      <c r="B55" s="91"/>
      <c r="C55" s="91"/>
      <c r="D55" s="92"/>
      <c r="E55" s="93" t="s">
        <v>177</v>
      </c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5"/>
      <c r="U55" s="97">
        <v>890698</v>
      </c>
      <c r="V55" s="98"/>
      <c r="W55" s="98"/>
      <c r="X55" s="98"/>
      <c r="Y55" s="99"/>
      <c r="Z55" s="97">
        <v>0</v>
      </c>
      <c r="AA55" s="98"/>
      <c r="AB55" s="98"/>
      <c r="AC55" s="98"/>
      <c r="AD55" s="99"/>
      <c r="AE55" s="97">
        <v>0</v>
      </c>
      <c r="AF55" s="98"/>
      <c r="AG55" s="98"/>
      <c r="AH55" s="99"/>
      <c r="AI55" s="97">
        <f>IF(ISNUMBER(U55),U55,0)+IF(ISNUMBER(Z55),Z55,0)</f>
        <v>890698</v>
      </c>
      <c r="AJ55" s="98"/>
      <c r="AK55" s="98"/>
      <c r="AL55" s="98"/>
      <c r="AM55" s="99"/>
      <c r="AN55" s="97">
        <v>140667781</v>
      </c>
      <c r="AO55" s="98"/>
      <c r="AP55" s="98"/>
      <c r="AQ55" s="98"/>
      <c r="AR55" s="99"/>
      <c r="AS55" s="97">
        <v>0</v>
      </c>
      <c r="AT55" s="98"/>
      <c r="AU55" s="98"/>
      <c r="AV55" s="98"/>
      <c r="AW55" s="99"/>
      <c r="AX55" s="97">
        <v>0</v>
      </c>
      <c r="AY55" s="98"/>
      <c r="AZ55" s="98"/>
      <c r="BA55" s="99"/>
      <c r="BB55" s="97">
        <f>IF(ISNUMBER(AN55),AN55,0)+IF(ISNUMBER(AS55),AS55,0)</f>
        <v>140667781</v>
      </c>
      <c r="BC55" s="98"/>
      <c r="BD55" s="98"/>
      <c r="BE55" s="98"/>
      <c r="BF55" s="99"/>
      <c r="BG55" s="97">
        <v>14085396</v>
      </c>
      <c r="BH55" s="98"/>
      <c r="BI55" s="98"/>
      <c r="BJ55" s="98"/>
      <c r="BK55" s="99"/>
      <c r="BL55" s="97">
        <v>0</v>
      </c>
      <c r="BM55" s="98"/>
      <c r="BN55" s="98"/>
      <c r="BO55" s="98"/>
      <c r="BP55" s="99"/>
      <c r="BQ55" s="97">
        <v>0</v>
      </c>
      <c r="BR55" s="98"/>
      <c r="BS55" s="98"/>
      <c r="BT55" s="99"/>
      <c r="BU55" s="97">
        <f>IF(ISNUMBER(BG55),BG55,0)+IF(ISNUMBER(BL55),BL55,0)</f>
        <v>14085396</v>
      </c>
      <c r="BV55" s="98"/>
      <c r="BW55" s="98"/>
      <c r="BX55" s="98"/>
      <c r="BY55" s="99"/>
    </row>
    <row r="56" spans="1:79" s="100" customFormat="1" ht="12.75" customHeight="1" x14ac:dyDescent="0.2">
      <c r="A56" s="90">
        <v>2273</v>
      </c>
      <c r="B56" s="91"/>
      <c r="C56" s="91"/>
      <c r="D56" s="92"/>
      <c r="E56" s="93" t="s">
        <v>178</v>
      </c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5"/>
      <c r="U56" s="97">
        <v>1582147</v>
      </c>
      <c r="V56" s="98"/>
      <c r="W56" s="98"/>
      <c r="X56" s="98"/>
      <c r="Y56" s="99"/>
      <c r="Z56" s="97">
        <v>0</v>
      </c>
      <c r="AA56" s="98"/>
      <c r="AB56" s="98"/>
      <c r="AC56" s="98"/>
      <c r="AD56" s="99"/>
      <c r="AE56" s="97">
        <v>0</v>
      </c>
      <c r="AF56" s="98"/>
      <c r="AG56" s="98"/>
      <c r="AH56" s="99"/>
      <c r="AI56" s="97">
        <f>IF(ISNUMBER(U56),U56,0)+IF(ISNUMBER(Z56),Z56,0)</f>
        <v>1582147</v>
      </c>
      <c r="AJ56" s="98"/>
      <c r="AK56" s="98"/>
      <c r="AL56" s="98"/>
      <c r="AM56" s="99"/>
      <c r="AN56" s="97">
        <v>3000256</v>
      </c>
      <c r="AO56" s="98"/>
      <c r="AP56" s="98"/>
      <c r="AQ56" s="98"/>
      <c r="AR56" s="99"/>
      <c r="AS56" s="97">
        <v>0</v>
      </c>
      <c r="AT56" s="98"/>
      <c r="AU56" s="98"/>
      <c r="AV56" s="98"/>
      <c r="AW56" s="99"/>
      <c r="AX56" s="97">
        <v>0</v>
      </c>
      <c r="AY56" s="98"/>
      <c r="AZ56" s="98"/>
      <c r="BA56" s="99"/>
      <c r="BB56" s="97">
        <f>IF(ISNUMBER(AN56),AN56,0)+IF(ISNUMBER(AS56),AS56,0)</f>
        <v>3000256</v>
      </c>
      <c r="BC56" s="98"/>
      <c r="BD56" s="98"/>
      <c r="BE56" s="98"/>
      <c r="BF56" s="99"/>
      <c r="BG56" s="97">
        <v>3383165</v>
      </c>
      <c r="BH56" s="98"/>
      <c r="BI56" s="98"/>
      <c r="BJ56" s="98"/>
      <c r="BK56" s="99"/>
      <c r="BL56" s="97">
        <v>0</v>
      </c>
      <c r="BM56" s="98"/>
      <c r="BN56" s="98"/>
      <c r="BO56" s="98"/>
      <c r="BP56" s="99"/>
      <c r="BQ56" s="97">
        <v>0</v>
      </c>
      <c r="BR56" s="98"/>
      <c r="BS56" s="98"/>
      <c r="BT56" s="99"/>
      <c r="BU56" s="97">
        <f>IF(ISNUMBER(BG56),BG56,0)+IF(ISNUMBER(BL56),BL56,0)</f>
        <v>3383165</v>
      </c>
      <c r="BV56" s="98"/>
      <c r="BW56" s="98"/>
      <c r="BX56" s="98"/>
      <c r="BY56" s="99"/>
    </row>
    <row r="57" spans="1:79" s="100" customFormat="1" ht="25.5" customHeight="1" x14ac:dyDescent="0.2">
      <c r="A57" s="90">
        <v>2281</v>
      </c>
      <c r="B57" s="91"/>
      <c r="C57" s="91"/>
      <c r="D57" s="92"/>
      <c r="E57" s="93" t="s">
        <v>179</v>
      </c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5"/>
      <c r="U57" s="97">
        <v>0</v>
      </c>
      <c r="V57" s="98"/>
      <c r="W57" s="98"/>
      <c r="X57" s="98"/>
      <c r="Y57" s="99"/>
      <c r="Z57" s="97">
        <v>0</v>
      </c>
      <c r="AA57" s="98"/>
      <c r="AB57" s="98"/>
      <c r="AC57" s="98"/>
      <c r="AD57" s="99"/>
      <c r="AE57" s="97">
        <v>0</v>
      </c>
      <c r="AF57" s="98"/>
      <c r="AG57" s="98"/>
      <c r="AH57" s="99"/>
      <c r="AI57" s="97">
        <f>IF(ISNUMBER(U57),U57,0)+IF(ISNUMBER(Z57),Z57,0)</f>
        <v>0</v>
      </c>
      <c r="AJ57" s="98"/>
      <c r="AK57" s="98"/>
      <c r="AL57" s="98"/>
      <c r="AM57" s="99"/>
      <c r="AN57" s="97">
        <v>199800</v>
      </c>
      <c r="AO57" s="98"/>
      <c r="AP57" s="98"/>
      <c r="AQ57" s="98"/>
      <c r="AR57" s="99"/>
      <c r="AS57" s="97">
        <v>0</v>
      </c>
      <c r="AT57" s="98"/>
      <c r="AU57" s="98"/>
      <c r="AV57" s="98"/>
      <c r="AW57" s="99"/>
      <c r="AX57" s="97">
        <v>0</v>
      </c>
      <c r="AY57" s="98"/>
      <c r="AZ57" s="98"/>
      <c r="BA57" s="99"/>
      <c r="BB57" s="97">
        <f>IF(ISNUMBER(AN57),AN57,0)+IF(ISNUMBER(AS57),AS57,0)</f>
        <v>199800</v>
      </c>
      <c r="BC57" s="98"/>
      <c r="BD57" s="98"/>
      <c r="BE57" s="98"/>
      <c r="BF57" s="99"/>
      <c r="BG57" s="97">
        <v>0</v>
      </c>
      <c r="BH57" s="98"/>
      <c r="BI57" s="98"/>
      <c r="BJ57" s="98"/>
      <c r="BK57" s="99"/>
      <c r="BL57" s="97">
        <v>0</v>
      </c>
      <c r="BM57" s="98"/>
      <c r="BN57" s="98"/>
      <c r="BO57" s="98"/>
      <c r="BP57" s="99"/>
      <c r="BQ57" s="97">
        <v>0</v>
      </c>
      <c r="BR57" s="98"/>
      <c r="BS57" s="98"/>
      <c r="BT57" s="99"/>
      <c r="BU57" s="97">
        <f>IF(ISNUMBER(BG57),BG57,0)+IF(ISNUMBER(BL57),BL57,0)</f>
        <v>0</v>
      </c>
      <c r="BV57" s="98"/>
      <c r="BW57" s="98"/>
      <c r="BX57" s="98"/>
      <c r="BY57" s="99"/>
    </row>
    <row r="58" spans="1:79" s="100" customFormat="1" ht="25.5" customHeight="1" x14ac:dyDescent="0.2">
      <c r="A58" s="90">
        <v>2610</v>
      </c>
      <c r="B58" s="91"/>
      <c r="C58" s="91"/>
      <c r="D58" s="92"/>
      <c r="E58" s="93" t="s">
        <v>180</v>
      </c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5"/>
      <c r="U58" s="97">
        <v>0</v>
      </c>
      <c r="V58" s="98"/>
      <c r="W58" s="98"/>
      <c r="X58" s="98"/>
      <c r="Y58" s="99"/>
      <c r="Z58" s="97">
        <v>0</v>
      </c>
      <c r="AA58" s="98"/>
      <c r="AB58" s="98"/>
      <c r="AC58" s="98"/>
      <c r="AD58" s="99"/>
      <c r="AE58" s="97">
        <v>0</v>
      </c>
      <c r="AF58" s="98"/>
      <c r="AG58" s="98"/>
      <c r="AH58" s="99"/>
      <c r="AI58" s="97">
        <f>IF(ISNUMBER(U58),U58,0)+IF(ISNUMBER(Z58),Z58,0)</f>
        <v>0</v>
      </c>
      <c r="AJ58" s="98"/>
      <c r="AK58" s="98"/>
      <c r="AL58" s="98"/>
      <c r="AM58" s="99"/>
      <c r="AN58" s="97">
        <v>399996</v>
      </c>
      <c r="AO58" s="98"/>
      <c r="AP58" s="98"/>
      <c r="AQ58" s="98"/>
      <c r="AR58" s="99"/>
      <c r="AS58" s="97">
        <v>0</v>
      </c>
      <c r="AT58" s="98"/>
      <c r="AU58" s="98"/>
      <c r="AV58" s="98"/>
      <c r="AW58" s="99"/>
      <c r="AX58" s="97">
        <v>0</v>
      </c>
      <c r="AY58" s="98"/>
      <c r="AZ58" s="98"/>
      <c r="BA58" s="99"/>
      <c r="BB58" s="97">
        <f>IF(ISNUMBER(AN58),AN58,0)+IF(ISNUMBER(AS58),AS58,0)</f>
        <v>399996</v>
      </c>
      <c r="BC58" s="98"/>
      <c r="BD58" s="98"/>
      <c r="BE58" s="98"/>
      <c r="BF58" s="99"/>
      <c r="BG58" s="97">
        <v>0</v>
      </c>
      <c r="BH58" s="98"/>
      <c r="BI58" s="98"/>
      <c r="BJ58" s="98"/>
      <c r="BK58" s="99"/>
      <c r="BL58" s="97">
        <v>0</v>
      </c>
      <c r="BM58" s="98"/>
      <c r="BN58" s="98"/>
      <c r="BO58" s="98"/>
      <c r="BP58" s="99"/>
      <c r="BQ58" s="97">
        <v>0</v>
      </c>
      <c r="BR58" s="98"/>
      <c r="BS58" s="98"/>
      <c r="BT58" s="99"/>
      <c r="BU58" s="97">
        <f>IF(ISNUMBER(BG58),BG58,0)+IF(ISNUMBER(BL58),BL58,0)</f>
        <v>0</v>
      </c>
      <c r="BV58" s="98"/>
      <c r="BW58" s="98"/>
      <c r="BX58" s="98"/>
      <c r="BY58" s="99"/>
    </row>
    <row r="59" spans="1:79" s="100" customFormat="1" ht="25.5" customHeight="1" x14ac:dyDescent="0.2">
      <c r="A59" s="90">
        <v>3110</v>
      </c>
      <c r="B59" s="91"/>
      <c r="C59" s="91"/>
      <c r="D59" s="92"/>
      <c r="E59" s="93" t="s">
        <v>181</v>
      </c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5"/>
      <c r="U59" s="97">
        <v>0</v>
      </c>
      <c r="V59" s="98"/>
      <c r="W59" s="98"/>
      <c r="X59" s="98"/>
      <c r="Y59" s="99"/>
      <c r="Z59" s="97">
        <v>0</v>
      </c>
      <c r="AA59" s="98"/>
      <c r="AB59" s="98"/>
      <c r="AC59" s="98"/>
      <c r="AD59" s="99"/>
      <c r="AE59" s="97">
        <v>0</v>
      </c>
      <c r="AF59" s="98"/>
      <c r="AG59" s="98"/>
      <c r="AH59" s="99"/>
      <c r="AI59" s="97">
        <f>IF(ISNUMBER(U59),U59,0)+IF(ISNUMBER(Z59),Z59,0)</f>
        <v>0</v>
      </c>
      <c r="AJ59" s="98"/>
      <c r="AK59" s="98"/>
      <c r="AL59" s="98"/>
      <c r="AM59" s="99"/>
      <c r="AN59" s="97">
        <v>0</v>
      </c>
      <c r="AO59" s="98"/>
      <c r="AP59" s="98"/>
      <c r="AQ59" s="98"/>
      <c r="AR59" s="99"/>
      <c r="AS59" s="97">
        <v>22680999</v>
      </c>
      <c r="AT59" s="98"/>
      <c r="AU59" s="98"/>
      <c r="AV59" s="98"/>
      <c r="AW59" s="99"/>
      <c r="AX59" s="97">
        <v>22680999</v>
      </c>
      <c r="AY59" s="98"/>
      <c r="AZ59" s="98"/>
      <c r="BA59" s="99"/>
      <c r="BB59" s="97">
        <f>IF(ISNUMBER(AN59),AN59,0)+IF(ISNUMBER(AS59),AS59,0)</f>
        <v>22680999</v>
      </c>
      <c r="BC59" s="98"/>
      <c r="BD59" s="98"/>
      <c r="BE59" s="98"/>
      <c r="BF59" s="99"/>
      <c r="BG59" s="97">
        <v>0</v>
      </c>
      <c r="BH59" s="98"/>
      <c r="BI59" s="98"/>
      <c r="BJ59" s="98"/>
      <c r="BK59" s="99"/>
      <c r="BL59" s="97">
        <v>0</v>
      </c>
      <c r="BM59" s="98"/>
      <c r="BN59" s="98"/>
      <c r="BO59" s="98"/>
      <c r="BP59" s="99"/>
      <c r="BQ59" s="97">
        <v>0</v>
      </c>
      <c r="BR59" s="98"/>
      <c r="BS59" s="98"/>
      <c r="BT59" s="99"/>
      <c r="BU59" s="97">
        <f>IF(ISNUMBER(BG59),BG59,0)+IF(ISNUMBER(BL59),BL59,0)</f>
        <v>0</v>
      </c>
      <c r="BV59" s="98"/>
      <c r="BW59" s="98"/>
      <c r="BX59" s="98"/>
      <c r="BY59" s="99"/>
    </row>
    <row r="60" spans="1:79" s="100" customFormat="1" ht="12.75" customHeight="1" x14ac:dyDescent="0.2">
      <c r="A60" s="90">
        <v>3132</v>
      </c>
      <c r="B60" s="91"/>
      <c r="C60" s="91"/>
      <c r="D60" s="92"/>
      <c r="E60" s="93" t="s">
        <v>182</v>
      </c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5"/>
      <c r="U60" s="97">
        <v>0</v>
      </c>
      <c r="V60" s="98"/>
      <c r="W60" s="98"/>
      <c r="X60" s="98"/>
      <c r="Y60" s="99"/>
      <c r="Z60" s="97">
        <v>39900</v>
      </c>
      <c r="AA60" s="98"/>
      <c r="AB60" s="98"/>
      <c r="AC60" s="98"/>
      <c r="AD60" s="99"/>
      <c r="AE60" s="97">
        <v>39900</v>
      </c>
      <c r="AF60" s="98"/>
      <c r="AG60" s="98"/>
      <c r="AH60" s="99"/>
      <c r="AI60" s="97">
        <f>IF(ISNUMBER(U60),U60,0)+IF(ISNUMBER(Z60),Z60,0)</f>
        <v>39900</v>
      </c>
      <c r="AJ60" s="98"/>
      <c r="AK60" s="98"/>
      <c r="AL60" s="98"/>
      <c r="AM60" s="99"/>
      <c r="AN60" s="97">
        <v>0</v>
      </c>
      <c r="AO60" s="98"/>
      <c r="AP60" s="98"/>
      <c r="AQ60" s="98"/>
      <c r="AR60" s="99"/>
      <c r="AS60" s="97">
        <v>0</v>
      </c>
      <c r="AT60" s="98"/>
      <c r="AU60" s="98"/>
      <c r="AV60" s="98"/>
      <c r="AW60" s="99"/>
      <c r="AX60" s="97">
        <v>0</v>
      </c>
      <c r="AY60" s="98"/>
      <c r="AZ60" s="98"/>
      <c r="BA60" s="99"/>
      <c r="BB60" s="97">
        <f>IF(ISNUMBER(AN60),AN60,0)+IF(ISNUMBER(AS60),AS60,0)</f>
        <v>0</v>
      </c>
      <c r="BC60" s="98"/>
      <c r="BD60" s="98"/>
      <c r="BE60" s="98"/>
      <c r="BF60" s="99"/>
      <c r="BG60" s="97">
        <v>0</v>
      </c>
      <c r="BH60" s="98"/>
      <c r="BI60" s="98"/>
      <c r="BJ60" s="98"/>
      <c r="BK60" s="99"/>
      <c r="BL60" s="97">
        <v>0</v>
      </c>
      <c r="BM60" s="98"/>
      <c r="BN60" s="98"/>
      <c r="BO60" s="98"/>
      <c r="BP60" s="99"/>
      <c r="BQ60" s="97">
        <v>0</v>
      </c>
      <c r="BR60" s="98"/>
      <c r="BS60" s="98"/>
      <c r="BT60" s="99"/>
      <c r="BU60" s="97">
        <f>IF(ISNUMBER(BG60),BG60,0)+IF(ISNUMBER(BL60),BL60,0)</f>
        <v>0</v>
      </c>
      <c r="BV60" s="98"/>
      <c r="BW60" s="98"/>
      <c r="BX60" s="98"/>
      <c r="BY60" s="99"/>
    </row>
    <row r="61" spans="1:79" s="100" customFormat="1" ht="12.75" customHeight="1" x14ac:dyDescent="0.2">
      <c r="A61" s="90">
        <v>3142</v>
      </c>
      <c r="B61" s="91"/>
      <c r="C61" s="91"/>
      <c r="D61" s="92"/>
      <c r="E61" s="93" t="s">
        <v>183</v>
      </c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5"/>
      <c r="U61" s="97">
        <v>0</v>
      </c>
      <c r="V61" s="98"/>
      <c r="W61" s="98"/>
      <c r="X61" s="98"/>
      <c r="Y61" s="99"/>
      <c r="Z61" s="97">
        <v>0</v>
      </c>
      <c r="AA61" s="98"/>
      <c r="AB61" s="98"/>
      <c r="AC61" s="98"/>
      <c r="AD61" s="99"/>
      <c r="AE61" s="97">
        <v>0</v>
      </c>
      <c r="AF61" s="98"/>
      <c r="AG61" s="98"/>
      <c r="AH61" s="99"/>
      <c r="AI61" s="97">
        <f>IF(ISNUMBER(U61),U61,0)+IF(ISNUMBER(Z61),Z61,0)</f>
        <v>0</v>
      </c>
      <c r="AJ61" s="98"/>
      <c r="AK61" s="98"/>
      <c r="AL61" s="98"/>
      <c r="AM61" s="99"/>
      <c r="AN61" s="97">
        <v>0</v>
      </c>
      <c r="AO61" s="98"/>
      <c r="AP61" s="98"/>
      <c r="AQ61" s="98"/>
      <c r="AR61" s="99"/>
      <c r="AS61" s="97">
        <v>599000</v>
      </c>
      <c r="AT61" s="98"/>
      <c r="AU61" s="98"/>
      <c r="AV61" s="98"/>
      <c r="AW61" s="99"/>
      <c r="AX61" s="97">
        <v>599000</v>
      </c>
      <c r="AY61" s="98"/>
      <c r="AZ61" s="98"/>
      <c r="BA61" s="99"/>
      <c r="BB61" s="97">
        <f>IF(ISNUMBER(AN61),AN61,0)+IF(ISNUMBER(AS61),AS61,0)</f>
        <v>599000</v>
      </c>
      <c r="BC61" s="98"/>
      <c r="BD61" s="98"/>
      <c r="BE61" s="98"/>
      <c r="BF61" s="99"/>
      <c r="BG61" s="97">
        <v>0</v>
      </c>
      <c r="BH61" s="98"/>
      <c r="BI61" s="98"/>
      <c r="BJ61" s="98"/>
      <c r="BK61" s="99"/>
      <c r="BL61" s="97">
        <v>0</v>
      </c>
      <c r="BM61" s="98"/>
      <c r="BN61" s="98"/>
      <c r="BO61" s="98"/>
      <c r="BP61" s="99"/>
      <c r="BQ61" s="97">
        <v>0</v>
      </c>
      <c r="BR61" s="98"/>
      <c r="BS61" s="98"/>
      <c r="BT61" s="99"/>
      <c r="BU61" s="97">
        <f>IF(ISNUMBER(BG61),BG61,0)+IF(ISNUMBER(BL61),BL61,0)</f>
        <v>0</v>
      </c>
      <c r="BV61" s="98"/>
      <c r="BW61" s="98"/>
      <c r="BX61" s="98"/>
      <c r="BY61" s="99"/>
    </row>
    <row r="62" spans="1:79" s="6" customFormat="1" ht="12.75" customHeight="1" x14ac:dyDescent="0.2">
      <c r="A62" s="87"/>
      <c r="B62" s="88"/>
      <c r="C62" s="88"/>
      <c r="D62" s="89"/>
      <c r="E62" s="101" t="s">
        <v>147</v>
      </c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3"/>
      <c r="U62" s="105">
        <v>2599705</v>
      </c>
      <c r="V62" s="106"/>
      <c r="W62" s="106"/>
      <c r="X62" s="106"/>
      <c r="Y62" s="107"/>
      <c r="Z62" s="105">
        <v>39900</v>
      </c>
      <c r="AA62" s="106"/>
      <c r="AB62" s="106"/>
      <c r="AC62" s="106"/>
      <c r="AD62" s="107"/>
      <c r="AE62" s="105">
        <v>39900</v>
      </c>
      <c r="AF62" s="106"/>
      <c r="AG62" s="106"/>
      <c r="AH62" s="107"/>
      <c r="AI62" s="105">
        <f>IF(ISNUMBER(U62),U62,0)+IF(ISNUMBER(Z62),Z62,0)</f>
        <v>2639605</v>
      </c>
      <c r="AJ62" s="106"/>
      <c r="AK62" s="106"/>
      <c r="AL62" s="106"/>
      <c r="AM62" s="107"/>
      <c r="AN62" s="105">
        <v>144335752</v>
      </c>
      <c r="AO62" s="106"/>
      <c r="AP62" s="106"/>
      <c r="AQ62" s="106"/>
      <c r="AR62" s="107"/>
      <c r="AS62" s="105">
        <v>23279999</v>
      </c>
      <c r="AT62" s="106"/>
      <c r="AU62" s="106"/>
      <c r="AV62" s="106"/>
      <c r="AW62" s="107"/>
      <c r="AX62" s="105">
        <v>23279999</v>
      </c>
      <c r="AY62" s="106"/>
      <c r="AZ62" s="106"/>
      <c r="BA62" s="107"/>
      <c r="BB62" s="105">
        <f>IF(ISNUMBER(AN62),AN62,0)+IF(ISNUMBER(AS62),AS62,0)</f>
        <v>167615751</v>
      </c>
      <c r="BC62" s="106"/>
      <c r="BD62" s="106"/>
      <c r="BE62" s="106"/>
      <c r="BF62" s="107"/>
      <c r="BG62" s="105">
        <v>17567561</v>
      </c>
      <c r="BH62" s="106"/>
      <c r="BI62" s="106"/>
      <c r="BJ62" s="106"/>
      <c r="BK62" s="107"/>
      <c r="BL62" s="105">
        <v>0</v>
      </c>
      <c r="BM62" s="106"/>
      <c r="BN62" s="106"/>
      <c r="BO62" s="106"/>
      <c r="BP62" s="107"/>
      <c r="BQ62" s="105">
        <v>0</v>
      </c>
      <c r="BR62" s="106"/>
      <c r="BS62" s="106"/>
      <c r="BT62" s="107"/>
      <c r="BU62" s="105">
        <f>IF(ISNUMBER(BG62),BG62,0)+IF(ISNUMBER(BL62),BL62,0)</f>
        <v>17567561</v>
      </c>
      <c r="BV62" s="106"/>
      <c r="BW62" s="106"/>
      <c r="BX62" s="106"/>
      <c r="BY62" s="107"/>
    </row>
    <row r="64" spans="1:79" ht="14.25" customHeight="1" x14ac:dyDescent="0.2">
      <c r="A64" s="29" t="s">
        <v>257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</row>
    <row r="65" spans="1:79" ht="15" customHeight="1" x14ac:dyDescent="0.2">
      <c r="A65" s="44" t="s">
        <v>243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</row>
    <row r="66" spans="1:79" ht="23.1" customHeight="1" x14ac:dyDescent="0.2">
      <c r="A66" s="61" t="s">
        <v>119</v>
      </c>
      <c r="B66" s="62"/>
      <c r="C66" s="62"/>
      <c r="D66" s="62"/>
      <c r="E66" s="63"/>
      <c r="F66" s="27" t="s">
        <v>19</v>
      </c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36" t="s">
        <v>244</v>
      </c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8"/>
      <c r="AN66" s="36" t="s">
        <v>247</v>
      </c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8"/>
      <c r="BG66" s="36" t="s">
        <v>255</v>
      </c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8"/>
    </row>
    <row r="67" spans="1:79" ht="51.75" customHeight="1" x14ac:dyDescent="0.2">
      <c r="A67" s="64"/>
      <c r="B67" s="65"/>
      <c r="C67" s="65"/>
      <c r="D67" s="65"/>
      <c r="E67" s="6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36" t="s">
        <v>4</v>
      </c>
      <c r="V67" s="37"/>
      <c r="W67" s="37"/>
      <c r="X67" s="37"/>
      <c r="Y67" s="38"/>
      <c r="Z67" s="36" t="s">
        <v>3</v>
      </c>
      <c r="AA67" s="37"/>
      <c r="AB67" s="37"/>
      <c r="AC67" s="37"/>
      <c r="AD67" s="38"/>
      <c r="AE67" s="57" t="s">
        <v>116</v>
      </c>
      <c r="AF67" s="58"/>
      <c r="AG67" s="58"/>
      <c r="AH67" s="59"/>
      <c r="AI67" s="36" t="s">
        <v>5</v>
      </c>
      <c r="AJ67" s="37"/>
      <c r="AK67" s="37"/>
      <c r="AL67" s="37"/>
      <c r="AM67" s="38"/>
      <c r="AN67" s="36" t="s">
        <v>4</v>
      </c>
      <c r="AO67" s="37"/>
      <c r="AP67" s="37"/>
      <c r="AQ67" s="37"/>
      <c r="AR67" s="38"/>
      <c r="AS67" s="36" t="s">
        <v>3</v>
      </c>
      <c r="AT67" s="37"/>
      <c r="AU67" s="37"/>
      <c r="AV67" s="37"/>
      <c r="AW67" s="38"/>
      <c r="AX67" s="57" t="s">
        <v>116</v>
      </c>
      <c r="AY67" s="58"/>
      <c r="AZ67" s="58"/>
      <c r="BA67" s="59"/>
      <c r="BB67" s="36" t="s">
        <v>96</v>
      </c>
      <c r="BC67" s="37"/>
      <c r="BD67" s="37"/>
      <c r="BE67" s="37"/>
      <c r="BF67" s="38"/>
      <c r="BG67" s="36" t="s">
        <v>4</v>
      </c>
      <c r="BH67" s="37"/>
      <c r="BI67" s="37"/>
      <c r="BJ67" s="37"/>
      <c r="BK67" s="38"/>
      <c r="BL67" s="36" t="s">
        <v>3</v>
      </c>
      <c r="BM67" s="37"/>
      <c r="BN67" s="37"/>
      <c r="BO67" s="37"/>
      <c r="BP67" s="38"/>
      <c r="BQ67" s="57" t="s">
        <v>116</v>
      </c>
      <c r="BR67" s="58"/>
      <c r="BS67" s="58"/>
      <c r="BT67" s="59"/>
      <c r="BU67" s="27" t="s">
        <v>97</v>
      </c>
      <c r="BV67" s="27"/>
      <c r="BW67" s="27"/>
      <c r="BX67" s="27"/>
      <c r="BY67" s="27"/>
    </row>
    <row r="68" spans="1:79" ht="15" customHeight="1" x14ac:dyDescent="0.2">
      <c r="A68" s="36">
        <v>1</v>
      </c>
      <c r="B68" s="37"/>
      <c r="C68" s="37"/>
      <c r="D68" s="37"/>
      <c r="E68" s="38"/>
      <c r="F68" s="36">
        <v>2</v>
      </c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8"/>
      <c r="U68" s="36">
        <v>3</v>
      </c>
      <c r="V68" s="37"/>
      <c r="W68" s="37"/>
      <c r="X68" s="37"/>
      <c r="Y68" s="38"/>
      <c r="Z68" s="36">
        <v>4</v>
      </c>
      <c r="AA68" s="37"/>
      <c r="AB68" s="37"/>
      <c r="AC68" s="37"/>
      <c r="AD68" s="38"/>
      <c r="AE68" s="36">
        <v>5</v>
      </c>
      <c r="AF68" s="37"/>
      <c r="AG68" s="37"/>
      <c r="AH68" s="38"/>
      <c r="AI68" s="36">
        <v>6</v>
      </c>
      <c r="AJ68" s="37"/>
      <c r="AK68" s="37"/>
      <c r="AL68" s="37"/>
      <c r="AM68" s="38"/>
      <c r="AN68" s="36">
        <v>7</v>
      </c>
      <c r="AO68" s="37"/>
      <c r="AP68" s="37"/>
      <c r="AQ68" s="37"/>
      <c r="AR68" s="38"/>
      <c r="AS68" s="36">
        <v>8</v>
      </c>
      <c r="AT68" s="37"/>
      <c r="AU68" s="37"/>
      <c r="AV68" s="37"/>
      <c r="AW68" s="38"/>
      <c r="AX68" s="36">
        <v>9</v>
      </c>
      <c r="AY68" s="37"/>
      <c r="AZ68" s="37"/>
      <c r="BA68" s="38"/>
      <c r="BB68" s="36">
        <v>10</v>
      </c>
      <c r="BC68" s="37"/>
      <c r="BD68" s="37"/>
      <c r="BE68" s="37"/>
      <c r="BF68" s="38"/>
      <c r="BG68" s="36">
        <v>11</v>
      </c>
      <c r="BH68" s="37"/>
      <c r="BI68" s="37"/>
      <c r="BJ68" s="37"/>
      <c r="BK68" s="38"/>
      <c r="BL68" s="36">
        <v>12</v>
      </c>
      <c r="BM68" s="37"/>
      <c r="BN68" s="37"/>
      <c r="BO68" s="37"/>
      <c r="BP68" s="38"/>
      <c r="BQ68" s="36">
        <v>13</v>
      </c>
      <c r="BR68" s="37"/>
      <c r="BS68" s="37"/>
      <c r="BT68" s="38"/>
      <c r="BU68" s="27">
        <v>14</v>
      </c>
      <c r="BV68" s="27"/>
      <c r="BW68" s="27"/>
      <c r="BX68" s="27"/>
      <c r="BY68" s="27"/>
    </row>
    <row r="69" spans="1:79" s="1" customFormat="1" ht="13.5" hidden="1" customHeight="1" x14ac:dyDescent="0.2">
      <c r="A69" s="39" t="s">
        <v>64</v>
      </c>
      <c r="B69" s="40"/>
      <c r="C69" s="40"/>
      <c r="D69" s="40"/>
      <c r="E69" s="41"/>
      <c r="F69" s="39" t="s">
        <v>57</v>
      </c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1"/>
      <c r="U69" s="39" t="s">
        <v>65</v>
      </c>
      <c r="V69" s="40"/>
      <c r="W69" s="40"/>
      <c r="X69" s="40"/>
      <c r="Y69" s="41"/>
      <c r="Z69" s="39" t="s">
        <v>66</v>
      </c>
      <c r="AA69" s="40"/>
      <c r="AB69" s="40"/>
      <c r="AC69" s="40"/>
      <c r="AD69" s="41"/>
      <c r="AE69" s="39" t="s">
        <v>91</v>
      </c>
      <c r="AF69" s="40"/>
      <c r="AG69" s="40"/>
      <c r="AH69" s="41"/>
      <c r="AI69" s="47" t="s">
        <v>169</v>
      </c>
      <c r="AJ69" s="48"/>
      <c r="AK69" s="48"/>
      <c r="AL69" s="48"/>
      <c r="AM69" s="49"/>
      <c r="AN69" s="39" t="s">
        <v>67</v>
      </c>
      <c r="AO69" s="40"/>
      <c r="AP69" s="40"/>
      <c r="AQ69" s="40"/>
      <c r="AR69" s="41"/>
      <c r="AS69" s="39" t="s">
        <v>68</v>
      </c>
      <c r="AT69" s="40"/>
      <c r="AU69" s="40"/>
      <c r="AV69" s="40"/>
      <c r="AW69" s="41"/>
      <c r="AX69" s="39" t="s">
        <v>92</v>
      </c>
      <c r="AY69" s="40"/>
      <c r="AZ69" s="40"/>
      <c r="BA69" s="41"/>
      <c r="BB69" s="47" t="s">
        <v>169</v>
      </c>
      <c r="BC69" s="48"/>
      <c r="BD69" s="48"/>
      <c r="BE69" s="48"/>
      <c r="BF69" s="49"/>
      <c r="BG69" s="39" t="s">
        <v>58</v>
      </c>
      <c r="BH69" s="40"/>
      <c r="BI69" s="40"/>
      <c r="BJ69" s="40"/>
      <c r="BK69" s="41"/>
      <c r="BL69" s="39" t="s">
        <v>59</v>
      </c>
      <c r="BM69" s="40"/>
      <c r="BN69" s="40"/>
      <c r="BO69" s="40"/>
      <c r="BP69" s="41"/>
      <c r="BQ69" s="39" t="s">
        <v>93</v>
      </c>
      <c r="BR69" s="40"/>
      <c r="BS69" s="40"/>
      <c r="BT69" s="41"/>
      <c r="BU69" s="50" t="s">
        <v>169</v>
      </c>
      <c r="BV69" s="50"/>
      <c r="BW69" s="50"/>
      <c r="BX69" s="50"/>
      <c r="BY69" s="50"/>
      <c r="CA69" t="s">
        <v>27</v>
      </c>
    </row>
    <row r="70" spans="1:79" s="6" customFormat="1" ht="12.75" customHeight="1" x14ac:dyDescent="0.2">
      <c r="A70" s="87"/>
      <c r="B70" s="88"/>
      <c r="C70" s="88"/>
      <c r="D70" s="88"/>
      <c r="E70" s="89"/>
      <c r="F70" s="87" t="s">
        <v>147</v>
      </c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9"/>
      <c r="U70" s="105"/>
      <c r="V70" s="106"/>
      <c r="W70" s="106"/>
      <c r="X70" s="106"/>
      <c r="Y70" s="107"/>
      <c r="Z70" s="105"/>
      <c r="AA70" s="106"/>
      <c r="AB70" s="106"/>
      <c r="AC70" s="106"/>
      <c r="AD70" s="107"/>
      <c r="AE70" s="105"/>
      <c r="AF70" s="106"/>
      <c r="AG70" s="106"/>
      <c r="AH70" s="107"/>
      <c r="AI70" s="105">
        <f>IF(ISNUMBER(U70),U70,0)+IF(ISNUMBER(Z70),Z70,0)</f>
        <v>0</v>
      </c>
      <c r="AJ70" s="106"/>
      <c r="AK70" s="106"/>
      <c r="AL70" s="106"/>
      <c r="AM70" s="107"/>
      <c r="AN70" s="105"/>
      <c r="AO70" s="106"/>
      <c r="AP70" s="106"/>
      <c r="AQ70" s="106"/>
      <c r="AR70" s="107"/>
      <c r="AS70" s="105"/>
      <c r="AT70" s="106"/>
      <c r="AU70" s="106"/>
      <c r="AV70" s="106"/>
      <c r="AW70" s="107"/>
      <c r="AX70" s="105"/>
      <c r="AY70" s="106"/>
      <c r="AZ70" s="106"/>
      <c r="BA70" s="107"/>
      <c r="BB70" s="105">
        <f>IF(ISNUMBER(AN70),AN70,0)+IF(ISNUMBER(AS70),AS70,0)</f>
        <v>0</v>
      </c>
      <c r="BC70" s="106"/>
      <c r="BD70" s="106"/>
      <c r="BE70" s="106"/>
      <c r="BF70" s="107"/>
      <c r="BG70" s="105"/>
      <c r="BH70" s="106"/>
      <c r="BI70" s="106"/>
      <c r="BJ70" s="106"/>
      <c r="BK70" s="107"/>
      <c r="BL70" s="105"/>
      <c r="BM70" s="106"/>
      <c r="BN70" s="106"/>
      <c r="BO70" s="106"/>
      <c r="BP70" s="107"/>
      <c r="BQ70" s="105"/>
      <c r="BR70" s="106"/>
      <c r="BS70" s="106"/>
      <c r="BT70" s="107"/>
      <c r="BU70" s="105">
        <f>IF(ISNUMBER(BG70),BG70,0)+IF(ISNUMBER(BL70),BL70,0)</f>
        <v>0</v>
      </c>
      <c r="BV70" s="106"/>
      <c r="BW70" s="106"/>
      <c r="BX70" s="106"/>
      <c r="BY70" s="107"/>
      <c r="CA70" s="6" t="s">
        <v>28</v>
      </c>
    </row>
    <row r="72" spans="1:79" ht="14.25" customHeight="1" x14ac:dyDescent="0.2">
      <c r="A72" s="29" t="s">
        <v>271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pans="1:79" ht="15" customHeight="1" x14ac:dyDescent="0.2">
      <c r="A73" s="44" t="s">
        <v>243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</row>
    <row r="74" spans="1:79" ht="23.1" customHeight="1" x14ac:dyDescent="0.2">
      <c r="A74" s="61" t="s">
        <v>118</v>
      </c>
      <c r="B74" s="62"/>
      <c r="C74" s="62"/>
      <c r="D74" s="63"/>
      <c r="E74" s="51" t="s">
        <v>19</v>
      </c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3"/>
      <c r="X74" s="36" t="s">
        <v>265</v>
      </c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8"/>
      <c r="AR74" s="27" t="s">
        <v>270</v>
      </c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</row>
    <row r="75" spans="1:79" ht="48.75" customHeight="1" x14ac:dyDescent="0.2">
      <c r="A75" s="64"/>
      <c r="B75" s="65"/>
      <c r="C75" s="65"/>
      <c r="D75" s="66"/>
      <c r="E75" s="54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51" t="s">
        <v>4</v>
      </c>
      <c r="Y75" s="52"/>
      <c r="Z75" s="52"/>
      <c r="AA75" s="52"/>
      <c r="AB75" s="53"/>
      <c r="AC75" s="51" t="s">
        <v>3</v>
      </c>
      <c r="AD75" s="52"/>
      <c r="AE75" s="52"/>
      <c r="AF75" s="52"/>
      <c r="AG75" s="53"/>
      <c r="AH75" s="57" t="s">
        <v>116</v>
      </c>
      <c r="AI75" s="58"/>
      <c r="AJ75" s="58"/>
      <c r="AK75" s="58"/>
      <c r="AL75" s="59"/>
      <c r="AM75" s="36" t="s">
        <v>5</v>
      </c>
      <c r="AN75" s="37"/>
      <c r="AO75" s="37"/>
      <c r="AP75" s="37"/>
      <c r="AQ75" s="38"/>
      <c r="AR75" s="36" t="s">
        <v>4</v>
      </c>
      <c r="AS75" s="37"/>
      <c r="AT75" s="37"/>
      <c r="AU75" s="37"/>
      <c r="AV75" s="38"/>
      <c r="AW75" s="36" t="s">
        <v>3</v>
      </c>
      <c r="AX75" s="37"/>
      <c r="AY75" s="37"/>
      <c r="AZ75" s="37"/>
      <c r="BA75" s="38"/>
      <c r="BB75" s="57" t="s">
        <v>116</v>
      </c>
      <c r="BC75" s="58"/>
      <c r="BD75" s="58"/>
      <c r="BE75" s="58"/>
      <c r="BF75" s="59"/>
      <c r="BG75" s="36" t="s">
        <v>96</v>
      </c>
      <c r="BH75" s="37"/>
      <c r="BI75" s="37"/>
      <c r="BJ75" s="37"/>
      <c r="BK75" s="38"/>
    </row>
    <row r="76" spans="1:79" ht="12.75" customHeight="1" x14ac:dyDescent="0.2">
      <c r="A76" s="36">
        <v>1</v>
      </c>
      <c r="B76" s="37"/>
      <c r="C76" s="37"/>
      <c r="D76" s="38"/>
      <c r="E76" s="36">
        <v>2</v>
      </c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8"/>
      <c r="X76" s="36">
        <v>3</v>
      </c>
      <c r="Y76" s="37"/>
      <c r="Z76" s="37"/>
      <c r="AA76" s="37"/>
      <c r="AB76" s="38"/>
      <c r="AC76" s="36">
        <v>4</v>
      </c>
      <c r="AD76" s="37"/>
      <c r="AE76" s="37"/>
      <c r="AF76" s="37"/>
      <c r="AG76" s="38"/>
      <c r="AH76" s="36">
        <v>5</v>
      </c>
      <c r="AI76" s="37"/>
      <c r="AJ76" s="37"/>
      <c r="AK76" s="37"/>
      <c r="AL76" s="38"/>
      <c r="AM76" s="36">
        <v>6</v>
      </c>
      <c r="AN76" s="37"/>
      <c r="AO76" s="37"/>
      <c r="AP76" s="37"/>
      <c r="AQ76" s="38"/>
      <c r="AR76" s="36">
        <v>7</v>
      </c>
      <c r="AS76" s="37"/>
      <c r="AT76" s="37"/>
      <c r="AU76" s="37"/>
      <c r="AV76" s="38"/>
      <c r="AW76" s="36">
        <v>8</v>
      </c>
      <c r="AX76" s="37"/>
      <c r="AY76" s="37"/>
      <c r="AZ76" s="37"/>
      <c r="BA76" s="38"/>
      <c r="BB76" s="36">
        <v>9</v>
      </c>
      <c r="BC76" s="37"/>
      <c r="BD76" s="37"/>
      <c r="BE76" s="37"/>
      <c r="BF76" s="38"/>
      <c r="BG76" s="36">
        <v>10</v>
      </c>
      <c r="BH76" s="37"/>
      <c r="BI76" s="37"/>
      <c r="BJ76" s="37"/>
      <c r="BK76" s="38"/>
    </row>
    <row r="77" spans="1:79" s="1" customFormat="1" ht="12.75" hidden="1" customHeight="1" x14ac:dyDescent="0.2">
      <c r="A77" s="39" t="s">
        <v>64</v>
      </c>
      <c r="B77" s="40"/>
      <c r="C77" s="40"/>
      <c r="D77" s="41"/>
      <c r="E77" s="39" t="s">
        <v>57</v>
      </c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1"/>
      <c r="X77" s="68" t="s">
        <v>60</v>
      </c>
      <c r="Y77" s="69"/>
      <c r="Z77" s="69"/>
      <c r="AA77" s="69"/>
      <c r="AB77" s="70"/>
      <c r="AC77" s="68" t="s">
        <v>61</v>
      </c>
      <c r="AD77" s="69"/>
      <c r="AE77" s="69"/>
      <c r="AF77" s="69"/>
      <c r="AG77" s="70"/>
      <c r="AH77" s="39" t="s">
        <v>94</v>
      </c>
      <c r="AI77" s="40"/>
      <c r="AJ77" s="40"/>
      <c r="AK77" s="40"/>
      <c r="AL77" s="41"/>
      <c r="AM77" s="47" t="s">
        <v>170</v>
      </c>
      <c r="AN77" s="48"/>
      <c r="AO77" s="48"/>
      <c r="AP77" s="48"/>
      <c r="AQ77" s="49"/>
      <c r="AR77" s="39" t="s">
        <v>62</v>
      </c>
      <c r="AS77" s="40"/>
      <c r="AT77" s="40"/>
      <c r="AU77" s="40"/>
      <c r="AV77" s="41"/>
      <c r="AW77" s="39" t="s">
        <v>63</v>
      </c>
      <c r="AX77" s="40"/>
      <c r="AY77" s="40"/>
      <c r="AZ77" s="40"/>
      <c r="BA77" s="41"/>
      <c r="BB77" s="39" t="s">
        <v>95</v>
      </c>
      <c r="BC77" s="40"/>
      <c r="BD77" s="40"/>
      <c r="BE77" s="40"/>
      <c r="BF77" s="41"/>
      <c r="BG77" s="47" t="s">
        <v>170</v>
      </c>
      <c r="BH77" s="48"/>
      <c r="BI77" s="48"/>
      <c r="BJ77" s="48"/>
      <c r="BK77" s="49"/>
      <c r="CA77" t="s">
        <v>29</v>
      </c>
    </row>
    <row r="78" spans="1:79" s="100" customFormat="1" ht="12.75" customHeight="1" x14ac:dyDescent="0.2">
      <c r="A78" s="90">
        <v>2210</v>
      </c>
      <c r="B78" s="91"/>
      <c r="C78" s="91"/>
      <c r="D78" s="92"/>
      <c r="E78" s="93" t="s">
        <v>176</v>
      </c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5"/>
      <c r="X78" s="97">
        <v>105930</v>
      </c>
      <c r="Y78" s="98"/>
      <c r="Z78" s="98"/>
      <c r="AA78" s="98"/>
      <c r="AB78" s="99"/>
      <c r="AC78" s="97">
        <v>0</v>
      </c>
      <c r="AD78" s="98"/>
      <c r="AE78" s="98"/>
      <c r="AF78" s="98"/>
      <c r="AG78" s="99"/>
      <c r="AH78" s="97">
        <v>0</v>
      </c>
      <c r="AI78" s="98"/>
      <c r="AJ78" s="98"/>
      <c r="AK78" s="98"/>
      <c r="AL78" s="99"/>
      <c r="AM78" s="97">
        <f>IF(ISNUMBER(X78),X78,0)+IF(ISNUMBER(AC78),AC78,0)</f>
        <v>105930</v>
      </c>
      <c r="AN78" s="98"/>
      <c r="AO78" s="98"/>
      <c r="AP78" s="98"/>
      <c r="AQ78" s="99"/>
      <c r="AR78" s="97">
        <v>112074</v>
      </c>
      <c r="AS78" s="98"/>
      <c r="AT78" s="98"/>
      <c r="AU78" s="98"/>
      <c r="AV78" s="99"/>
      <c r="AW78" s="97">
        <v>0</v>
      </c>
      <c r="AX78" s="98"/>
      <c r="AY78" s="98"/>
      <c r="AZ78" s="98"/>
      <c r="BA78" s="99"/>
      <c r="BB78" s="97">
        <v>0</v>
      </c>
      <c r="BC78" s="98"/>
      <c r="BD78" s="98"/>
      <c r="BE78" s="98"/>
      <c r="BF78" s="99"/>
      <c r="BG78" s="96">
        <f>IF(ISNUMBER(AR78),AR78,0)+IF(ISNUMBER(AW78),AW78,0)</f>
        <v>112074</v>
      </c>
      <c r="BH78" s="96"/>
      <c r="BI78" s="96"/>
      <c r="BJ78" s="96"/>
      <c r="BK78" s="96"/>
      <c r="CA78" s="100" t="s">
        <v>30</v>
      </c>
    </row>
    <row r="79" spans="1:79" s="100" customFormat="1" ht="12.75" customHeight="1" x14ac:dyDescent="0.2">
      <c r="A79" s="90">
        <v>2240</v>
      </c>
      <c r="B79" s="91"/>
      <c r="C79" s="91"/>
      <c r="D79" s="92"/>
      <c r="E79" s="93" t="s">
        <v>177</v>
      </c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5"/>
      <c r="X79" s="97">
        <v>15071374</v>
      </c>
      <c r="Y79" s="98"/>
      <c r="Z79" s="98"/>
      <c r="AA79" s="98"/>
      <c r="AB79" s="99"/>
      <c r="AC79" s="97">
        <v>0</v>
      </c>
      <c r="AD79" s="98"/>
      <c r="AE79" s="98"/>
      <c r="AF79" s="98"/>
      <c r="AG79" s="99"/>
      <c r="AH79" s="97">
        <v>0</v>
      </c>
      <c r="AI79" s="98"/>
      <c r="AJ79" s="98"/>
      <c r="AK79" s="98"/>
      <c r="AL79" s="99"/>
      <c r="AM79" s="97">
        <f>IF(ISNUMBER(X79),X79,0)+IF(ISNUMBER(AC79),AC79,0)</f>
        <v>15071374</v>
      </c>
      <c r="AN79" s="98"/>
      <c r="AO79" s="98"/>
      <c r="AP79" s="98"/>
      <c r="AQ79" s="99"/>
      <c r="AR79" s="97">
        <v>15945514</v>
      </c>
      <c r="AS79" s="98"/>
      <c r="AT79" s="98"/>
      <c r="AU79" s="98"/>
      <c r="AV79" s="99"/>
      <c r="AW79" s="97">
        <v>0</v>
      </c>
      <c r="AX79" s="98"/>
      <c r="AY79" s="98"/>
      <c r="AZ79" s="98"/>
      <c r="BA79" s="99"/>
      <c r="BB79" s="97">
        <v>0</v>
      </c>
      <c r="BC79" s="98"/>
      <c r="BD79" s="98"/>
      <c r="BE79" s="98"/>
      <c r="BF79" s="99"/>
      <c r="BG79" s="96">
        <f>IF(ISNUMBER(AR79),AR79,0)+IF(ISNUMBER(AW79),AW79,0)</f>
        <v>15945514</v>
      </c>
      <c r="BH79" s="96"/>
      <c r="BI79" s="96"/>
      <c r="BJ79" s="96"/>
      <c r="BK79" s="96"/>
    </row>
    <row r="80" spans="1:79" s="100" customFormat="1" ht="12.75" customHeight="1" x14ac:dyDescent="0.2">
      <c r="A80" s="90">
        <v>2273</v>
      </c>
      <c r="B80" s="91"/>
      <c r="C80" s="91"/>
      <c r="D80" s="92"/>
      <c r="E80" s="93" t="s">
        <v>178</v>
      </c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5"/>
      <c r="X80" s="97">
        <v>3674117</v>
      </c>
      <c r="Y80" s="98"/>
      <c r="Z80" s="98"/>
      <c r="AA80" s="98"/>
      <c r="AB80" s="99"/>
      <c r="AC80" s="97">
        <v>0</v>
      </c>
      <c r="AD80" s="98"/>
      <c r="AE80" s="98"/>
      <c r="AF80" s="98"/>
      <c r="AG80" s="99"/>
      <c r="AH80" s="97">
        <v>0</v>
      </c>
      <c r="AI80" s="98"/>
      <c r="AJ80" s="98"/>
      <c r="AK80" s="98"/>
      <c r="AL80" s="99"/>
      <c r="AM80" s="97">
        <f>IF(ISNUMBER(X80),X80,0)+IF(ISNUMBER(AC80),AC80,0)</f>
        <v>3674117</v>
      </c>
      <c r="AN80" s="98"/>
      <c r="AO80" s="98"/>
      <c r="AP80" s="98"/>
      <c r="AQ80" s="99"/>
      <c r="AR80" s="97">
        <v>3934979</v>
      </c>
      <c r="AS80" s="98"/>
      <c r="AT80" s="98"/>
      <c r="AU80" s="98"/>
      <c r="AV80" s="99"/>
      <c r="AW80" s="97">
        <v>0</v>
      </c>
      <c r="AX80" s="98"/>
      <c r="AY80" s="98"/>
      <c r="AZ80" s="98"/>
      <c r="BA80" s="99"/>
      <c r="BB80" s="97">
        <v>0</v>
      </c>
      <c r="BC80" s="98"/>
      <c r="BD80" s="98"/>
      <c r="BE80" s="98"/>
      <c r="BF80" s="99"/>
      <c r="BG80" s="96">
        <f>IF(ISNUMBER(AR80),AR80,0)+IF(ISNUMBER(AW80),AW80,0)</f>
        <v>3934979</v>
      </c>
      <c r="BH80" s="96"/>
      <c r="BI80" s="96"/>
      <c r="BJ80" s="96"/>
      <c r="BK80" s="96"/>
    </row>
    <row r="81" spans="1:79" s="100" customFormat="1" ht="25.5" customHeight="1" x14ac:dyDescent="0.2">
      <c r="A81" s="90">
        <v>2281</v>
      </c>
      <c r="B81" s="91"/>
      <c r="C81" s="91"/>
      <c r="D81" s="92"/>
      <c r="E81" s="93" t="s">
        <v>179</v>
      </c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5"/>
      <c r="X81" s="97">
        <v>0</v>
      </c>
      <c r="Y81" s="98"/>
      <c r="Z81" s="98"/>
      <c r="AA81" s="98"/>
      <c r="AB81" s="99"/>
      <c r="AC81" s="97">
        <v>0</v>
      </c>
      <c r="AD81" s="98"/>
      <c r="AE81" s="98"/>
      <c r="AF81" s="98"/>
      <c r="AG81" s="99"/>
      <c r="AH81" s="97">
        <v>0</v>
      </c>
      <c r="AI81" s="98"/>
      <c r="AJ81" s="98"/>
      <c r="AK81" s="98"/>
      <c r="AL81" s="99"/>
      <c r="AM81" s="97">
        <f>IF(ISNUMBER(X81),X81,0)+IF(ISNUMBER(AC81),AC81,0)</f>
        <v>0</v>
      </c>
      <c r="AN81" s="98"/>
      <c r="AO81" s="98"/>
      <c r="AP81" s="98"/>
      <c r="AQ81" s="99"/>
      <c r="AR81" s="97">
        <v>0</v>
      </c>
      <c r="AS81" s="98"/>
      <c r="AT81" s="98"/>
      <c r="AU81" s="98"/>
      <c r="AV81" s="99"/>
      <c r="AW81" s="97">
        <v>0</v>
      </c>
      <c r="AX81" s="98"/>
      <c r="AY81" s="98"/>
      <c r="AZ81" s="98"/>
      <c r="BA81" s="99"/>
      <c r="BB81" s="97">
        <v>0</v>
      </c>
      <c r="BC81" s="98"/>
      <c r="BD81" s="98"/>
      <c r="BE81" s="98"/>
      <c r="BF81" s="99"/>
      <c r="BG81" s="96">
        <f>IF(ISNUMBER(AR81),AR81,0)+IF(ISNUMBER(AW81),AW81,0)</f>
        <v>0</v>
      </c>
      <c r="BH81" s="96"/>
      <c r="BI81" s="96"/>
      <c r="BJ81" s="96"/>
      <c r="BK81" s="96"/>
    </row>
    <row r="82" spans="1:79" s="100" customFormat="1" ht="25.5" customHeight="1" x14ac:dyDescent="0.2">
      <c r="A82" s="90">
        <v>2610</v>
      </c>
      <c r="B82" s="91"/>
      <c r="C82" s="91"/>
      <c r="D82" s="92"/>
      <c r="E82" s="93" t="s">
        <v>180</v>
      </c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5"/>
      <c r="X82" s="97">
        <v>0</v>
      </c>
      <c r="Y82" s="98"/>
      <c r="Z82" s="98"/>
      <c r="AA82" s="98"/>
      <c r="AB82" s="99"/>
      <c r="AC82" s="97">
        <v>0</v>
      </c>
      <c r="AD82" s="98"/>
      <c r="AE82" s="98"/>
      <c r="AF82" s="98"/>
      <c r="AG82" s="99"/>
      <c r="AH82" s="97">
        <v>0</v>
      </c>
      <c r="AI82" s="98"/>
      <c r="AJ82" s="98"/>
      <c r="AK82" s="98"/>
      <c r="AL82" s="99"/>
      <c r="AM82" s="97">
        <f>IF(ISNUMBER(X82),X82,0)+IF(ISNUMBER(AC82),AC82,0)</f>
        <v>0</v>
      </c>
      <c r="AN82" s="98"/>
      <c r="AO82" s="98"/>
      <c r="AP82" s="98"/>
      <c r="AQ82" s="99"/>
      <c r="AR82" s="97">
        <v>0</v>
      </c>
      <c r="AS82" s="98"/>
      <c r="AT82" s="98"/>
      <c r="AU82" s="98"/>
      <c r="AV82" s="99"/>
      <c r="AW82" s="97">
        <v>0</v>
      </c>
      <c r="AX82" s="98"/>
      <c r="AY82" s="98"/>
      <c r="AZ82" s="98"/>
      <c r="BA82" s="99"/>
      <c r="BB82" s="97">
        <v>0</v>
      </c>
      <c r="BC82" s="98"/>
      <c r="BD82" s="98"/>
      <c r="BE82" s="98"/>
      <c r="BF82" s="99"/>
      <c r="BG82" s="96">
        <f>IF(ISNUMBER(AR82),AR82,0)+IF(ISNUMBER(AW82),AW82,0)</f>
        <v>0</v>
      </c>
      <c r="BH82" s="96"/>
      <c r="BI82" s="96"/>
      <c r="BJ82" s="96"/>
      <c r="BK82" s="96"/>
    </row>
    <row r="83" spans="1:79" s="100" customFormat="1" ht="25.5" customHeight="1" x14ac:dyDescent="0.2">
      <c r="A83" s="90">
        <v>3110</v>
      </c>
      <c r="B83" s="91"/>
      <c r="C83" s="91"/>
      <c r="D83" s="92"/>
      <c r="E83" s="93" t="s">
        <v>181</v>
      </c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5"/>
      <c r="X83" s="97">
        <v>0</v>
      </c>
      <c r="Y83" s="98"/>
      <c r="Z83" s="98"/>
      <c r="AA83" s="98"/>
      <c r="AB83" s="99"/>
      <c r="AC83" s="97">
        <v>0</v>
      </c>
      <c r="AD83" s="98"/>
      <c r="AE83" s="98"/>
      <c r="AF83" s="98"/>
      <c r="AG83" s="99"/>
      <c r="AH83" s="97">
        <v>0</v>
      </c>
      <c r="AI83" s="98"/>
      <c r="AJ83" s="98"/>
      <c r="AK83" s="98"/>
      <c r="AL83" s="99"/>
      <c r="AM83" s="97">
        <f>IF(ISNUMBER(X83),X83,0)+IF(ISNUMBER(AC83),AC83,0)</f>
        <v>0</v>
      </c>
      <c r="AN83" s="98"/>
      <c r="AO83" s="98"/>
      <c r="AP83" s="98"/>
      <c r="AQ83" s="99"/>
      <c r="AR83" s="97">
        <v>0</v>
      </c>
      <c r="AS83" s="98"/>
      <c r="AT83" s="98"/>
      <c r="AU83" s="98"/>
      <c r="AV83" s="99"/>
      <c r="AW83" s="97">
        <v>0</v>
      </c>
      <c r="AX83" s="98"/>
      <c r="AY83" s="98"/>
      <c r="AZ83" s="98"/>
      <c r="BA83" s="99"/>
      <c r="BB83" s="97">
        <v>0</v>
      </c>
      <c r="BC83" s="98"/>
      <c r="BD83" s="98"/>
      <c r="BE83" s="98"/>
      <c r="BF83" s="99"/>
      <c r="BG83" s="96">
        <f>IF(ISNUMBER(AR83),AR83,0)+IF(ISNUMBER(AW83),AW83,0)</f>
        <v>0</v>
      </c>
      <c r="BH83" s="96"/>
      <c r="BI83" s="96"/>
      <c r="BJ83" s="96"/>
      <c r="BK83" s="96"/>
    </row>
    <row r="84" spans="1:79" s="100" customFormat="1" ht="12.75" customHeight="1" x14ac:dyDescent="0.2">
      <c r="A84" s="90">
        <v>3132</v>
      </c>
      <c r="B84" s="91"/>
      <c r="C84" s="91"/>
      <c r="D84" s="92"/>
      <c r="E84" s="93" t="s">
        <v>182</v>
      </c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5"/>
      <c r="X84" s="97">
        <v>0</v>
      </c>
      <c r="Y84" s="98"/>
      <c r="Z84" s="98"/>
      <c r="AA84" s="98"/>
      <c r="AB84" s="99"/>
      <c r="AC84" s="97">
        <v>0</v>
      </c>
      <c r="AD84" s="98"/>
      <c r="AE84" s="98"/>
      <c r="AF84" s="98"/>
      <c r="AG84" s="99"/>
      <c r="AH84" s="97">
        <v>0</v>
      </c>
      <c r="AI84" s="98"/>
      <c r="AJ84" s="98"/>
      <c r="AK84" s="98"/>
      <c r="AL84" s="99"/>
      <c r="AM84" s="97">
        <f>IF(ISNUMBER(X84),X84,0)+IF(ISNUMBER(AC84),AC84,0)</f>
        <v>0</v>
      </c>
      <c r="AN84" s="98"/>
      <c r="AO84" s="98"/>
      <c r="AP84" s="98"/>
      <c r="AQ84" s="99"/>
      <c r="AR84" s="97">
        <v>0</v>
      </c>
      <c r="AS84" s="98"/>
      <c r="AT84" s="98"/>
      <c r="AU84" s="98"/>
      <c r="AV84" s="99"/>
      <c r="AW84" s="97">
        <v>0</v>
      </c>
      <c r="AX84" s="98"/>
      <c r="AY84" s="98"/>
      <c r="AZ84" s="98"/>
      <c r="BA84" s="99"/>
      <c r="BB84" s="97">
        <v>0</v>
      </c>
      <c r="BC84" s="98"/>
      <c r="BD84" s="98"/>
      <c r="BE84" s="98"/>
      <c r="BF84" s="99"/>
      <c r="BG84" s="96">
        <f>IF(ISNUMBER(AR84),AR84,0)+IF(ISNUMBER(AW84),AW84,0)</f>
        <v>0</v>
      </c>
      <c r="BH84" s="96"/>
      <c r="BI84" s="96"/>
      <c r="BJ84" s="96"/>
      <c r="BK84" s="96"/>
    </row>
    <row r="85" spans="1:79" s="100" customFormat="1" ht="12.75" customHeight="1" x14ac:dyDescent="0.2">
      <c r="A85" s="90">
        <v>3142</v>
      </c>
      <c r="B85" s="91"/>
      <c r="C85" s="91"/>
      <c r="D85" s="92"/>
      <c r="E85" s="93" t="s">
        <v>183</v>
      </c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5"/>
      <c r="X85" s="97">
        <v>0</v>
      </c>
      <c r="Y85" s="98"/>
      <c r="Z85" s="98"/>
      <c r="AA85" s="98"/>
      <c r="AB85" s="99"/>
      <c r="AC85" s="97">
        <v>0</v>
      </c>
      <c r="AD85" s="98"/>
      <c r="AE85" s="98"/>
      <c r="AF85" s="98"/>
      <c r="AG85" s="99"/>
      <c r="AH85" s="97">
        <v>0</v>
      </c>
      <c r="AI85" s="98"/>
      <c r="AJ85" s="98"/>
      <c r="AK85" s="98"/>
      <c r="AL85" s="99"/>
      <c r="AM85" s="97">
        <f>IF(ISNUMBER(X85),X85,0)+IF(ISNUMBER(AC85),AC85,0)</f>
        <v>0</v>
      </c>
      <c r="AN85" s="98"/>
      <c r="AO85" s="98"/>
      <c r="AP85" s="98"/>
      <c r="AQ85" s="99"/>
      <c r="AR85" s="97">
        <v>0</v>
      </c>
      <c r="AS85" s="98"/>
      <c r="AT85" s="98"/>
      <c r="AU85" s="98"/>
      <c r="AV85" s="99"/>
      <c r="AW85" s="97">
        <v>0</v>
      </c>
      <c r="AX85" s="98"/>
      <c r="AY85" s="98"/>
      <c r="AZ85" s="98"/>
      <c r="BA85" s="99"/>
      <c r="BB85" s="97">
        <v>0</v>
      </c>
      <c r="BC85" s="98"/>
      <c r="BD85" s="98"/>
      <c r="BE85" s="98"/>
      <c r="BF85" s="99"/>
      <c r="BG85" s="96">
        <f>IF(ISNUMBER(AR85),AR85,0)+IF(ISNUMBER(AW85),AW85,0)</f>
        <v>0</v>
      </c>
      <c r="BH85" s="96"/>
      <c r="BI85" s="96"/>
      <c r="BJ85" s="96"/>
      <c r="BK85" s="96"/>
    </row>
    <row r="86" spans="1:79" s="6" customFormat="1" ht="12.75" customHeight="1" x14ac:dyDescent="0.2">
      <c r="A86" s="87"/>
      <c r="B86" s="88"/>
      <c r="C86" s="88"/>
      <c r="D86" s="89"/>
      <c r="E86" s="101" t="s">
        <v>147</v>
      </c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3"/>
      <c r="X86" s="105">
        <v>18851421</v>
      </c>
      <c r="Y86" s="106"/>
      <c r="Z86" s="106"/>
      <c r="AA86" s="106"/>
      <c r="AB86" s="107"/>
      <c r="AC86" s="105">
        <v>0</v>
      </c>
      <c r="AD86" s="106"/>
      <c r="AE86" s="106"/>
      <c r="AF86" s="106"/>
      <c r="AG86" s="107"/>
      <c r="AH86" s="105">
        <v>0</v>
      </c>
      <c r="AI86" s="106"/>
      <c r="AJ86" s="106"/>
      <c r="AK86" s="106"/>
      <c r="AL86" s="107"/>
      <c r="AM86" s="105">
        <f>IF(ISNUMBER(X86),X86,0)+IF(ISNUMBER(AC86),AC86,0)</f>
        <v>18851421</v>
      </c>
      <c r="AN86" s="106"/>
      <c r="AO86" s="106"/>
      <c r="AP86" s="106"/>
      <c r="AQ86" s="107"/>
      <c r="AR86" s="105">
        <v>19992567</v>
      </c>
      <c r="AS86" s="106"/>
      <c r="AT86" s="106"/>
      <c r="AU86" s="106"/>
      <c r="AV86" s="107"/>
      <c r="AW86" s="105">
        <v>0</v>
      </c>
      <c r="AX86" s="106"/>
      <c r="AY86" s="106"/>
      <c r="AZ86" s="106"/>
      <c r="BA86" s="107"/>
      <c r="BB86" s="105">
        <v>0</v>
      </c>
      <c r="BC86" s="106"/>
      <c r="BD86" s="106"/>
      <c r="BE86" s="106"/>
      <c r="BF86" s="107"/>
      <c r="BG86" s="104">
        <f>IF(ISNUMBER(AR86),AR86,0)+IF(ISNUMBER(AW86),AW86,0)</f>
        <v>19992567</v>
      </c>
      <c r="BH86" s="104"/>
      <c r="BI86" s="104"/>
      <c r="BJ86" s="104"/>
      <c r="BK86" s="104"/>
    </row>
    <row r="88" spans="1:79" ht="14.25" customHeight="1" x14ac:dyDescent="0.2">
      <c r="A88" s="29" t="s">
        <v>272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</row>
    <row r="89" spans="1:79" ht="15" customHeight="1" x14ac:dyDescent="0.2">
      <c r="A89" s="44" t="s">
        <v>243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</row>
    <row r="90" spans="1:79" ht="23.1" customHeight="1" x14ac:dyDescent="0.2">
      <c r="A90" s="61" t="s">
        <v>119</v>
      </c>
      <c r="B90" s="62"/>
      <c r="C90" s="62"/>
      <c r="D90" s="62"/>
      <c r="E90" s="63"/>
      <c r="F90" s="51" t="s">
        <v>19</v>
      </c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3"/>
      <c r="X90" s="27" t="s">
        <v>265</v>
      </c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36" t="s">
        <v>270</v>
      </c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8"/>
    </row>
    <row r="91" spans="1:79" ht="53.25" customHeight="1" x14ac:dyDescent="0.2">
      <c r="A91" s="64"/>
      <c r="B91" s="65"/>
      <c r="C91" s="65"/>
      <c r="D91" s="65"/>
      <c r="E91" s="66"/>
      <c r="F91" s="54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6"/>
      <c r="X91" s="36" t="s">
        <v>4</v>
      </c>
      <c r="Y91" s="37"/>
      <c r="Z91" s="37"/>
      <c r="AA91" s="37"/>
      <c r="AB91" s="38"/>
      <c r="AC91" s="36" t="s">
        <v>3</v>
      </c>
      <c r="AD91" s="37"/>
      <c r="AE91" s="37"/>
      <c r="AF91" s="37"/>
      <c r="AG91" s="38"/>
      <c r="AH91" s="57" t="s">
        <v>116</v>
      </c>
      <c r="AI91" s="58"/>
      <c r="AJ91" s="58"/>
      <c r="AK91" s="58"/>
      <c r="AL91" s="59"/>
      <c r="AM91" s="36" t="s">
        <v>5</v>
      </c>
      <c r="AN91" s="37"/>
      <c r="AO91" s="37"/>
      <c r="AP91" s="37"/>
      <c r="AQ91" s="38"/>
      <c r="AR91" s="36" t="s">
        <v>4</v>
      </c>
      <c r="AS91" s="37"/>
      <c r="AT91" s="37"/>
      <c r="AU91" s="37"/>
      <c r="AV91" s="38"/>
      <c r="AW91" s="36" t="s">
        <v>3</v>
      </c>
      <c r="AX91" s="37"/>
      <c r="AY91" s="37"/>
      <c r="AZ91" s="37"/>
      <c r="BA91" s="38"/>
      <c r="BB91" s="74" t="s">
        <v>116</v>
      </c>
      <c r="BC91" s="74"/>
      <c r="BD91" s="74"/>
      <c r="BE91" s="74"/>
      <c r="BF91" s="74"/>
      <c r="BG91" s="36" t="s">
        <v>96</v>
      </c>
      <c r="BH91" s="37"/>
      <c r="BI91" s="37"/>
      <c r="BJ91" s="37"/>
      <c r="BK91" s="38"/>
    </row>
    <row r="92" spans="1:79" ht="15" customHeight="1" x14ac:dyDescent="0.2">
      <c r="A92" s="36">
        <v>1</v>
      </c>
      <c r="B92" s="37"/>
      <c r="C92" s="37"/>
      <c r="D92" s="37"/>
      <c r="E92" s="38"/>
      <c r="F92" s="36">
        <v>2</v>
      </c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8"/>
      <c r="X92" s="36">
        <v>3</v>
      </c>
      <c r="Y92" s="37"/>
      <c r="Z92" s="37"/>
      <c r="AA92" s="37"/>
      <c r="AB92" s="38"/>
      <c r="AC92" s="36">
        <v>4</v>
      </c>
      <c r="AD92" s="37"/>
      <c r="AE92" s="37"/>
      <c r="AF92" s="37"/>
      <c r="AG92" s="38"/>
      <c r="AH92" s="36">
        <v>5</v>
      </c>
      <c r="AI92" s="37"/>
      <c r="AJ92" s="37"/>
      <c r="AK92" s="37"/>
      <c r="AL92" s="38"/>
      <c r="AM92" s="36">
        <v>6</v>
      </c>
      <c r="AN92" s="37"/>
      <c r="AO92" s="37"/>
      <c r="AP92" s="37"/>
      <c r="AQ92" s="38"/>
      <c r="AR92" s="36">
        <v>7</v>
      </c>
      <c r="AS92" s="37"/>
      <c r="AT92" s="37"/>
      <c r="AU92" s="37"/>
      <c r="AV92" s="38"/>
      <c r="AW92" s="36">
        <v>8</v>
      </c>
      <c r="AX92" s="37"/>
      <c r="AY92" s="37"/>
      <c r="AZ92" s="37"/>
      <c r="BA92" s="38"/>
      <c r="BB92" s="36">
        <v>9</v>
      </c>
      <c r="BC92" s="37"/>
      <c r="BD92" s="37"/>
      <c r="BE92" s="37"/>
      <c r="BF92" s="38"/>
      <c r="BG92" s="36">
        <v>10</v>
      </c>
      <c r="BH92" s="37"/>
      <c r="BI92" s="37"/>
      <c r="BJ92" s="37"/>
      <c r="BK92" s="38"/>
    </row>
    <row r="93" spans="1:79" s="1" customFormat="1" ht="15" hidden="1" customHeight="1" x14ac:dyDescent="0.2">
      <c r="A93" s="39" t="s">
        <v>64</v>
      </c>
      <c r="B93" s="40"/>
      <c r="C93" s="40"/>
      <c r="D93" s="40"/>
      <c r="E93" s="41"/>
      <c r="F93" s="39" t="s">
        <v>57</v>
      </c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1"/>
      <c r="X93" s="39" t="s">
        <v>60</v>
      </c>
      <c r="Y93" s="40"/>
      <c r="Z93" s="40"/>
      <c r="AA93" s="40"/>
      <c r="AB93" s="41"/>
      <c r="AC93" s="39" t="s">
        <v>61</v>
      </c>
      <c r="AD93" s="40"/>
      <c r="AE93" s="40"/>
      <c r="AF93" s="40"/>
      <c r="AG93" s="41"/>
      <c r="AH93" s="39" t="s">
        <v>94</v>
      </c>
      <c r="AI93" s="40"/>
      <c r="AJ93" s="40"/>
      <c r="AK93" s="40"/>
      <c r="AL93" s="41"/>
      <c r="AM93" s="47" t="s">
        <v>170</v>
      </c>
      <c r="AN93" s="48"/>
      <c r="AO93" s="48"/>
      <c r="AP93" s="48"/>
      <c r="AQ93" s="49"/>
      <c r="AR93" s="39" t="s">
        <v>62</v>
      </c>
      <c r="AS93" s="40"/>
      <c r="AT93" s="40"/>
      <c r="AU93" s="40"/>
      <c r="AV93" s="41"/>
      <c r="AW93" s="39" t="s">
        <v>63</v>
      </c>
      <c r="AX93" s="40"/>
      <c r="AY93" s="40"/>
      <c r="AZ93" s="40"/>
      <c r="BA93" s="41"/>
      <c r="BB93" s="39" t="s">
        <v>95</v>
      </c>
      <c r="BC93" s="40"/>
      <c r="BD93" s="40"/>
      <c r="BE93" s="40"/>
      <c r="BF93" s="41"/>
      <c r="BG93" s="47" t="s">
        <v>170</v>
      </c>
      <c r="BH93" s="48"/>
      <c r="BI93" s="48"/>
      <c r="BJ93" s="48"/>
      <c r="BK93" s="49"/>
      <c r="CA93" t="s">
        <v>31</v>
      </c>
    </row>
    <row r="94" spans="1:79" s="6" customFormat="1" ht="12.75" customHeight="1" x14ac:dyDescent="0.2">
      <c r="A94" s="87"/>
      <c r="B94" s="88"/>
      <c r="C94" s="88"/>
      <c r="D94" s="88"/>
      <c r="E94" s="89"/>
      <c r="F94" s="87" t="s">
        <v>147</v>
      </c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9"/>
      <c r="X94" s="108"/>
      <c r="Y94" s="109"/>
      <c r="Z94" s="109"/>
      <c r="AA94" s="109"/>
      <c r="AB94" s="110"/>
      <c r="AC94" s="108"/>
      <c r="AD94" s="109"/>
      <c r="AE94" s="109"/>
      <c r="AF94" s="109"/>
      <c r="AG94" s="110"/>
      <c r="AH94" s="104"/>
      <c r="AI94" s="104"/>
      <c r="AJ94" s="104"/>
      <c r="AK94" s="104"/>
      <c r="AL94" s="104"/>
      <c r="AM94" s="104">
        <f>IF(ISNUMBER(X94),X94,0)+IF(ISNUMBER(AC94),AC94,0)</f>
        <v>0</v>
      </c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>
        <f>IF(ISNUMBER(AR94),AR94,0)+IF(ISNUMBER(AW94),AW94,0)</f>
        <v>0</v>
      </c>
      <c r="BH94" s="104"/>
      <c r="BI94" s="104"/>
      <c r="BJ94" s="104"/>
      <c r="BK94" s="104"/>
      <c r="CA94" s="6" t="s">
        <v>32</v>
      </c>
    </row>
    <row r="97" spans="1:79" ht="14.25" customHeight="1" x14ac:dyDescent="0.2">
      <c r="A97" s="29" t="s">
        <v>120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</row>
    <row r="98" spans="1:79" ht="14.25" customHeight="1" x14ac:dyDescent="0.2">
      <c r="A98" s="29" t="s">
        <v>258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</row>
    <row r="99" spans="1:79" ht="15" customHeight="1" x14ac:dyDescent="0.2">
      <c r="A99" s="44" t="s">
        <v>243</v>
      </c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</row>
    <row r="100" spans="1:79" ht="23.1" customHeight="1" x14ac:dyDescent="0.2">
      <c r="A100" s="51" t="s">
        <v>6</v>
      </c>
      <c r="B100" s="52"/>
      <c r="C100" s="52"/>
      <c r="D100" s="51" t="s">
        <v>121</v>
      </c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36" t="s">
        <v>244</v>
      </c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8"/>
      <c r="AN100" s="36" t="s">
        <v>247</v>
      </c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8"/>
      <c r="BG100" s="27" t="s">
        <v>255</v>
      </c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</row>
    <row r="101" spans="1:79" ht="52.5" customHeight="1" x14ac:dyDescent="0.2">
      <c r="A101" s="54"/>
      <c r="B101" s="55"/>
      <c r="C101" s="55"/>
      <c r="D101" s="54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6"/>
      <c r="U101" s="36" t="s">
        <v>4</v>
      </c>
      <c r="V101" s="37"/>
      <c r="W101" s="37"/>
      <c r="X101" s="37"/>
      <c r="Y101" s="38"/>
      <c r="Z101" s="36" t="s">
        <v>3</v>
      </c>
      <c r="AA101" s="37"/>
      <c r="AB101" s="37"/>
      <c r="AC101" s="37"/>
      <c r="AD101" s="38"/>
      <c r="AE101" s="57" t="s">
        <v>116</v>
      </c>
      <c r="AF101" s="58"/>
      <c r="AG101" s="58"/>
      <c r="AH101" s="59"/>
      <c r="AI101" s="36" t="s">
        <v>5</v>
      </c>
      <c r="AJ101" s="37"/>
      <c r="AK101" s="37"/>
      <c r="AL101" s="37"/>
      <c r="AM101" s="38"/>
      <c r="AN101" s="36" t="s">
        <v>4</v>
      </c>
      <c r="AO101" s="37"/>
      <c r="AP101" s="37"/>
      <c r="AQ101" s="37"/>
      <c r="AR101" s="38"/>
      <c r="AS101" s="36" t="s">
        <v>3</v>
      </c>
      <c r="AT101" s="37"/>
      <c r="AU101" s="37"/>
      <c r="AV101" s="37"/>
      <c r="AW101" s="38"/>
      <c r="AX101" s="57" t="s">
        <v>116</v>
      </c>
      <c r="AY101" s="58"/>
      <c r="AZ101" s="58"/>
      <c r="BA101" s="59"/>
      <c r="BB101" s="36" t="s">
        <v>96</v>
      </c>
      <c r="BC101" s="37"/>
      <c r="BD101" s="37"/>
      <c r="BE101" s="37"/>
      <c r="BF101" s="38"/>
      <c r="BG101" s="36" t="s">
        <v>4</v>
      </c>
      <c r="BH101" s="37"/>
      <c r="BI101" s="37"/>
      <c r="BJ101" s="37"/>
      <c r="BK101" s="38"/>
      <c r="BL101" s="27" t="s">
        <v>3</v>
      </c>
      <c r="BM101" s="27"/>
      <c r="BN101" s="27"/>
      <c r="BO101" s="27"/>
      <c r="BP101" s="27"/>
      <c r="BQ101" s="74" t="s">
        <v>116</v>
      </c>
      <c r="BR101" s="74"/>
      <c r="BS101" s="74"/>
      <c r="BT101" s="74"/>
      <c r="BU101" s="36" t="s">
        <v>97</v>
      </c>
      <c r="BV101" s="37"/>
      <c r="BW101" s="37"/>
      <c r="BX101" s="37"/>
      <c r="BY101" s="38"/>
    </row>
    <row r="102" spans="1:79" ht="15" customHeight="1" x14ac:dyDescent="0.2">
      <c r="A102" s="36">
        <v>1</v>
      </c>
      <c r="B102" s="37"/>
      <c r="C102" s="37"/>
      <c r="D102" s="36">
        <v>2</v>
      </c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8"/>
      <c r="U102" s="36">
        <v>3</v>
      </c>
      <c r="V102" s="37"/>
      <c r="W102" s="37"/>
      <c r="X102" s="37"/>
      <c r="Y102" s="38"/>
      <c r="Z102" s="36">
        <v>4</v>
      </c>
      <c r="AA102" s="37"/>
      <c r="AB102" s="37"/>
      <c r="AC102" s="37"/>
      <c r="AD102" s="38"/>
      <c r="AE102" s="36">
        <v>5</v>
      </c>
      <c r="AF102" s="37"/>
      <c r="AG102" s="37"/>
      <c r="AH102" s="38"/>
      <c r="AI102" s="36">
        <v>6</v>
      </c>
      <c r="AJ102" s="37"/>
      <c r="AK102" s="37"/>
      <c r="AL102" s="37"/>
      <c r="AM102" s="38"/>
      <c r="AN102" s="36">
        <v>7</v>
      </c>
      <c r="AO102" s="37"/>
      <c r="AP102" s="37"/>
      <c r="AQ102" s="37"/>
      <c r="AR102" s="38"/>
      <c r="AS102" s="36">
        <v>8</v>
      </c>
      <c r="AT102" s="37"/>
      <c r="AU102" s="37"/>
      <c r="AV102" s="37"/>
      <c r="AW102" s="38"/>
      <c r="AX102" s="27">
        <v>9</v>
      </c>
      <c r="AY102" s="27"/>
      <c r="AZ102" s="27"/>
      <c r="BA102" s="27"/>
      <c r="BB102" s="36">
        <v>10</v>
      </c>
      <c r="BC102" s="37"/>
      <c r="BD102" s="37"/>
      <c r="BE102" s="37"/>
      <c r="BF102" s="38"/>
      <c r="BG102" s="36">
        <v>11</v>
      </c>
      <c r="BH102" s="37"/>
      <c r="BI102" s="37"/>
      <c r="BJ102" s="37"/>
      <c r="BK102" s="38"/>
      <c r="BL102" s="27">
        <v>12</v>
      </c>
      <c r="BM102" s="27"/>
      <c r="BN102" s="27"/>
      <c r="BO102" s="27"/>
      <c r="BP102" s="27"/>
      <c r="BQ102" s="36">
        <v>13</v>
      </c>
      <c r="BR102" s="37"/>
      <c r="BS102" s="37"/>
      <c r="BT102" s="38"/>
      <c r="BU102" s="36">
        <v>14</v>
      </c>
      <c r="BV102" s="37"/>
      <c r="BW102" s="37"/>
      <c r="BX102" s="37"/>
      <c r="BY102" s="38"/>
    </row>
    <row r="103" spans="1:79" s="1" customFormat="1" ht="14.25" hidden="1" customHeight="1" x14ac:dyDescent="0.2">
      <c r="A103" s="39" t="s">
        <v>69</v>
      </c>
      <c r="B103" s="40"/>
      <c r="C103" s="40"/>
      <c r="D103" s="39" t="s">
        <v>57</v>
      </c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1"/>
      <c r="U103" s="26" t="s">
        <v>65</v>
      </c>
      <c r="V103" s="26"/>
      <c r="W103" s="26"/>
      <c r="X103" s="26"/>
      <c r="Y103" s="26"/>
      <c r="Z103" s="26" t="s">
        <v>66</v>
      </c>
      <c r="AA103" s="26"/>
      <c r="AB103" s="26"/>
      <c r="AC103" s="26"/>
      <c r="AD103" s="26"/>
      <c r="AE103" s="26" t="s">
        <v>91</v>
      </c>
      <c r="AF103" s="26"/>
      <c r="AG103" s="26"/>
      <c r="AH103" s="26"/>
      <c r="AI103" s="50" t="s">
        <v>169</v>
      </c>
      <c r="AJ103" s="50"/>
      <c r="AK103" s="50"/>
      <c r="AL103" s="50"/>
      <c r="AM103" s="50"/>
      <c r="AN103" s="26" t="s">
        <v>67</v>
      </c>
      <c r="AO103" s="26"/>
      <c r="AP103" s="26"/>
      <c r="AQ103" s="26"/>
      <c r="AR103" s="26"/>
      <c r="AS103" s="26" t="s">
        <v>68</v>
      </c>
      <c r="AT103" s="26"/>
      <c r="AU103" s="26"/>
      <c r="AV103" s="26"/>
      <c r="AW103" s="26"/>
      <c r="AX103" s="26" t="s">
        <v>92</v>
      </c>
      <c r="AY103" s="26"/>
      <c r="AZ103" s="26"/>
      <c r="BA103" s="26"/>
      <c r="BB103" s="50" t="s">
        <v>169</v>
      </c>
      <c r="BC103" s="50"/>
      <c r="BD103" s="50"/>
      <c r="BE103" s="50"/>
      <c r="BF103" s="50"/>
      <c r="BG103" s="26" t="s">
        <v>58</v>
      </c>
      <c r="BH103" s="26"/>
      <c r="BI103" s="26"/>
      <c r="BJ103" s="26"/>
      <c r="BK103" s="26"/>
      <c r="BL103" s="26" t="s">
        <v>59</v>
      </c>
      <c r="BM103" s="26"/>
      <c r="BN103" s="26"/>
      <c r="BO103" s="26"/>
      <c r="BP103" s="26"/>
      <c r="BQ103" s="26" t="s">
        <v>93</v>
      </c>
      <c r="BR103" s="26"/>
      <c r="BS103" s="26"/>
      <c r="BT103" s="26"/>
      <c r="BU103" s="50" t="s">
        <v>169</v>
      </c>
      <c r="BV103" s="50"/>
      <c r="BW103" s="50"/>
      <c r="BX103" s="50"/>
      <c r="BY103" s="50"/>
      <c r="CA103" t="s">
        <v>33</v>
      </c>
    </row>
    <row r="104" spans="1:79" s="100" customFormat="1" ht="89.25" customHeight="1" x14ac:dyDescent="0.2">
      <c r="A104" s="90">
        <v>1</v>
      </c>
      <c r="B104" s="91"/>
      <c r="C104" s="91"/>
      <c r="D104" s="93" t="s">
        <v>184</v>
      </c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5"/>
      <c r="U104" s="97">
        <v>0</v>
      </c>
      <c r="V104" s="98"/>
      <c r="W104" s="98"/>
      <c r="X104" s="98"/>
      <c r="Y104" s="99"/>
      <c r="Z104" s="97">
        <v>39900</v>
      </c>
      <c r="AA104" s="98"/>
      <c r="AB104" s="98"/>
      <c r="AC104" s="98"/>
      <c r="AD104" s="99"/>
      <c r="AE104" s="97">
        <v>39900</v>
      </c>
      <c r="AF104" s="98"/>
      <c r="AG104" s="98"/>
      <c r="AH104" s="99"/>
      <c r="AI104" s="97">
        <f>IF(ISNUMBER(U104),U104,0)+IF(ISNUMBER(Z104),Z104,0)</f>
        <v>39900</v>
      </c>
      <c r="AJ104" s="98"/>
      <c r="AK104" s="98"/>
      <c r="AL104" s="98"/>
      <c r="AM104" s="99"/>
      <c r="AN104" s="97">
        <v>0</v>
      </c>
      <c r="AO104" s="98"/>
      <c r="AP104" s="98"/>
      <c r="AQ104" s="98"/>
      <c r="AR104" s="99"/>
      <c r="AS104" s="97">
        <v>0</v>
      </c>
      <c r="AT104" s="98"/>
      <c r="AU104" s="98"/>
      <c r="AV104" s="98"/>
      <c r="AW104" s="99"/>
      <c r="AX104" s="97">
        <v>0</v>
      </c>
      <c r="AY104" s="98"/>
      <c r="AZ104" s="98"/>
      <c r="BA104" s="99"/>
      <c r="BB104" s="97">
        <f>IF(ISNUMBER(AN104),AN104,0)+IF(ISNUMBER(AS104),AS104,0)</f>
        <v>0</v>
      </c>
      <c r="BC104" s="98"/>
      <c r="BD104" s="98"/>
      <c r="BE104" s="98"/>
      <c r="BF104" s="99"/>
      <c r="BG104" s="97">
        <v>0</v>
      </c>
      <c r="BH104" s="98"/>
      <c r="BI104" s="98"/>
      <c r="BJ104" s="98"/>
      <c r="BK104" s="99"/>
      <c r="BL104" s="97">
        <v>0</v>
      </c>
      <c r="BM104" s="98"/>
      <c r="BN104" s="98"/>
      <c r="BO104" s="98"/>
      <c r="BP104" s="99"/>
      <c r="BQ104" s="97">
        <v>0</v>
      </c>
      <c r="BR104" s="98"/>
      <c r="BS104" s="98"/>
      <c r="BT104" s="99"/>
      <c r="BU104" s="97">
        <f>IF(ISNUMBER(BG104),BG104,0)+IF(ISNUMBER(BL104),BL104,0)</f>
        <v>0</v>
      </c>
      <c r="BV104" s="98"/>
      <c r="BW104" s="98"/>
      <c r="BX104" s="98"/>
      <c r="BY104" s="99"/>
      <c r="CA104" s="100" t="s">
        <v>34</v>
      </c>
    </row>
    <row r="105" spans="1:79" s="100" customFormat="1" ht="51" customHeight="1" x14ac:dyDescent="0.2">
      <c r="A105" s="90">
        <v>2</v>
      </c>
      <c r="B105" s="91"/>
      <c r="C105" s="91"/>
      <c r="D105" s="93" t="s">
        <v>185</v>
      </c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5"/>
      <c r="U105" s="97">
        <v>49200</v>
      </c>
      <c r="V105" s="98"/>
      <c r="W105" s="98"/>
      <c r="X105" s="98"/>
      <c r="Y105" s="99"/>
      <c r="Z105" s="97">
        <v>0</v>
      </c>
      <c r="AA105" s="98"/>
      <c r="AB105" s="98"/>
      <c r="AC105" s="98"/>
      <c r="AD105" s="99"/>
      <c r="AE105" s="97">
        <v>0</v>
      </c>
      <c r="AF105" s="98"/>
      <c r="AG105" s="98"/>
      <c r="AH105" s="99"/>
      <c r="AI105" s="97">
        <f>IF(ISNUMBER(U105),U105,0)+IF(ISNUMBER(Z105),Z105,0)</f>
        <v>49200</v>
      </c>
      <c r="AJ105" s="98"/>
      <c r="AK105" s="98"/>
      <c r="AL105" s="98"/>
      <c r="AM105" s="99"/>
      <c r="AN105" s="97">
        <v>0</v>
      </c>
      <c r="AO105" s="98"/>
      <c r="AP105" s="98"/>
      <c r="AQ105" s="98"/>
      <c r="AR105" s="99"/>
      <c r="AS105" s="97">
        <v>0</v>
      </c>
      <c r="AT105" s="98"/>
      <c r="AU105" s="98"/>
      <c r="AV105" s="98"/>
      <c r="AW105" s="99"/>
      <c r="AX105" s="97">
        <v>0</v>
      </c>
      <c r="AY105" s="98"/>
      <c r="AZ105" s="98"/>
      <c r="BA105" s="99"/>
      <c r="BB105" s="97">
        <f>IF(ISNUMBER(AN105),AN105,0)+IF(ISNUMBER(AS105),AS105,0)</f>
        <v>0</v>
      </c>
      <c r="BC105" s="98"/>
      <c r="BD105" s="98"/>
      <c r="BE105" s="98"/>
      <c r="BF105" s="99"/>
      <c r="BG105" s="97">
        <v>0</v>
      </c>
      <c r="BH105" s="98"/>
      <c r="BI105" s="98"/>
      <c r="BJ105" s="98"/>
      <c r="BK105" s="99"/>
      <c r="BL105" s="97">
        <v>0</v>
      </c>
      <c r="BM105" s="98"/>
      <c r="BN105" s="98"/>
      <c r="BO105" s="98"/>
      <c r="BP105" s="99"/>
      <c r="BQ105" s="97">
        <v>0</v>
      </c>
      <c r="BR105" s="98"/>
      <c r="BS105" s="98"/>
      <c r="BT105" s="99"/>
      <c r="BU105" s="97">
        <f>IF(ISNUMBER(BG105),BG105,0)+IF(ISNUMBER(BL105),BL105,0)</f>
        <v>0</v>
      </c>
      <c r="BV105" s="98"/>
      <c r="BW105" s="98"/>
      <c r="BX105" s="98"/>
      <c r="BY105" s="99"/>
    </row>
    <row r="106" spans="1:79" s="100" customFormat="1" ht="51" customHeight="1" x14ac:dyDescent="0.2">
      <c r="A106" s="90">
        <v>3</v>
      </c>
      <c r="B106" s="91"/>
      <c r="C106" s="91"/>
      <c r="D106" s="93" t="s">
        <v>186</v>
      </c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5"/>
      <c r="U106" s="97">
        <v>0</v>
      </c>
      <c r="V106" s="98"/>
      <c r="W106" s="98"/>
      <c r="X106" s="98"/>
      <c r="Y106" s="99"/>
      <c r="Z106" s="97">
        <v>0</v>
      </c>
      <c r="AA106" s="98"/>
      <c r="AB106" s="98"/>
      <c r="AC106" s="98"/>
      <c r="AD106" s="99"/>
      <c r="AE106" s="97">
        <v>0</v>
      </c>
      <c r="AF106" s="98"/>
      <c r="AG106" s="98"/>
      <c r="AH106" s="99"/>
      <c r="AI106" s="97">
        <f>IF(ISNUMBER(U106),U106,0)+IF(ISNUMBER(Z106),Z106,0)</f>
        <v>0</v>
      </c>
      <c r="AJ106" s="98"/>
      <c r="AK106" s="98"/>
      <c r="AL106" s="98"/>
      <c r="AM106" s="99"/>
      <c r="AN106" s="97">
        <v>0</v>
      </c>
      <c r="AO106" s="98"/>
      <c r="AP106" s="98"/>
      <c r="AQ106" s="98"/>
      <c r="AR106" s="99"/>
      <c r="AS106" s="97">
        <v>0</v>
      </c>
      <c r="AT106" s="98"/>
      <c r="AU106" s="98"/>
      <c r="AV106" s="98"/>
      <c r="AW106" s="99"/>
      <c r="AX106" s="97">
        <v>0</v>
      </c>
      <c r="AY106" s="98"/>
      <c r="AZ106" s="98"/>
      <c r="BA106" s="99"/>
      <c r="BB106" s="97">
        <f>IF(ISNUMBER(AN106),AN106,0)+IF(ISNUMBER(AS106),AS106,0)</f>
        <v>0</v>
      </c>
      <c r="BC106" s="98"/>
      <c r="BD106" s="98"/>
      <c r="BE106" s="98"/>
      <c r="BF106" s="99"/>
      <c r="BG106" s="97">
        <v>0</v>
      </c>
      <c r="BH106" s="98"/>
      <c r="BI106" s="98"/>
      <c r="BJ106" s="98"/>
      <c r="BK106" s="99"/>
      <c r="BL106" s="97">
        <v>0</v>
      </c>
      <c r="BM106" s="98"/>
      <c r="BN106" s="98"/>
      <c r="BO106" s="98"/>
      <c r="BP106" s="99"/>
      <c r="BQ106" s="97">
        <v>0</v>
      </c>
      <c r="BR106" s="98"/>
      <c r="BS106" s="98"/>
      <c r="BT106" s="99"/>
      <c r="BU106" s="97">
        <f>IF(ISNUMBER(BG106),BG106,0)+IF(ISNUMBER(BL106),BL106,0)</f>
        <v>0</v>
      </c>
      <c r="BV106" s="98"/>
      <c r="BW106" s="98"/>
      <c r="BX106" s="98"/>
      <c r="BY106" s="99"/>
    </row>
    <row r="107" spans="1:79" s="100" customFormat="1" ht="51" customHeight="1" x14ac:dyDescent="0.2">
      <c r="A107" s="90">
        <v>4</v>
      </c>
      <c r="B107" s="91"/>
      <c r="C107" s="91"/>
      <c r="D107" s="93" t="s">
        <v>187</v>
      </c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5"/>
      <c r="U107" s="97">
        <v>49800</v>
      </c>
      <c r="V107" s="98"/>
      <c r="W107" s="98"/>
      <c r="X107" s="98"/>
      <c r="Y107" s="99"/>
      <c r="Z107" s="97">
        <v>0</v>
      </c>
      <c r="AA107" s="98"/>
      <c r="AB107" s="98"/>
      <c r="AC107" s="98"/>
      <c r="AD107" s="99"/>
      <c r="AE107" s="97">
        <v>0</v>
      </c>
      <c r="AF107" s="98"/>
      <c r="AG107" s="98"/>
      <c r="AH107" s="99"/>
      <c r="AI107" s="97">
        <f>IF(ISNUMBER(U107),U107,0)+IF(ISNUMBER(Z107),Z107,0)</f>
        <v>49800</v>
      </c>
      <c r="AJ107" s="98"/>
      <c r="AK107" s="98"/>
      <c r="AL107" s="98"/>
      <c r="AM107" s="99"/>
      <c r="AN107" s="97">
        <v>0</v>
      </c>
      <c r="AO107" s="98"/>
      <c r="AP107" s="98"/>
      <c r="AQ107" s="98"/>
      <c r="AR107" s="99"/>
      <c r="AS107" s="97">
        <v>0</v>
      </c>
      <c r="AT107" s="98"/>
      <c r="AU107" s="98"/>
      <c r="AV107" s="98"/>
      <c r="AW107" s="99"/>
      <c r="AX107" s="97">
        <v>0</v>
      </c>
      <c r="AY107" s="98"/>
      <c r="AZ107" s="98"/>
      <c r="BA107" s="99"/>
      <c r="BB107" s="97">
        <f>IF(ISNUMBER(AN107),AN107,0)+IF(ISNUMBER(AS107),AS107,0)</f>
        <v>0</v>
      </c>
      <c r="BC107" s="98"/>
      <c r="BD107" s="98"/>
      <c r="BE107" s="98"/>
      <c r="BF107" s="99"/>
      <c r="BG107" s="97">
        <v>0</v>
      </c>
      <c r="BH107" s="98"/>
      <c r="BI107" s="98"/>
      <c r="BJ107" s="98"/>
      <c r="BK107" s="99"/>
      <c r="BL107" s="97">
        <v>0</v>
      </c>
      <c r="BM107" s="98"/>
      <c r="BN107" s="98"/>
      <c r="BO107" s="98"/>
      <c r="BP107" s="99"/>
      <c r="BQ107" s="97">
        <v>0</v>
      </c>
      <c r="BR107" s="98"/>
      <c r="BS107" s="98"/>
      <c r="BT107" s="99"/>
      <c r="BU107" s="97">
        <f>IF(ISNUMBER(BG107),BG107,0)+IF(ISNUMBER(BL107),BL107,0)</f>
        <v>0</v>
      </c>
      <c r="BV107" s="98"/>
      <c r="BW107" s="98"/>
      <c r="BX107" s="98"/>
      <c r="BY107" s="99"/>
    </row>
    <row r="108" spans="1:79" s="100" customFormat="1" ht="12.75" customHeight="1" x14ac:dyDescent="0.2">
      <c r="A108" s="90">
        <v>5</v>
      </c>
      <c r="B108" s="91"/>
      <c r="C108" s="91"/>
      <c r="D108" s="93" t="s">
        <v>188</v>
      </c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5"/>
      <c r="U108" s="97">
        <v>1582147</v>
      </c>
      <c r="V108" s="98"/>
      <c r="W108" s="98"/>
      <c r="X108" s="98"/>
      <c r="Y108" s="99"/>
      <c r="Z108" s="97">
        <v>0</v>
      </c>
      <c r="AA108" s="98"/>
      <c r="AB108" s="98"/>
      <c r="AC108" s="98"/>
      <c r="AD108" s="99"/>
      <c r="AE108" s="97">
        <v>0</v>
      </c>
      <c r="AF108" s="98"/>
      <c r="AG108" s="98"/>
      <c r="AH108" s="99"/>
      <c r="AI108" s="97">
        <f>IF(ISNUMBER(U108),U108,0)+IF(ISNUMBER(Z108),Z108,0)</f>
        <v>1582147</v>
      </c>
      <c r="AJ108" s="98"/>
      <c r="AK108" s="98"/>
      <c r="AL108" s="98"/>
      <c r="AM108" s="99"/>
      <c r="AN108" s="97">
        <v>3000256</v>
      </c>
      <c r="AO108" s="98"/>
      <c r="AP108" s="98"/>
      <c r="AQ108" s="98"/>
      <c r="AR108" s="99"/>
      <c r="AS108" s="97">
        <v>0</v>
      </c>
      <c r="AT108" s="98"/>
      <c r="AU108" s="98"/>
      <c r="AV108" s="98"/>
      <c r="AW108" s="99"/>
      <c r="AX108" s="97">
        <v>0</v>
      </c>
      <c r="AY108" s="98"/>
      <c r="AZ108" s="98"/>
      <c r="BA108" s="99"/>
      <c r="BB108" s="97">
        <f>IF(ISNUMBER(AN108),AN108,0)+IF(ISNUMBER(AS108),AS108,0)</f>
        <v>3000256</v>
      </c>
      <c r="BC108" s="98"/>
      <c r="BD108" s="98"/>
      <c r="BE108" s="98"/>
      <c r="BF108" s="99"/>
      <c r="BG108" s="97">
        <v>0</v>
      </c>
      <c r="BH108" s="98"/>
      <c r="BI108" s="98"/>
      <c r="BJ108" s="98"/>
      <c r="BK108" s="99"/>
      <c r="BL108" s="97">
        <v>0</v>
      </c>
      <c r="BM108" s="98"/>
      <c r="BN108" s="98"/>
      <c r="BO108" s="98"/>
      <c r="BP108" s="99"/>
      <c r="BQ108" s="97">
        <v>0</v>
      </c>
      <c r="BR108" s="98"/>
      <c r="BS108" s="98"/>
      <c r="BT108" s="99"/>
      <c r="BU108" s="97">
        <f>IF(ISNUMBER(BG108),BG108,0)+IF(ISNUMBER(BL108),BL108,0)</f>
        <v>0</v>
      </c>
      <c r="BV108" s="98"/>
      <c r="BW108" s="98"/>
      <c r="BX108" s="98"/>
      <c r="BY108" s="99"/>
    </row>
    <row r="109" spans="1:79" s="100" customFormat="1" ht="38.25" customHeight="1" x14ac:dyDescent="0.2">
      <c r="A109" s="90">
        <v>6</v>
      </c>
      <c r="B109" s="91"/>
      <c r="C109" s="91"/>
      <c r="D109" s="93" t="s">
        <v>189</v>
      </c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5"/>
      <c r="U109" s="97">
        <v>0</v>
      </c>
      <c r="V109" s="98"/>
      <c r="W109" s="98"/>
      <c r="X109" s="98"/>
      <c r="Y109" s="99"/>
      <c r="Z109" s="97">
        <v>0</v>
      </c>
      <c r="AA109" s="98"/>
      <c r="AB109" s="98"/>
      <c r="AC109" s="98"/>
      <c r="AD109" s="99"/>
      <c r="AE109" s="97">
        <v>0</v>
      </c>
      <c r="AF109" s="98"/>
      <c r="AG109" s="98"/>
      <c r="AH109" s="99"/>
      <c r="AI109" s="97">
        <f>IF(ISNUMBER(U109),U109,0)+IF(ISNUMBER(Z109),Z109,0)</f>
        <v>0</v>
      </c>
      <c r="AJ109" s="98"/>
      <c r="AK109" s="98"/>
      <c r="AL109" s="98"/>
      <c r="AM109" s="99"/>
      <c r="AN109" s="97">
        <v>0</v>
      </c>
      <c r="AO109" s="98"/>
      <c r="AP109" s="98"/>
      <c r="AQ109" s="98"/>
      <c r="AR109" s="99"/>
      <c r="AS109" s="97">
        <v>0</v>
      </c>
      <c r="AT109" s="98"/>
      <c r="AU109" s="98"/>
      <c r="AV109" s="98"/>
      <c r="AW109" s="99"/>
      <c r="AX109" s="97">
        <v>0</v>
      </c>
      <c r="AY109" s="98"/>
      <c r="AZ109" s="98"/>
      <c r="BA109" s="99"/>
      <c r="BB109" s="97">
        <f>IF(ISNUMBER(AN109),AN109,0)+IF(ISNUMBER(AS109),AS109,0)</f>
        <v>0</v>
      </c>
      <c r="BC109" s="98"/>
      <c r="BD109" s="98"/>
      <c r="BE109" s="98"/>
      <c r="BF109" s="99"/>
      <c r="BG109" s="97">
        <v>0</v>
      </c>
      <c r="BH109" s="98"/>
      <c r="BI109" s="98"/>
      <c r="BJ109" s="98"/>
      <c r="BK109" s="99"/>
      <c r="BL109" s="97">
        <v>0</v>
      </c>
      <c r="BM109" s="98"/>
      <c r="BN109" s="98"/>
      <c r="BO109" s="98"/>
      <c r="BP109" s="99"/>
      <c r="BQ109" s="97">
        <v>0</v>
      </c>
      <c r="BR109" s="98"/>
      <c r="BS109" s="98"/>
      <c r="BT109" s="99"/>
      <c r="BU109" s="97">
        <f>IF(ISNUMBER(BG109),BG109,0)+IF(ISNUMBER(BL109),BL109,0)</f>
        <v>0</v>
      </c>
      <c r="BV109" s="98"/>
      <c r="BW109" s="98"/>
      <c r="BX109" s="98"/>
      <c r="BY109" s="99"/>
    </row>
    <row r="110" spans="1:79" s="100" customFormat="1" ht="38.25" customHeight="1" x14ac:dyDescent="0.2">
      <c r="A110" s="90">
        <v>7</v>
      </c>
      <c r="B110" s="91"/>
      <c r="C110" s="91"/>
      <c r="D110" s="93" t="s">
        <v>190</v>
      </c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5"/>
      <c r="U110" s="97">
        <v>385000</v>
      </c>
      <c r="V110" s="98"/>
      <c r="W110" s="98"/>
      <c r="X110" s="98"/>
      <c r="Y110" s="99"/>
      <c r="Z110" s="97">
        <v>0</v>
      </c>
      <c r="AA110" s="98"/>
      <c r="AB110" s="98"/>
      <c r="AC110" s="98"/>
      <c r="AD110" s="99"/>
      <c r="AE110" s="97">
        <v>0</v>
      </c>
      <c r="AF110" s="98"/>
      <c r="AG110" s="98"/>
      <c r="AH110" s="99"/>
      <c r="AI110" s="97">
        <f>IF(ISNUMBER(U110),U110,0)+IF(ISNUMBER(Z110),Z110,0)</f>
        <v>385000</v>
      </c>
      <c r="AJ110" s="98"/>
      <c r="AK110" s="98"/>
      <c r="AL110" s="98"/>
      <c r="AM110" s="99"/>
      <c r="AN110" s="97">
        <v>5100000</v>
      </c>
      <c r="AO110" s="98"/>
      <c r="AP110" s="98"/>
      <c r="AQ110" s="98"/>
      <c r="AR110" s="99"/>
      <c r="AS110" s="97">
        <v>0</v>
      </c>
      <c r="AT110" s="98"/>
      <c r="AU110" s="98"/>
      <c r="AV110" s="98"/>
      <c r="AW110" s="99"/>
      <c r="AX110" s="97">
        <v>0</v>
      </c>
      <c r="AY110" s="98"/>
      <c r="AZ110" s="98"/>
      <c r="BA110" s="99"/>
      <c r="BB110" s="97">
        <f>IF(ISNUMBER(AN110),AN110,0)+IF(ISNUMBER(AS110),AS110,0)</f>
        <v>5100000</v>
      </c>
      <c r="BC110" s="98"/>
      <c r="BD110" s="98"/>
      <c r="BE110" s="98"/>
      <c r="BF110" s="99"/>
      <c r="BG110" s="97">
        <v>0</v>
      </c>
      <c r="BH110" s="98"/>
      <c r="BI110" s="98"/>
      <c r="BJ110" s="98"/>
      <c r="BK110" s="99"/>
      <c r="BL110" s="97">
        <v>0</v>
      </c>
      <c r="BM110" s="98"/>
      <c r="BN110" s="98"/>
      <c r="BO110" s="98"/>
      <c r="BP110" s="99"/>
      <c r="BQ110" s="97">
        <v>0</v>
      </c>
      <c r="BR110" s="98"/>
      <c r="BS110" s="98"/>
      <c r="BT110" s="99"/>
      <c r="BU110" s="97">
        <f>IF(ISNUMBER(BG110),BG110,0)+IF(ISNUMBER(BL110),BL110,0)</f>
        <v>0</v>
      </c>
      <c r="BV110" s="98"/>
      <c r="BW110" s="98"/>
      <c r="BX110" s="98"/>
      <c r="BY110" s="99"/>
    </row>
    <row r="111" spans="1:79" s="100" customFormat="1" ht="25.5" customHeight="1" x14ac:dyDescent="0.2">
      <c r="A111" s="90">
        <v>8</v>
      </c>
      <c r="B111" s="91"/>
      <c r="C111" s="91"/>
      <c r="D111" s="93" t="s">
        <v>191</v>
      </c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5"/>
      <c r="U111" s="97">
        <v>0</v>
      </c>
      <c r="V111" s="98"/>
      <c r="W111" s="98"/>
      <c r="X111" s="98"/>
      <c r="Y111" s="99"/>
      <c r="Z111" s="97">
        <v>0</v>
      </c>
      <c r="AA111" s="98"/>
      <c r="AB111" s="98"/>
      <c r="AC111" s="98"/>
      <c r="AD111" s="99"/>
      <c r="AE111" s="97">
        <v>0</v>
      </c>
      <c r="AF111" s="98"/>
      <c r="AG111" s="98"/>
      <c r="AH111" s="99"/>
      <c r="AI111" s="97">
        <f>IF(ISNUMBER(U111),U111,0)+IF(ISNUMBER(Z111),Z111,0)</f>
        <v>0</v>
      </c>
      <c r="AJ111" s="98"/>
      <c r="AK111" s="98"/>
      <c r="AL111" s="98"/>
      <c r="AM111" s="99"/>
      <c r="AN111" s="97">
        <v>0</v>
      </c>
      <c r="AO111" s="98"/>
      <c r="AP111" s="98"/>
      <c r="AQ111" s="98"/>
      <c r="AR111" s="99"/>
      <c r="AS111" s="97">
        <v>0</v>
      </c>
      <c r="AT111" s="98"/>
      <c r="AU111" s="98"/>
      <c r="AV111" s="98"/>
      <c r="AW111" s="99"/>
      <c r="AX111" s="97">
        <v>0</v>
      </c>
      <c r="AY111" s="98"/>
      <c r="AZ111" s="98"/>
      <c r="BA111" s="99"/>
      <c r="BB111" s="97">
        <f>IF(ISNUMBER(AN111),AN111,0)+IF(ISNUMBER(AS111),AS111,0)</f>
        <v>0</v>
      </c>
      <c r="BC111" s="98"/>
      <c r="BD111" s="98"/>
      <c r="BE111" s="98"/>
      <c r="BF111" s="99"/>
      <c r="BG111" s="97">
        <v>0</v>
      </c>
      <c r="BH111" s="98"/>
      <c r="BI111" s="98"/>
      <c r="BJ111" s="98"/>
      <c r="BK111" s="99"/>
      <c r="BL111" s="97">
        <v>0</v>
      </c>
      <c r="BM111" s="98"/>
      <c r="BN111" s="98"/>
      <c r="BO111" s="98"/>
      <c r="BP111" s="99"/>
      <c r="BQ111" s="97">
        <v>0</v>
      </c>
      <c r="BR111" s="98"/>
      <c r="BS111" s="98"/>
      <c r="BT111" s="99"/>
      <c r="BU111" s="97">
        <f>IF(ISNUMBER(BG111),BG111,0)+IF(ISNUMBER(BL111),BL111,0)</f>
        <v>0</v>
      </c>
      <c r="BV111" s="98"/>
      <c r="BW111" s="98"/>
      <c r="BX111" s="98"/>
      <c r="BY111" s="99"/>
    </row>
    <row r="112" spans="1:79" s="100" customFormat="1" ht="25.5" customHeight="1" x14ac:dyDescent="0.2">
      <c r="A112" s="90">
        <v>9</v>
      </c>
      <c r="B112" s="91"/>
      <c r="C112" s="91"/>
      <c r="D112" s="93" t="s">
        <v>192</v>
      </c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5"/>
      <c r="U112" s="97">
        <v>278480</v>
      </c>
      <c r="V112" s="98"/>
      <c r="W112" s="98"/>
      <c r="X112" s="98"/>
      <c r="Y112" s="99"/>
      <c r="Z112" s="97">
        <v>0</v>
      </c>
      <c r="AA112" s="98"/>
      <c r="AB112" s="98"/>
      <c r="AC112" s="98"/>
      <c r="AD112" s="99"/>
      <c r="AE112" s="97">
        <v>0</v>
      </c>
      <c r="AF112" s="98"/>
      <c r="AG112" s="98"/>
      <c r="AH112" s="99"/>
      <c r="AI112" s="97">
        <f>IF(ISNUMBER(U112),U112,0)+IF(ISNUMBER(Z112),Z112,0)</f>
        <v>278480</v>
      </c>
      <c r="AJ112" s="98"/>
      <c r="AK112" s="98"/>
      <c r="AL112" s="98"/>
      <c r="AM112" s="99"/>
      <c r="AN112" s="97">
        <v>0</v>
      </c>
      <c r="AO112" s="98"/>
      <c r="AP112" s="98"/>
      <c r="AQ112" s="98"/>
      <c r="AR112" s="99"/>
      <c r="AS112" s="97">
        <v>0</v>
      </c>
      <c r="AT112" s="98"/>
      <c r="AU112" s="98"/>
      <c r="AV112" s="98"/>
      <c r="AW112" s="99"/>
      <c r="AX112" s="97">
        <v>0</v>
      </c>
      <c r="AY112" s="98"/>
      <c r="AZ112" s="98"/>
      <c r="BA112" s="99"/>
      <c r="BB112" s="97">
        <f>IF(ISNUMBER(AN112),AN112,0)+IF(ISNUMBER(AS112),AS112,0)</f>
        <v>0</v>
      </c>
      <c r="BC112" s="98"/>
      <c r="BD112" s="98"/>
      <c r="BE112" s="98"/>
      <c r="BF112" s="99"/>
      <c r="BG112" s="97">
        <v>0</v>
      </c>
      <c r="BH112" s="98"/>
      <c r="BI112" s="98"/>
      <c r="BJ112" s="98"/>
      <c r="BK112" s="99"/>
      <c r="BL112" s="97">
        <v>0</v>
      </c>
      <c r="BM112" s="98"/>
      <c r="BN112" s="98"/>
      <c r="BO112" s="98"/>
      <c r="BP112" s="99"/>
      <c r="BQ112" s="97">
        <v>0</v>
      </c>
      <c r="BR112" s="98"/>
      <c r="BS112" s="98"/>
      <c r="BT112" s="99"/>
      <c r="BU112" s="97">
        <f>IF(ISNUMBER(BG112),BG112,0)+IF(ISNUMBER(BL112),BL112,0)</f>
        <v>0</v>
      </c>
      <c r="BV112" s="98"/>
      <c r="BW112" s="98"/>
      <c r="BX112" s="98"/>
      <c r="BY112" s="99"/>
    </row>
    <row r="113" spans="1:77" s="100" customFormat="1" ht="12.75" customHeight="1" x14ac:dyDescent="0.2">
      <c r="A113" s="90">
        <v>10</v>
      </c>
      <c r="B113" s="91"/>
      <c r="C113" s="91"/>
      <c r="D113" s="93" t="s">
        <v>193</v>
      </c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5"/>
      <c r="U113" s="97">
        <v>993907</v>
      </c>
      <c r="V113" s="98"/>
      <c r="W113" s="98"/>
      <c r="X113" s="98"/>
      <c r="Y113" s="99"/>
      <c r="Z113" s="97">
        <v>0</v>
      </c>
      <c r="AA113" s="98"/>
      <c r="AB113" s="98"/>
      <c r="AC113" s="98"/>
      <c r="AD113" s="99"/>
      <c r="AE113" s="97">
        <v>0</v>
      </c>
      <c r="AF113" s="98"/>
      <c r="AG113" s="98"/>
      <c r="AH113" s="99"/>
      <c r="AI113" s="97">
        <f>IF(ISNUMBER(U113),U113,0)+IF(ISNUMBER(Z113),Z113,0)</f>
        <v>993907</v>
      </c>
      <c r="AJ113" s="98"/>
      <c r="AK113" s="98"/>
      <c r="AL113" s="98"/>
      <c r="AM113" s="99"/>
      <c r="AN113" s="97">
        <v>1200000</v>
      </c>
      <c r="AO113" s="98"/>
      <c r="AP113" s="98"/>
      <c r="AQ113" s="98"/>
      <c r="AR113" s="99"/>
      <c r="AS113" s="97">
        <v>0</v>
      </c>
      <c r="AT113" s="98"/>
      <c r="AU113" s="98"/>
      <c r="AV113" s="98"/>
      <c r="AW113" s="99"/>
      <c r="AX113" s="97">
        <v>0</v>
      </c>
      <c r="AY113" s="98"/>
      <c r="AZ113" s="98"/>
      <c r="BA113" s="99"/>
      <c r="BB113" s="97">
        <f>IF(ISNUMBER(AN113),AN113,0)+IF(ISNUMBER(AS113),AS113,0)</f>
        <v>1200000</v>
      </c>
      <c r="BC113" s="98"/>
      <c r="BD113" s="98"/>
      <c r="BE113" s="98"/>
      <c r="BF113" s="99"/>
      <c r="BG113" s="97">
        <v>0</v>
      </c>
      <c r="BH113" s="98"/>
      <c r="BI113" s="98"/>
      <c r="BJ113" s="98"/>
      <c r="BK113" s="99"/>
      <c r="BL113" s="97">
        <v>0</v>
      </c>
      <c r="BM113" s="98"/>
      <c r="BN113" s="98"/>
      <c r="BO113" s="98"/>
      <c r="BP113" s="99"/>
      <c r="BQ113" s="97">
        <v>0</v>
      </c>
      <c r="BR113" s="98"/>
      <c r="BS113" s="98"/>
      <c r="BT113" s="99"/>
      <c r="BU113" s="97">
        <f>IF(ISNUMBER(BG113),BG113,0)+IF(ISNUMBER(BL113),BL113,0)</f>
        <v>0</v>
      </c>
      <c r="BV113" s="98"/>
      <c r="BW113" s="98"/>
      <c r="BX113" s="98"/>
      <c r="BY113" s="99"/>
    </row>
    <row r="114" spans="1:77" s="100" customFormat="1" ht="25.5" customHeight="1" x14ac:dyDescent="0.2">
      <c r="A114" s="90">
        <v>11</v>
      </c>
      <c r="B114" s="91"/>
      <c r="C114" s="91"/>
      <c r="D114" s="93" t="s">
        <v>194</v>
      </c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5"/>
      <c r="U114" s="97">
        <v>0</v>
      </c>
      <c r="V114" s="98"/>
      <c r="W114" s="98"/>
      <c r="X114" s="98"/>
      <c r="Y114" s="99"/>
      <c r="Z114" s="97">
        <v>0</v>
      </c>
      <c r="AA114" s="98"/>
      <c r="AB114" s="98"/>
      <c r="AC114" s="98"/>
      <c r="AD114" s="99"/>
      <c r="AE114" s="97">
        <v>0</v>
      </c>
      <c r="AF114" s="98"/>
      <c r="AG114" s="98"/>
      <c r="AH114" s="99"/>
      <c r="AI114" s="97">
        <f>IF(ISNUMBER(U114),U114,0)+IF(ISNUMBER(Z114),Z114,0)</f>
        <v>0</v>
      </c>
      <c r="AJ114" s="98"/>
      <c r="AK114" s="98"/>
      <c r="AL114" s="98"/>
      <c r="AM114" s="99"/>
      <c r="AN114" s="97">
        <v>0</v>
      </c>
      <c r="AO114" s="98"/>
      <c r="AP114" s="98"/>
      <c r="AQ114" s="98"/>
      <c r="AR114" s="99"/>
      <c r="AS114" s="97">
        <v>0</v>
      </c>
      <c r="AT114" s="98"/>
      <c r="AU114" s="98"/>
      <c r="AV114" s="98"/>
      <c r="AW114" s="99"/>
      <c r="AX114" s="97">
        <v>0</v>
      </c>
      <c r="AY114" s="98"/>
      <c r="AZ114" s="98"/>
      <c r="BA114" s="99"/>
      <c r="BB114" s="97">
        <f>IF(ISNUMBER(AN114),AN114,0)+IF(ISNUMBER(AS114),AS114,0)</f>
        <v>0</v>
      </c>
      <c r="BC114" s="98"/>
      <c r="BD114" s="98"/>
      <c r="BE114" s="98"/>
      <c r="BF114" s="99"/>
      <c r="BG114" s="97">
        <v>0</v>
      </c>
      <c r="BH114" s="98"/>
      <c r="BI114" s="98"/>
      <c r="BJ114" s="98"/>
      <c r="BK114" s="99"/>
      <c r="BL114" s="97">
        <v>0</v>
      </c>
      <c r="BM114" s="98"/>
      <c r="BN114" s="98"/>
      <c r="BO114" s="98"/>
      <c r="BP114" s="99"/>
      <c r="BQ114" s="97">
        <v>0</v>
      </c>
      <c r="BR114" s="98"/>
      <c r="BS114" s="98"/>
      <c r="BT114" s="99"/>
      <c r="BU114" s="97">
        <f>IF(ISNUMBER(BG114),BG114,0)+IF(ISNUMBER(BL114),BL114,0)</f>
        <v>0</v>
      </c>
      <c r="BV114" s="98"/>
      <c r="BW114" s="98"/>
      <c r="BX114" s="98"/>
      <c r="BY114" s="99"/>
    </row>
    <row r="115" spans="1:77" s="100" customFormat="1" ht="25.5" customHeight="1" x14ac:dyDescent="0.2">
      <c r="A115" s="90">
        <v>12</v>
      </c>
      <c r="B115" s="91"/>
      <c r="C115" s="91"/>
      <c r="D115" s="93" t="s">
        <v>195</v>
      </c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5"/>
      <c r="U115" s="97">
        <v>0</v>
      </c>
      <c r="V115" s="98"/>
      <c r="W115" s="98"/>
      <c r="X115" s="98"/>
      <c r="Y115" s="99"/>
      <c r="Z115" s="97">
        <v>0</v>
      </c>
      <c r="AA115" s="98"/>
      <c r="AB115" s="98"/>
      <c r="AC115" s="98"/>
      <c r="AD115" s="99"/>
      <c r="AE115" s="97">
        <v>0</v>
      </c>
      <c r="AF115" s="98"/>
      <c r="AG115" s="98"/>
      <c r="AH115" s="99"/>
      <c r="AI115" s="97">
        <f>IF(ISNUMBER(U115),U115,0)+IF(ISNUMBER(Z115),Z115,0)</f>
        <v>0</v>
      </c>
      <c r="AJ115" s="98"/>
      <c r="AK115" s="98"/>
      <c r="AL115" s="98"/>
      <c r="AM115" s="99"/>
      <c r="AN115" s="97">
        <v>0</v>
      </c>
      <c r="AO115" s="98"/>
      <c r="AP115" s="98"/>
      <c r="AQ115" s="98"/>
      <c r="AR115" s="99"/>
      <c r="AS115" s="97">
        <v>0</v>
      </c>
      <c r="AT115" s="98"/>
      <c r="AU115" s="98"/>
      <c r="AV115" s="98"/>
      <c r="AW115" s="99"/>
      <c r="AX115" s="97">
        <v>0</v>
      </c>
      <c r="AY115" s="98"/>
      <c r="AZ115" s="98"/>
      <c r="BA115" s="99"/>
      <c r="BB115" s="97">
        <f>IF(ISNUMBER(AN115),AN115,0)+IF(ISNUMBER(AS115),AS115,0)</f>
        <v>0</v>
      </c>
      <c r="BC115" s="98"/>
      <c r="BD115" s="98"/>
      <c r="BE115" s="98"/>
      <c r="BF115" s="99"/>
      <c r="BG115" s="97">
        <v>0</v>
      </c>
      <c r="BH115" s="98"/>
      <c r="BI115" s="98"/>
      <c r="BJ115" s="98"/>
      <c r="BK115" s="99"/>
      <c r="BL115" s="97">
        <v>0</v>
      </c>
      <c r="BM115" s="98"/>
      <c r="BN115" s="98"/>
      <c r="BO115" s="98"/>
      <c r="BP115" s="99"/>
      <c r="BQ115" s="97">
        <v>0</v>
      </c>
      <c r="BR115" s="98"/>
      <c r="BS115" s="98"/>
      <c r="BT115" s="99"/>
      <c r="BU115" s="97">
        <f>IF(ISNUMBER(BG115),BG115,0)+IF(ISNUMBER(BL115),BL115,0)</f>
        <v>0</v>
      </c>
      <c r="BV115" s="98"/>
      <c r="BW115" s="98"/>
      <c r="BX115" s="98"/>
      <c r="BY115" s="99"/>
    </row>
    <row r="116" spans="1:77" s="100" customFormat="1" ht="38.25" customHeight="1" x14ac:dyDescent="0.2">
      <c r="A116" s="90">
        <v>13</v>
      </c>
      <c r="B116" s="91"/>
      <c r="C116" s="91"/>
      <c r="D116" s="93" t="s">
        <v>196</v>
      </c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5"/>
      <c r="U116" s="97">
        <v>97163</v>
      </c>
      <c r="V116" s="98"/>
      <c r="W116" s="98"/>
      <c r="X116" s="98"/>
      <c r="Y116" s="99"/>
      <c r="Z116" s="97">
        <v>0</v>
      </c>
      <c r="AA116" s="98"/>
      <c r="AB116" s="98"/>
      <c r="AC116" s="98"/>
      <c r="AD116" s="99"/>
      <c r="AE116" s="97">
        <v>0</v>
      </c>
      <c r="AF116" s="98"/>
      <c r="AG116" s="98"/>
      <c r="AH116" s="99"/>
      <c r="AI116" s="97">
        <f>IF(ISNUMBER(U116),U116,0)+IF(ISNUMBER(Z116),Z116,0)</f>
        <v>97163</v>
      </c>
      <c r="AJ116" s="98"/>
      <c r="AK116" s="98"/>
      <c r="AL116" s="98"/>
      <c r="AM116" s="99"/>
      <c r="AN116" s="97">
        <v>0</v>
      </c>
      <c r="AO116" s="98"/>
      <c r="AP116" s="98"/>
      <c r="AQ116" s="98"/>
      <c r="AR116" s="99"/>
      <c r="AS116" s="97">
        <v>0</v>
      </c>
      <c r="AT116" s="98"/>
      <c r="AU116" s="98"/>
      <c r="AV116" s="98"/>
      <c r="AW116" s="99"/>
      <c r="AX116" s="97">
        <v>0</v>
      </c>
      <c r="AY116" s="98"/>
      <c r="AZ116" s="98"/>
      <c r="BA116" s="99"/>
      <c r="BB116" s="97">
        <f>IF(ISNUMBER(AN116),AN116,0)+IF(ISNUMBER(AS116),AS116,0)</f>
        <v>0</v>
      </c>
      <c r="BC116" s="98"/>
      <c r="BD116" s="98"/>
      <c r="BE116" s="98"/>
      <c r="BF116" s="99"/>
      <c r="BG116" s="97">
        <v>0</v>
      </c>
      <c r="BH116" s="98"/>
      <c r="BI116" s="98"/>
      <c r="BJ116" s="98"/>
      <c r="BK116" s="99"/>
      <c r="BL116" s="97">
        <v>0</v>
      </c>
      <c r="BM116" s="98"/>
      <c r="BN116" s="98"/>
      <c r="BO116" s="98"/>
      <c r="BP116" s="99"/>
      <c r="BQ116" s="97">
        <v>0</v>
      </c>
      <c r="BR116" s="98"/>
      <c r="BS116" s="98"/>
      <c r="BT116" s="99"/>
      <c r="BU116" s="97">
        <f>IF(ISNUMBER(BG116),BG116,0)+IF(ISNUMBER(BL116),BL116,0)</f>
        <v>0</v>
      </c>
      <c r="BV116" s="98"/>
      <c r="BW116" s="98"/>
      <c r="BX116" s="98"/>
      <c r="BY116" s="99"/>
    </row>
    <row r="117" spans="1:77" s="100" customFormat="1" ht="38.25" customHeight="1" x14ac:dyDescent="0.2">
      <c r="A117" s="90">
        <v>14</v>
      </c>
      <c r="B117" s="91"/>
      <c r="C117" s="91"/>
      <c r="D117" s="93" t="s">
        <v>197</v>
      </c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5"/>
      <c r="U117" s="97">
        <v>389800</v>
      </c>
      <c r="V117" s="98"/>
      <c r="W117" s="98"/>
      <c r="X117" s="98"/>
      <c r="Y117" s="99"/>
      <c r="Z117" s="97">
        <v>0</v>
      </c>
      <c r="AA117" s="98"/>
      <c r="AB117" s="98"/>
      <c r="AC117" s="98"/>
      <c r="AD117" s="99"/>
      <c r="AE117" s="97">
        <v>0</v>
      </c>
      <c r="AF117" s="98"/>
      <c r="AG117" s="98"/>
      <c r="AH117" s="99"/>
      <c r="AI117" s="97">
        <f>IF(ISNUMBER(U117),U117,0)+IF(ISNUMBER(Z117),Z117,0)</f>
        <v>389800</v>
      </c>
      <c r="AJ117" s="98"/>
      <c r="AK117" s="98"/>
      <c r="AL117" s="98"/>
      <c r="AM117" s="99"/>
      <c r="AN117" s="97">
        <v>0</v>
      </c>
      <c r="AO117" s="98"/>
      <c r="AP117" s="98"/>
      <c r="AQ117" s="98"/>
      <c r="AR117" s="99"/>
      <c r="AS117" s="97">
        <v>0</v>
      </c>
      <c r="AT117" s="98"/>
      <c r="AU117" s="98"/>
      <c r="AV117" s="98"/>
      <c r="AW117" s="99"/>
      <c r="AX117" s="97">
        <v>0</v>
      </c>
      <c r="AY117" s="98"/>
      <c r="AZ117" s="98"/>
      <c r="BA117" s="99"/>
      <c r="BB117" s="97">
        <f>IF(ISNUMBER(AN117),AN117,0)+IF(ISNUMBER(AS117),AS117,0)</f>
        <v>0</v>
      </c>
      <c r="BC117" s="98"/>
      <c r="BD117" s="98"/>
      <c r="BE117" s="98"/>
      <c r="BF117" s="99"/>
      <c r="BG117" s="97">
        <v>0</v>
      </c>
      <c r="BH117" s="98"/>
      <c r="BI117" s="98"/>
      <c r="BJ117" s="98"/>
      <c r="BK117" s="99"/>
      <c r="BL117" s="97">
        <v>0</v>
      </c>
      <c r="BM117" s="98"/>
      <c r="BN117" s="98"/>
      <c r="BO117" s="98"/>
      <c r="BP117" s="99"/>
      <c r="BQ117" s="97">
        <v>0</v>
      </c>
      <c r="BR117" s="98"/>
      <c r="BS117" s="98"/>
      <c r="BT117" s="99"/>
      <c r="BU117" s="97">
        <f>IF(ISNUMBER(BG117),BG117,0)+IF(ISNUMBER(BL117),BL117,0)</f>
        <v>0</v>
      </c>
      <c r="BV117" s="98"/>
      <c r="BW117" s="98"/>
      <c r="BX117" s="98"/>
      <c r="BY117" s="99"/>
    </row>
    <row r="118" spans="1:77" s="100" customFormat="1" ht="25.5" customHeight="1" x14ac:dyDescent="0.2">
      <c r="A118" s="90">
        <v>15</v>
      </c>
      <c r="B118" s="91"/>
      <c r="C118" s="91"/>
      <c r="D118" s="93" t="s">
        <v>198</v>
      </c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5"/>
      <c r="U118" s="97">
        <v>88967</v>
      </c>
      <c r="V118" s="98"/>
      <c r="W118" s="98"/>
      <c r="X118" s="98"/>
      <c r="Y118" s="99"/>
      <c r="Z118" s="97">
        <v>0</v>
      </c>
      <c r="AA118" s="98"/>
      <c r="AB118" s="98"/>
      <c r="AC118" s="98"/>
      <c r="AD118" s="99"/>
      <c r="AE118" s="97">
        <v>0</v>
      </c>
      <c r="AF118" s="98"/>
      <c r="AG118" s="98"/>
      <c r="AH118" s="99"/>
      <c r="AI118" s="97">
        <f>IF(ISNUMBER(U118),U118,0)+IF(ISNUMBER(Z118),Z118,0)</f>
        <v>88967</v>
      </c>
      <c r="AJ118" s="98"/>
      <c r="AK118" s="98"/>
      <c r="AL118" s="98"/>
      <c r="AM118" s="99"/>
      <c r="AN118" s="97">
        <v>199000</v>
      </c>
      <c r="AO118" s="98"/>
      <c r="AP118" s="98"/>
      <c r="AQ118" s="98"/>
      <c r="AR118" s="99"/>
      <c r="AS118" s="97">
        <v>0</v>
      </c>
      <c r="AT118" s="98"/>
      <c r="AU118" s="98"/>
      <c r="AV118" s="98"/>
      <c r="AW118" s="99"/>
      <c r="AX118" s="97">
        <v>0</v>
      </c>
      <c r="AY118" s="98"/>
      <c r="AZ118" s="98"/>
      <c r="BA118" s="99"/>
      <c r="BB118" s="97">
        <f>IF(ISNUMBER(AN118),AN118,0)+IF(ISNUMBER(AS118),AS118,0)</f>
        <v>199000</v>
      </c>
      <c r="BC118" s="98"/>
      <c r="BD118" s="98"/>
      <c r="BE118" s="98"/>
      <c r="BF118" s="99"/>
      <c r="BG118" s="97">
        <v>0</v>
      </c>
      <c r="BH118" s="98"/>
      <c r="BI118" s="98"/>
      <c r="BJ118" s="98"/>
      <c r="BK118" s="99"/>
      <c r="BL118" s="97">
        <v>0</v>
      </c>
      <c r="BM118" s="98"/>
      <c r="BN118" s="98"/>
      <c r="BO118" s="98"/>
      <c r="BP118" s="99"/>
      <c r="BQ118" s="97">
        <v>0</v>
      </c>
      <c r="BR118" s="98"/>
      <c r="BS118" s="98"/>
      <c r="BT118" s="99"/>
      <c r="BU118" s="97">
        <f>IF(ISNUMBER(BG118),BG118,0)+IF(ISNUMBER(BL118),BL118,0)</f>
        <v>0</v>
      </c>
      <c r="BV118" s="98"/>
      <c r="BW118" s="98"/>
      <c r="BX118" s="98"/>
      <c r="BY118" s="99"/>
    </row>
    <row r="119" spans="1:77" s="100" customFormat="1" ht="25.5" customHeight="1" x14ac:dyDescent="0.2">
      <c r="A119" s="90">
        <v>16</v>
      </c>
      <c r="B119" s="91"/>
      <c r="C119" s="91"/>
      <c r="D119" s="93" t="s">
        <v>199</v>
      </c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5"/>
      <c r="U119" s="97">
        <v>1799892</v>
      </c>
      <c r="V119" s="98"/>
      <c r="W119" s="98"/>
      <c r="X119" s="98"/>
      <c r="Y119" s="99"/>
      <c r="Z119" s="97">
        <v>0</v>
      </c>
      <c r="AA119" s="98"/>
      <c r="AB119" s="98"/>
      <c r="AC119" s="98"/>
      <c r="AD119" s="99"/>
      <c r="AE119" s="97">
        <v>0</v>
      </c>
      <c r="AF119" s="98"/>
      <c r="AG119" s="98"/>
      <c r="AH119" s="99"/>
      <c r="AI119" s="97">
        <f>IF(ISNUMBER(U119),U119,0)+IF(ISNUMBER(Z119),Z119,0)</f>
        <v>1799892</v>
      </c>
      <c r="AJ119" s="98"/>
      <c r="AK119" s="98"/>
      <c r="AL119" s="98"/>
      <c r="AM119" s="99"/>
      <c r="AN119" s="97">
        <v>4000000</v>
      </c>
      <c r="AO119" s="98"/>
      <c r="AP119" s="98"/>
      <c r="AQ119" s="98"/>
      <c r="AR119" s="99"/>
      <c r="AS119" s="97">
        <v>0</v>
      </c>
      <c r="AT119" s="98"/>
      <c r="AU119" s="98"/>
      <c r="AV119" s="98"/>
      <c r="AW119" s="99"/>
      <c r="AX119" s="97">
        <v>0</v>
      </c>
      <c r="AY119" s="98"/>
      <c r="AZ119" s="98"/>
      <c r="BA119" s="99"/>
      <c r="BB119" s="97">
        <f>IF(ISNUMBER(AN119),AN119,0)+IF(ISNUMBER(AS119),AS119,0)</f>
        <v>4000000</v>
      </c>
      <c r="BC119" s="98"/>
      <c r="BD119" s="98"/>
      <c r="BE119" s="98"/>
      <c r="BF119" s="99"/>
      <c r="BG119" s="97">
        <v>0</v>
      </c>
      <c r="BH119" s="98"/>
      <c r="BI119" s="98"/>
      <c r="BJ119" s="98"/>
      <c r="BK119" s="99"/>
      <c r="BL119" s="97">
        <v>0</v>
      </c>
      <c r="BM119" s="98"/>
      <c r="BN119" s="98"/>
      <c r="BO119" s="98"/>
      <c r="BP119" s="99"/>
      <c r="BQ119" s="97">
        <v>0</v>
      </c>
      <c r="BR119" s="98"/>
      <c r="BS119" s="98"/>
      <c r="BT119" s="99"/>
      <c r="BU119" s="97">
        <f>IF(ISNUMBER(BG119),BG119,0)+IF(ISNUMBER(BL119),BL119,0)</f>
        <v>0</v>
      </c>
      <c r="BV119" s="98"/>
      <c r="BW119" s="98"/>
      <c r="BX119" s="98"/>
      <c r="BY119" s="99"/>
    </row>
    <row r="120" spans="1:77" s="100" customFormat="1" ht="12.75" customHeight="1" x14ac:dyDescent="0.2">
      <c r="A120" s="90">
        <v>17</v>
      </c>
      <c r="B120" s="91"/>
      <c r="C120" s="91"/>
      <c r="D120" s="93" t="s">
        <v>200</v>
      </c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5"/>
      <c r="U120" s="97">
        <v>2140000</v>
      </c>
      <c r="V120" s="98"/>
      <c r="W120" s="98"/>
      <c r="X120" s="98"/>
      <c r="Y120" s="99"/>
      <c r="Z120" s="97">
        <v>0</v>
      </c>
      <c r="AA120" s="98"/>
      <c r="AB120" s="98"/>
      <c r="AC120" s="98"/>
      <c r="AD120" s="99"/>
      <c r="AE120" s="97">
        <v>0</v>
      </c>
      <c r="AF120" s="98"/>
      <c r="AG120" s="98"/>
      <c r="AH120" s="99"/>
      <c r="AI120" s="97">
        <f>IF(ISNUMBER(U120),U120,0)+IF(ISNUMBER(Z120),Z120,0)</f>
        <v>2140000</v>
      </c>
      <c r="AJ120" s="98"/>
      <c r="AK120" s="98"/>
      <c r="AL120" s="98"/>
      <c r="AM120" s="99"/>
      <c r="AN120" s="97">
        <v>1950000</v>
      </c>
      <c r="AO120" s="98"/>
      <c r="AP120" s="98"/>
      <c r="AQ120" s="98"/>
      <c r="AR120" s="99"/>
      <c r="AS120" s="97">
        <v>0</v>
      </c>
      <c r="AT120" s="98"/>
      <c r="AU120" s="98"/>
      <c r="AV120" s="98"/>
      <c r="AW120" s="99"/>
      <c r="AX120" s="97">
        <v>0</v>
      </c>
      <c r="AY120" s="98"/>
      <c r="AZ120" s="98"/>
      <c r="BA120" s="99"/>
      <c r="BB120" s="97">
        <f>IF(ISNUMBER(AN120),AN120,0)+IF(ISNUMBER(AS120),AS120,0)</f>
        <v>1950000</v>
      </c>
      <c r="BC120" s="98"/>
      <c r="BD120" s="98"/>
      <c r="BE120" s="98"/>
      <c r="BF120" s="99"/>
      <c r="BG120" s="97">
        <v>0</v>
      </c>
      <c r="BH120" s="98"/>
      <c r="BI120" s="98"/>
      <c r="BJ120" s="98"/>
      <c r="BK120" s="99"/>
      <c r="BL120" s="97">
        <v>0</v>
      </c>
      <c r="BM120" s="98"/>
      <c r="BN120" s="98"/>
      <c r="BO120" s="98"/>
      <c r="BP120" s="99"/>
      <c r="BQ120" s="97">
        <v>0</v>
      </c>
      <c r="BR120" s="98"/>
      <c r="BS120" s="98"/>
      <c r="BT120" s="99"/>
      <c r="BU120" s="97">
        <f>IF(ISNUMBER(BG120),BG120,0)+IF(ISNUMBER(BL120),BL120,0)</f>
        <v>0</v>
      </c>
      <c r="BV120" s="98"/>
      <c r="BW120" s="98"/>
      <c r="BX120" s="98"/>
      <c r="BY120" s="99"/>
    </row>
    <row r="121" spans="1:77" s="100" customFormat="1" ht="12.75" customHeight="1" x14ac:dyDescent="0.2">
      <c r="A121" s="90">
        <v>18</v>
      </c>
      <c r="B121" s="91"/>
      <c r="C121" s="91"/>
      <c r="D121" s="93" t="s">
        <v>201</v>
      </c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5"/>
      <c r="U121" s="97">
        <v>10569</v>
      </c>
      <c r="V121" s="98"/>
      <c r="W121" s="98"/>
      <c r="X121" s="98"/>
      <c r="Y121" s="99"/>
      <c r="Z121" s="97">
        <v>0</v>
      </c>
      <c r="AA121" s="98"/>
      <c r="AB121" s="98"/>
      <c r="AC121" s="98"/>
      <c r="AD121" s="99"/>
      <c r="AE121" s="97">
        <v>0</v>
      </c>
      <c r="AF121" s="98"/>
      <c r="AG121" s="98"/>
      <c r="AH121" s="99"/>
      <c r="AI121" s="97">
        <f>IF(ISNUMBER(U121),U121,0)+IF(ISNUMBER(Z121),Z121,0)</f>
        <v>10569</v>
      </c>
      <c r="AJ121" s="98"/>
      <c r="AK121" s="98"/>
      <c r="AL121" s="98"/>
      <c r="AM121" s="99"/>
      <c r="AN121" s="97">
        <v>0</v>
      </c>
      <c r="AO121" s="98"/>
      <c r="AP121" s="98"/>
      <c r="AQ121" s="98"/>
      <c r="AR121" s="99"/>
      <c r="AS121" s="97">
        <v>0</v>
      </c>
      <c r="AT121" s="98"/>
      <c r="AU121" s="98"/>
      <c r="AV121" s="98"/>
      <c r="AW121" s="99"/>
      <c r="AX121" s="97">
        <v>0</v>
      </c>
      <c r="AY121" s="98"/>
      <c r="AZ121" s="98"/>
      <c r="BA121" s="99"/>
      <c r="BB121" s="97">
        <f>IF(ISNUMBER(AN121),AN121,0)+IF(ISNUMBER(AS121),AS121,0)</f>
        <v>0</v>
      </c>
      <c r="BC121" s="98"/>
      <c r="BD121" s="98"/>
      <c r="BE121" s="98"/>
      <c r="BF121" s="99"/>
      <c r="BG121" s="97">
        <v>0</v>
      </c>
      <c r="BH121" s="98"/>
      <c r="BI121" s="98"/>
      <c r="BJ121" s="98"/>
      <c r="BK121" s="99"/>
      <c r="BL121" s="97">
        <v>0</v>
      </c>
      <c r="BM121" s="98"/>
      <c r="BN121" s="98"/>
      <c r="BO121" s="98"/>
      <c r="BP121" s="99"/>
      <c r="BQ121" s="97">
        <v>0</v>
      </c>
      <c r="BR121" s="98"/>
      <c r="BS121" s="98"/>
      <c r="BT121" s="99"/>
      <c r="BU121" s="97">
        <f>IF(ISNUMBER(BG121),BG121,0)+IF(ISNUMBER(BL121),BL121,0)</f>
        <v>0</v>
      </c>
      <c r="BV121" s="98"/>
      <c r="BW121" s="98"/>
      <c r="BX121" s="98"/>
      <c r="BY121" s="99"/>
    </row>
    <row r="122" spans="1:77" s="100" customFormat="1" ht="38.25" customHeight="1" x14ac:dyDescent="0.2">
      <c r="A122" s="90">
        <v>19</v>
      </c>
      <c r="B122" s="91"/>
      <c r="C122" s="91"/>
      <c r="D122" s="93" t="s">
        <v>202</v>
      </c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5"/>
      <c r="U122" s="97">
        <v>2624208</v>
      </c>
      <c r="V122" s="98"/>
      <c r="W122" s="98"/>
      <c r="X122" s="98"/>
      <c r="Y122" s="99"/>
      <c r="Z122" s="97">
        <v>0</v>
      </c>
      <c r="AA122" s="98"/>
      <c r="AB122" s="98"/>
      <c r="AC122" s="98"/>
      <c r="AD122" s="99"/>
      <c r="AE122" s="97">
        <v>0</v>
      </c>
      <c r="AF122" s="98"/>
      <c r="AG122" s="98"/>
      <c r="AH122" s="99"/>
      <c r="AI122" s="97">
        <f>IF(ISNUMBER(U122),U122,0)+IF(ISNUMBER(Z122),Z122,0)</f>
        <v>2624208</v>
      </c>
      <c r="AJ122" s="98"/>
      <c r="AK122" s="98"/>
      <c r="AL122" s="98"/>
      <c r="AM122" s="99"/>
      <c r="AN122" s="97">
        <v>2637396</v>
      </c>
      <c r="AO122" s="98"/>
      <c r="AP122" s="98"/>
      <c r="AQ122" s="98"/>
      <c r="AR122" s="99"/>
      <c r="AS122" s="97">
        <v>0</v>
      </c>
      <c r="AT122" s="98"/>
      <c r="AU122" s="98"/>
      <c r="AV122" s="98"/>
      <c r="AW122" s="99"/>
      <c r="AX122" s="97">
        <v>0</v>
      </c>
      <c r="AY122" s="98"/>
      <c r="AZ122" s="98"/>
      <c r="BA122" s="99"/>
      <c r="BB122" s="97">
        <f>IF(ISNUMBER(AN122),AN122,0)+IF(ISNUMBER(AS122),AS122,0)</f>
        <v>2637396</v>
      </c>
      <c r="BC122" s="98"/>
      <c r="BD122" s="98"/>
      <c r="BE122" s="98"/>
      <c r="BF122" s="99"/>
      <c r="BG122" s="97">
        <v>0</v>
      </c>
      <c r="BH122" s="98"/>
      <c r="BI122" s="98"/>
      <c r="BJ122" s="98"/>
      <c r="BK122" s="99"/>
      <c r="BL122" s="97">
        <v>0</v>
      </c>
      <c r="BM122" s="98"/>
      <c r="BN122" s="98"/>
      <c r="BO122" s="98"/>
      <c r="BP122" s="99"/>
      <c r="BQ122" s="97">
        <v>0</v>
      </c>
      <c r="BR122" s="98"/>
      <c r="BS122" s="98"/>
      <c r="BT122" s="99"/>
      <c r="BU122" s="97">
        <f>IF(ISNUMBER(BG122),BG122,0)+IF(ISNUMBER(BL122),BL122,0)</f>
        <v>0</v>
      </c>
      <c r="BV122" s="98"/>
      <c r="BW122" s="98"/>
      <c r="BX122" s="98"/>
      <c r="BY122" s="99"/>
    </row>
    <row r="123" spans="1:77" s="100" customFormat="1" ht="25.5" customHeight="1" x14ac:dyDescent="0.2">
      <c r="A123" s="90">
        <v>20</v>
      </c>
      <c r="B123" s="91"/>
      <c r="C123" s="91"/>
      <c r="D123" s="93" t="s">
        <v>203</v>
      </c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5"/>
      <c r="U123" s="97">
        <v>0</v>
      </c>
      <c r="V123" s="98"/>
      <c r="W123" s="98"/>
      <c r="X123" s="98"/>
      <c r="Y123" s="99"/>
      <c r="Z123" s="97">
        <v>0</v>
      </c>
      <c r="AA123" s="98"/>
      <c r="AB123" s="98"/>
      <c r="AC123" s="98"/>
      <c r="AD123" s="99"/>
      <c r="AE123" s="97">
        <v>0</v>
      </c>
      <c r="AF123" s="98"/>
      <c r="AG123" s="98"/>
      <c r="AH123" s="99"/>
      <c r="AI123" s="97">
        <f>IF(ISNUMBER(U123),U123,0)+IF(ISNUMBER(Z123),Z123,0)</f>
        <v>0</v>
      </c>
      <c r="AJ123" s="98"/>
      <c r="AK123" s="98"/>
      <c r="AL123" s="98"/>
      <c r="AM123" s="99"/>
      <c r="AN123" s="97">
        <v>0</v>
      </c>
      <c r="AO123" s="98"/>
      <c r="AP123" s="98"/>
      <c r="AQ123" s="98"/>
      <c r="AR123" s="99"/>
      <c r="AS123" s="97">
        <v>0</v>
      </c>
      <c r="AT123" s="98"/>
      <c r="AU123" s="98"/>
      <c r="AV123" s="98"/>
      <c r="AW123" s="99"/>
      <c r="AX123" s="97">
        <v>0</v>
      </c>
      <c r="AY123" s="98"/>
      <c r="AZ123" s="98"/>
      <c r="BA123" s="99"/>
      <c r="BB123" s="97">
        <f>IF(ISNUMBER(AN123),AN123,0)+IF(ISNUMBER(AS123),AS123,0)</f>
        <v>0</v>
      </c>
      <c r="BC123" s="98"/>
      <c r="BD123" s="98"/>
      <c r="BE123" s="98"/>
      <c r="BF123" s="99"/>
      <c r="BG123" s="97">
        <v>0</v>
      </c>
      <c r="BH123" s="98"/>
      <c r="BI123" s="98"/>
      <c r="BJ123" s="98"/>
      <c r="BK123" s="99"/>
      <c r="BL123" s="97">
        <v>0</v>
      </c>
      <c r="BM123" s="98"/>
      <c r="BN123" s="98"/>
      <c r="BO123" s="98"/>
      <c r="BP123" s="99"/>
      <c r="BQ123" s="97">
        <v>0</v>
      </c>
      <c r="BR123" s="98"/>
      <c r="BS123" s="98"/>
      <c r="BT123" s="99"/>
      <c r="BU123" s="97">
        <f>IF(ISNUMBER(BG123),BG123,0)+IF(ISNUMBER(BL123),BL123,0)</f>
        <v>0</v>
      </c>
      <c r="BV123" s="98"/>
      <c r="BW123" s="98"/>
      <c r="BX123" s="98"/>
      <c r="BY123" s="99"/>
    </row>
    <row r="124" spans="1:77" s="100" customFormat="1" ht="38.25" customHeight="1" x14ac:dyDescent="0.2">
      <c r="A124" s="90">
        <v>21</v>
      </c>
      <c r="B124" s="91"/>
      <c r="C124" s="91"/>
      <c r="D124" s="93" t="s">
        <v>204</v>
      </c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5"/>
      <c r="U124" s="97">
        <v>0</v>
      </c>
      <c r="V124" s="98"/>
      <c r="W124" s="98"/>
      <c r="X124" s="98"/>
      <c r="Y124" s="99"/>
      <c r="Z124" s="97">
        <v>0</v>
      </c>
      <c r="AA124" s="98"/>
      <c r="AB124" s="98"/>
      <c r="AC124" s="98"/>
      <c r="AD124" s="99"/>
      <c r="AE124" s="97">
        <v>0</v>
      </c>
      <c r="AF124" s="98"/>
      <c r="AG124" s="98"/>
      <c r="AH124" s="99"/>
      <c r="AI124" s="97">
        <f>IF(ISNUMBER(U124),U124,0)+IF(ISNUMBER(Z124),Z124,0)</f>
        <v>0</v>
      </c>
      <c r="AJ124" s="98"/>
      <c r="AK124" s="98"/>
      <c r="AL124" s="98"/>
      <c r="AM124" s="99"/>
      <c r="AN124" s="97">
        <v>0</v>
      </c>
      <c r="AO124" s="98"/>
      <c r="AP124" s="98"/>
      <c r="AQ124" s="98"/>
      <c r="AR124" s="99"/>
      <c r="AS124" s="97">
        <v>0</v>
      </c>
      <c r="AT124" s="98"/>
      <c r="AU124" s="98"/>
      <c r="AV124" s="98"/>
      <c r="AW124" s="99"/>
      <c r="AX124" s="97">
        <v>0</v>
      </c>
      <c r="AY124" s="98"/>
      <c r="AZ124" s="98"/>
      <c r="BA124" s="99"/>
      <c r="BB124" s="97">
        <f>IF(ISNUMBER(AN124),AN124,0)+IF(ISNUMBER(AS124),AS124,0)</f>
        <v>0</v>
      </c>
      <c r="BC124" s="98"/>
      <c r="BD124" s="98"/>
      <c r="BE124" s="98"/>
      <c r="BF124" s="99"/>
      <c r="BG124" s="97">
        <v>0</v>
      </c>
      <c r="BH124" s="98"/>
      <c r="BI124" s="98"/>
      <c r="BJ124" s="98"/>
      <c r="BK124" s="99"/>
      <c r="BL124" s="97">
        <v>0</v>
      </c>
      <c r="BM124" s="98"/>
      <c r="BN124" s="98"/>
      <c r="BO124" s="98"/>
      <c r="BP124" s="99"/>
      <c r="BQ124" s="97">
        <v>0</v>
      </c>
      <c r="BR124" s="98"/>
      <c r="BS124" s="98"/>
      <c r="BT124" s="99"/>
      <c r="BU124" s="97">
        <f>IF(ISNUMBER(BG124),BG124,0)+IF(ISNUMBER(BL124),BL124,0)</f>
        <v>0</v>
      </c>
      <c r="BV124" s="98"/>
      <c r="BW124" s="98"/>
      <c r="BX124" s="98"/>
      <c r="BY124" s="99"/>
    </row>
    <row r="125" spans="1:77" s="100" customFormat="1" ht="25.5" customHeight="1" x14ac:dyDescent="0.2">
      <c r="A125" s="90">
        <v>22</v>
      </c>
      <c r="B125" s="91"/>
      <c r="C125" s="91"/>
      <c r="D125" s="93" t="s">
        <v>205</v>
      </c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5"/>
      <c r="U125" s="97">
        <v>0</v>
      </c>
      <c r="V125" s="98"/>
      <c r="W125" s="98"/>
      <c r="X125" s="98"/>
      <c r="Y125" s="99"/>
      <c r="Z125" s="97">
        <v>0</v>
      </c>
      <c r="AA125" s="98"/>
      <c r="AB125" s="98"/>
      <c r="AC125" s="98"/>
      <c r="AD125" s="99"/>
      <c r="AE125" s="97">
        <v>0</v>
      </c>
      <c r="AF125" s="98"/>
      <c r="AG125" s="98"/>
      <c r="AH125" s="99"/>
      <c r="AI125" s="97">
        <f>IF(ISNUMBER(U125),U125,0)+IF(ISNUMBER(Z125),Z125,0)</f>
        <v>0</v>
      </c>
      <c r="AJ125" s="98"/>
      <c r="AK125" s="98"/>
      <c r="AL125" s="98"/>
      <c r="AM125" s="99"/>
      <c r="AN125" s="97">
        <v>0</v>
      </c>
      <c r="AO125" s="98"/>
      <c r="AP125" s="98"/>
      <c r="AQ125" s="98"/>
      <c r="AR125" s="99"/>
      <c r="AS125" s="97">
        <v>0</v>
      </c>
      <c r="AT125" s="98"/>
      <c r="AU125" s="98"/>
      <c r="AV125" s="98"/>
      <c r="AW125" s="99"/>
      <c r="AX125" s="97">
        <v>0</v>
      </c>
      <c r="AY125" s="98"/>
      <c r="AZ125" s="98"/>
      <c r="BA125" s="99"/>
      <c r="BB125" s="97">
        <f>IF(ISNUMBER(AN125),AN125,0)+IF(ISNUMBER(AS125),AS125,0)</f>
        <v>0</v>
      </c>
      <c r="BC125" s="98"/>
      <c r="BD125" s="98"/>
      <c r="BE125" s="98"/>
      <c r="BF125" s="99"/>
      <c r="BG125" s="97">
        <v>0</v>
      </c>
      <c r="BH125" s="98"/>
      <c r="BI125" s="98"/>
      <c r="BJ125" s="98"/>
      <c r="BK125" s="99"/>
      <c r="BL125" s="97">
        <v>0</v>
      </c>
      <c r="BM125" s="98"/>
      <c r="BN125" s="98"/>
      <c r="BO125" s="98"/>
      <c r="BP125" s="99"/>
      <c r="BQ125" s="97">
        <v>0</v>
      </c>
      <c r="BR125" s="98"/>
      <c r="BS125" s="98"/>
      <c r="BT125" s="99"/>
      <c r="BU125" s="97">
        <f>IF(ISNUMBER(BG125),BG125,0)+IF(ISNUMBER(BL125),BL125,0)</f>
        <v>0</v>
      </c>
      <c r="BV125" s="98"/>
      <c r="BW125" s="98"/>
      <c r="BX125" s="98"/>
      <c r="BY125" s="99"/>
    </row>
    <row r="126" spans="1:77" s="100" customFormat="1" ht="25.5" customHeight="1" x14ac:dyDescent="0.2">
      <c r="A126" s="90">
        <v>23</v>
      </c>
      <c r="B126" s="91"/>
      <c r="C126" s="91"/>
      <c r="D126" s="93" t="s">
        <v>206</v>
      </c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5"/>
      <c r="U126" s="97">
        <v>0</v>
      </c>
      <c r="V126" s="98"/>
      <c r="W126" s="98"/>
      <c r="X126" s="98"/>
      <c r="Y126" s="99"/>
      <c r="Z126" s="97">
        <v>0</v>
      </c>
      <c r="AA126" s="98"/>
      <c r="AB126" s="98"/>
      <c r="AC126" s="98"/>
      <c r="AD126" s="99"/>
      <c r="AE126" s="97">
        <v>0</v>
      </c>
      <c r="AF126" s="98"/>
      <c r="AG126" s="98"/>
      <c r="AH126" s="99"/>
      <c r="AI126" s="97">
        <f>IF(ISNUMBER(U126),U126,0)+IF(ISNUMBER(Z126),Z126,0)</f>
        <v>0</v>
      </c>
      <c r="AJ126" s="98"/>
      <c r="AK126" s="98"/>
      <c r="AL126" s="98"/>
      <c r="AM126" s="99"/>
      <c r="AN126" s="97">
        <v>0</v>
      </c>
      <c r="AO126" s="98"/>
      <c r="AP126" s="98"/>
      <c r="AQ126" s="98"/>
      <c r="AR126" s="99"/>
      <c r="AS126" s="97">
        <v>0</v>
      </c>
      <c r="AT126" s="98"/>
      <c r="AU126" s="98"/>
      <c r="AV126" s="98"/>
      <c r="AW126" s="99"/>
      <c r="AX126" s="97">
        <v>0</v>
      </c>
      <c r="AY126" s="98"/>
      <c r="AZ126" s="98"/>
      <c r="BA126" s="99"/>
      <c r="BB126" s="97">
        <f>IF(ISNUMBER(AN126),AN126,0)+IF(ISNUMBER(AS126),AS126,0)</f>
        <v>0</v>
      </c>
      <c r="BC126" s="98"/>
      <c r="BD126" s="98"/>
      <c r="BE126" s="98"/>
      <c r="BF126" s="99"/>
      <c r="BG126" s="97">
        <v>0</v>
      </c>
      <c r="BH126" s="98"/>
      <c r="BI126" s="98"/>
      <c r="BJ126" s="98"/>
      <c r="BK126" s="99"/>
      <c r="BL126" s="97">
        <v>0</v>
      </c>
      <c r="BM126" s="98"/>
      <c r="BN126" s="98"/>
      <c r="BO126" s="98"/>
      <c r="BP126" s="99"/>
      <c r="BQ126" s="97">
        <v>0</v>
      </c>
      <c r="BR126" s="98"/>
      <c r="BS126" s="98"/>
      <c r="BT126" s="99"/>
      <c r="BU126" s="97">
        <f>IF(ISNUMBER(BG126),BG126,0)+IF(ISNUMBER(BL126),BL126,0)</f>
        <v>0</v>
      </c>
      <c r="BV126" s="98"/>
      <c r="BW126" s="98"/>
      <c r="BX126" s="98"/>
      <c r="BY126" s="99"/>
    </row>
    <row r="127" spans="1:77" s="100" customFormat="1" ht="12.75" customHeight="1" x14ac:dyDescent="0.2">
      <c r="A127" s="90">
        <v>24</v>
      </c>
      <c r="B127" s="91"/>
      <c r="C127" s="91"/>
      <c r="D127" s="93" t="s">
        <v>207</v>
      </c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5"/>
      <c r="U127" s="97">
        <v>0</v>
      </c>
      <c r="V127" s="98"/>
      <c r="W127" s="98"/>
      <c r="X127" s="98"/>
      <c r="Y127" s="99"/>
      <c r="Z127" s="97">
        <v>0</v>
      </c>
      <c r="AA127" s="98"/>
      <c r="AB127" s="98"/>
      <c r="AC127" s="98"/>
      <c r="AD127" s="99"/>
      <c r="AE127" s="97">
        <v>0</v>
      </c>
      <c r="AF127" s="98"/>
      <c r="AG127" s="98"/>
      <c r="AH127" s="99"/>
      <c r="AI127" s="97">
        <f>IF(ISNUMBER(U127),U127,0)+IF(ISNUMBER(Z127),Z127,0)</f>
        <v>0</v>
      </c>
      <c r="AJ127" s="98"/>
      <c r="AK127" s="98"/>
      <c r="AL127" s="98"/>
      <c r="AM127" s="99"/>
      <c r="AN127" s="97">
        <v>0</v>
      </c>
      <c r="AO127" s="98"/>
      <c r="AP127" s="98"/>
      <c r="AQ127" s="98"/>
      <c r="AR127" s="99"/>
      <c r="AS127" s="97">
        <v>0</v>
      </c>
      <c r="AT127" s="98"/>
      <c r="AU127" s="98"/>
      <c r="AV127" s="98"/>
      <c r="AW127" s="99"/>
      <c r="AX127" s="97">
        <v>0</v>
      </c>
      <c r="AY127" s="98"/>
      <c r="AZ127" s="98"/>
      <c r="BA127" s="99"/>
      <c r="BB127" s="97">
        <f>IF(ISNUMBER(AN127),AN127,0)+IF(ISNUMBER(AS127),AS127,0)</f>
        <v>0</v>
      </c>
      <c r="BC127" s="98"/>
      <c r="BD127" s="98"/>
      <c r="BE127" s="98"/>
      <c r="BF127" s="99"/>
      <c r="BG127" s="97">
        <v>0</v>
      </c>
      <c r="BH127" s="98"/>
      <c r="BI127" s="98"/>
      <c r="BJ127" s="98"/>
      <c r="BK127" s="99"/>
      <c r="BL127" s="97">
        <v>0</v>
      </c>
      <c r="BM127" s="98"/>
      <c r="BN127" s="98"/>
      <c r="BO127" s="98"/>
      <c r="BP127" s="99"/>
      <c r="BQ127" s="97">
        <v>0</v>
      </c>
      <c r="BR127" s="98"/>
      <c r="BS127" s="98"/>
      <c r="BT127" s="99"/>
      <c r="BU127" s="97">
        <f>IF(ISNUMBER(BG127),BG127,0)+IF(ISNUMBER(BL127),BL127,0)</f>
        <v>0</v>
      </c>
      <c r="BV127" s="98"/>
      <c r="BW127" s="98"/>
      <c r="BX127" s="98"/>
      <c r="BY127" s="99"/>
    </row>
    <row r="128" spans="1:77" s="100" customFormat="1" ht="63.75" customHeight="1" x14ac:dyDescent="0.2">
      <c r="A128" s="90">
        <v>25</v>
      </c>
      <c r="B128" s="91"/>
      <c r="C128" s="91"/>
      <c r="D128" s="93" t="s">
        <v>208</v>
      </c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5"/>
      <c r="U128" s="97">
        <v>0</v>
      </c>
      <c r="V128" s="98"/>
      <c r="W128" s="98"/>
      <c r="X128" s="98"/>
      <c r="Y128" s="99"/>
      <c r="Z128" s="97">
        <v>0</v>
      </c>
      <c r="AA128" s="98"/>
      <c r="AB128" s="98"/>
      <c r="AC128" s="98"/>
      <c r="AD128" s="99"/>
      <c r="AE128" s="97">
        <v>0</v>
      </c>
      <c r="AF128" s="98"/>
      <c r="AG128" s="98"/>
      <c r="AH128" s="99"/>
      <c r="AI128" s="97">
        <f>IF(ISNUMBER(U128),U128,0)+IF(ISNUMBER(Z128),Z128,0)</f>
        <v>0</v>
      </c>
      <c r="AJ128" s="98"/>
      <c r="AK128" s="98"/>
      <c r="AL128" s="98"/>
      <c r="AM128" s="99"/>
      <c r="AN128" s="97">
        <v>0</v>
      </c>
      <c r="AO128" s="98"/>
      <c r="AP128" s="98"/>
      <c r="AQ128" s="98"/>
      <c r="AR128" s="99"/>
      <c r="AS128" s="97">
        <v>0</v>
      </c>
      <c r="AT128" s="98"/>
      <c r="AU128" s="98"/>
      <c r="AV128" s="98"/>
      <c r="AW128" s="99"/>
      <c r="AX128" s="97">
        <v>0</v>
      </c>
      <c r="AY128" s="98"/>
      <c r="AZ128" s="98"/>
      <c r="BA128" s="99"/>
      <c r="BB128" s="97">
        <f>IF(ISNUMBER(AN128),AN128,0)+IF(ISNUMBER(AS128),AS128,0)</f>
        <v>0</v>
      </c>
      <c r="BC128" s="98"/>
      <c r="BD128" s="98"/>
      <c r="BE128" s="98"/>
      <c r="BF128" s="99"/>
      <c r="BG128" s="97">
        <v>0</v>
      </c>
      <c r="BH128" s="98"/>
      <c r="BI128" s="98"/>
      <c r="BJ128" s="98"/>
      <c r="BK128" s="99"/>
      <c r="BL128" s="97">
        <v>0</v>
      </c>
      <c r="BM128" s="98"/>
      <c r="BN128" s="98"/>
      <c r="BO128" s="98"/>
      <c r="BP128" s="99"/>
      <c r="BQ128" s="97">
        <v>0</v>
      </c>
      <c r="BR128" s="98"/>
      <c r="BS128" s="98"/>
      <c r="BT128" s="99"/>
      <c r="BU128" s="97">
        <f>IF(ISNUMBER(BG128),BG128,0)+IF(ISNUMBER(BL128),BL128,0)</f>
        <v>0</v>
      </c>
      <c r="BV128" s="98"/>
      <c r="BW128" s="98"/>
      <c r="BX128" s="98"/>
      <c r="BY128" s="99"/>
    </row>
    <row r="129" spans="1:77" s="100" customFormat="1" ht="25.5" customHeight="1" x14ac:dyDescent="0.2">
      <c r="A129" s="90">
        <v>26</v>
      </c>
      <c r="B129" s="91"/>
      <c r="C129" s="91"/>
      <c r="D129" s="93" t="s">
        <v>209</v>
      </c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5"/>
      <c r="U129" s="97">
        <v>0</v>
      </c>
      <c r="V129" s="98"/>
      <c r="W129" s="98"/>
      <c r="X129" s="98"/>
      <c r="Y129" s="99"/>
      <c r="Z129" s="97">
        <v>0</v>
      </c>
      <c r="AA129" s="98"/>
      <c r="AB129" s="98"/>
      <c r="AC129" s="98"/>
      <c r="AD129" s="99"/>
      <c r="AE129" s="97">
        <v>0</v>
      </c>
      <c r="AF129" s="98"/>
      <c r="AG129" s="98"/>
      <c r="AH129" s="99"/>
      <c r="AI129" s="97">
        <f>IF(ISNUMBER(U129),U129,0)+IF(ISNUMBER(Z129),Z129,0)</f>
        <v>0</v>
      </c>
      <c r="AJ129" s="98"/>
      <c r="AK129" s="98"/>
      <c r="AL129" s="98"/>
      <c r="AM129" s="99"/>
      <c r="AN129" s="97">
        <v>0</v>
      </c>
      <c r="AO129" s="98"/>
      <c r="AP129" s="98"/>
      <c r="AQ129" s="98"/>
      <c r="AR129" s="99"/>
      <c r="AS129" s="97">
        <v>0</v>
      </c>
      <c r="AT129" s="98"/>
      <c r="AU129" s="98"/>
      <c r="AV129" s="98"/>
      <c r="AW129" s="99"/>
      <c r="AX129" s="97">
        <v>0</v>
      </c>
      <c r="AY129" s="98"/>
      <c r="AZ129" s="98"/>
      <c r="BA129" s="99"/>
      <c r="BB129" s="97">
        <f>IF(ISNUMBER(AN129),AN129,0)+IF(ISNUMBER(AS129),AS129,0)</f>
        <v>0</v>
      </c>
      <c r="BC129" s="98"/>
      <c r="BD129" s="98"/>
      <c r="BE129" s="98"/>
      <c r="BF129" s="99"/>
      <c r="BG129" s="97">
        <v>0</v>
      </c>
      <c r="BH129" s="98"/>
      <c r="BI129" s="98"/>
      <c r="BJ129" s="98"/>
      <c r="BK129" s="99"/>
      <c r="BL129" s="97">
        <v>0</v>
      </c>
      <c r="BM129" s="98"/>
      <c r="BN129" s="98"/>
      <c r="BO129" s="98"/>
      <c r="BP129" s="99"/>
      <c r="BQ129" s="97">
        <v>0</v>
      </c>
      <c r="BR129" s="98"/>
      <c r="BS129" s="98"/>
      <c r="BT129" s="99"/>
      <c r="BU129" s="97">
        <f>IF(ISNUMBER(BG129),BG129,0)+IF(ISNUMBER(BL129),BL129,0)</f>
        <v>0</v>
      </c>
      <c r="BV129" s="98"/>
      <c r="BW129" s="98"/>
      <c r="BX129" s="98"/>
      <c r="BY129" s="99"/>
    </row>
    <row r="130" spans="1:77" s="100" customFormat="1" ht="12.75" customHeight="1" x14ac:dyDescent="0.2">
      <c r="A130" s="90">
        <v>27</v>
      </c>
      <c r="B130" s="91"/>
      <c r="C130" s="91"/>
      <c r="D130" s="93" t="s">
        <v>210</v>
      </c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5"/>
      <c r="U130" s="97">
        <v>0</v>
      </c>
      <c r="V130" s="98"/>
      <c r="W130" s="98"/>
      <c r="X130" s="98"/>
      <c r="Y130" s="99"/>
      <c r="Z130" s="97">
        <v>0</v>
      </c>
      <c r="AA130" s="98"/>
      <c r="AB130" s="98"/>
      <c r="AC130" s="98"/>
      <c r="AD130" s="99"/>
      <c r="AE130" s="97">
        <v>0</v>
      </c>
      <c r="AF130" s="98"/>
      <c r="AG130" s="98"/>
      <c r="AH130" s="99"/>
      <c r="AI130" s="97">
        <f>IF(ISNUMBER(U130),U130,0)+IF(ISNUMBER(Z130),Z130,0)</f>
        <v>0</v>
      </c>
      <c r="AJ130" s="98"/>
      <c r="AK130" s="98"/>
      <c r="AL130" s="98"/>
      <c r="AM130" s="99"/>
      <c r="AN130" s="97">
        <v>0</v>
      </c>
      <c r="AO130" s="98"/>
      <c r="AP130" s="98"/>
      <c r="AQ130" s="98"/>
      <c r="AR130" s="99"/>
      <c r="AS130" s="97">
        <v>0</v>
      </c>
      <c r="AT130" s="98"/>
      <c r="AU130" s="98"/>
      <c r="AV130" s="98"/>
      <c r="AW130" s="99"/>
      <c r="AX130" s="97">
        <v>0</v>
      </c>
      <c r="AY130" s="98"/>
      <c r="AZ130" s="98"/>
      <c r="BA130" s="99"/>
      <c r="BB130" s="97">
        <f>IF(ISNUMBER(AN130),AN130,0)+IF(ISNUMBER(AS130),AS130,0)</f>
        <v>0</v>
      </c>
      <c r="BC130" s="98"/>
      <c r="BD130" s="98"/>
      <c r="BE130" s="98"/>
      <c r="BF130" s="99"/>
      <c r="BG130" s="97">
        <v>0</v>
      </c>
      <c r="BH130" s="98"/>
      <c r="BI130" s="98"/>
      <c r="BJ130" s="98"/>
      <c r="BK130" s="99"/>
      <c r="BL130" s="97">
        <v>0</v>
      </c>
      <c r="BM130" s="98"/>
      <c r="BN130" s="98"/>
      <c r="BO130" s="98"/>
      <c r="BP130" s="99"/>
      <c r="BQ130" s="97">
        <v>0</v>
      </c>
      <c r="BR130" s="98"/>
      <c r="BS130" s="98"/>
      <c r="BT130" s="99"/>
      <c r="BU130" s="97">
        <f>IF(ISNUMBER(BG130),BG130,0)+IF(ISNUMBER(BL130),BL130,0)</f>
        <v>0</v>
      </c>
      <c r="BV130" s="98"/>
      <c r="BW130" s="98"/>
      <c r="BX130" s="98"/>
      <c r="BY130" s="99"/>
    </row>
    <row r="131" spans="1:77" s="100" customFormat="1" ht="25.5" customHeight="1" x14ac:dyDescent="0.2">
      <c r="A131" s="90">
        <v>28</v>
      </c>
      <c r="B131" s="91"/>
      <c r="C131" s="91"/>
      <c r="D131" s="93" t="s">
        <v>211</v>
      </c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5"/>
      <c r="U131" s="97">
        <v>14000</v>
      </c>
      <c r="V131" s="98"/>
      <c r="W131" s="98"/>
      <c r="X131" s="98"/>
      <c r="Y131" s="99"/>
      <c r="Z131" s="97">
        <v>0</v>
      </c>
      <c r="AA131" s="98"/>
      <c r="AB131" s="98"/>
      <c r="AC131" s="98"/>
      <c r="AD131" s="99"/>
      <c r="AE131" s="97">
        <v>0</v>
      </c>
      <c r="AF131" s="98"/>
      <c r="AG131" s="98"/>
      <c r="AH131" s="99"/>
      <c r="AI131" s="97">
        <f>IF(ISNUMBER(U131),U131,0)+IF(ISNUMBER(Z131),Z131,0)</f>
        <v>14000</v>
      </c>
      <c r="AJ131" s="98"/>
      <c r="AK131" s="98"/>
      <c r="AL131" s="98"/>
      <c r="AM131" s="99"/>
      <c r="AN131" s="97">
        <v>0</v>
      </c>
      <c r="AO131" s="98"/>
      <c r="AP131" s="98"/>
      <c r="AQ131" s="98"/>
      <c r="AR131" s="99"/>
      <c r="AS131" s="97">
        <v>0</v>
      </c>
      <c r="AT131" s="98"/>
      <c r="AU131" s="98"/>
      <c r="AV131" s="98"/>
      <c r="AW131" s="99"/>
      <c r="AX131" s="97">
        <v>0</v>
      </c>
      <c r="AY131" s="98"/>
      <c r="AZ131" s="98"/>
      <c r="BA131" s="99"/>
      <c r="BB131" s="97">
        <f>IF(ISNUMBER(AN131),AN131,0)+IF(ISNUMBER(AS131),AS131,0)</f>
        <v>0</v>
      </c>
      <c r="BC131" s="98"/>
      <c r="BD131" s="98"/>
      <c r="BE131" s="98"/>
      <c r="BF131" s="99"/>
      <c r="BG131" s="97">
        <v>0</v>
      </c>
      <c r="BH131" s="98"/>
      <c r="BI131" s="98"/>
      <c r="BJ131" s="98"/>
      <c r="BK131" s="99"/>
      <c r="BL131" s="97">
        <v>0</v>
      </c>
      <c r="BM131" s="98"/>
      <c r="BN131" s="98"/>
      <c r="BO131" s="98"/>
      <c r="BP131" s="99"/>
      <c r="BQ131" s="97">
        <v>0</v>
      </c>
      <c r="BR131" s="98"/>
      <c r="BS131" s="98"/>
      <c r="BT131" s="99"/>
      <c r="BU131" s="97">
        <f>IF(ISNUMBER(BG131),BG131,0)+IF(ISNUMBER(BL131),BL131,0)</f>
        <v>0</v>
      </c>
      <c r="BV131" s="98"/>
      <c r="BW131" s="98"/>
      <c r="BX131" s="98"/>
      <c r="BY131" s="99"/>
    </row>
    <row r="132" spans="1:77" s="100" customFormat="1" ht="12.75" customHeight="1" x14ac:dyDescent="0.2">
      <c r="A132" s="90">
        <v>29</v>
      </c>
      <c r="B132" s="91"/>
      <c r="C132" s="91"/>
      <c r="D132" s="93" t="s">
        <v>212</v>
      </c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5"/>
      <c r="U132" s="97">
        <v>0</v>
      </c>
      <c r="V132" s="98"/>
      <c r="W132" s="98"/>
      <c r="X132" s="98"/>
      <c r="Y132" s="99"/>
      <c r="Z132" s="97">
        <v>0</v>
      </c>
      <c r="AA132" s="98"/>
      <c r="AB132" s="98"/>
      <c r="AC132" s="98"/>
      <c r="AD132" s="99"/>
      <c r="AE132" s="97">
        <v>0</v>
      </c>
      <c r="AF132" s="98"/>
      <c r="AG132" s="98"/>
      <c r="AH132" s="99"/>
      <c r="AI132" s="97">
        <f>IF(ISNUMBER(U132),U132,0)+IF(ISNUMBER(Z132),Z132,0)</f>
        <v>0</v>
      </c>
      <c r="AJ132" s="98"/>
      <c r="AK132" s="98"/>
      <c r="AL132" s="98"/>
      <c r="AM132" s="99"/>
      <c r="AN132" s="97">
        <v>0</v>
      </c>
      <c r="AO132" s="98"/>
      <c r="AP132" s="98"/>
      <c r="AQ132" s="98"/>
      <c r="AR132" s="99"/>
      <c r="AS132" s="97">
        <v>0</v>
      </c>
      <c r="AT132" s="98"/>
      <c r="AU132" s="98"/>
      <c r="AV132" s="98"/>
      <c r="AW132" s="99"/>
      <c r="AX132" s="97">
        <v>0</v>
      </c>
      <c r="AY132" s="98"/>
      <c r="AZ132" s="98"/>
      <c r="BA132" s="99"/>
      <c r="BB132" s="97">
        <f>IF(ISNUMBER(AN132),AN132,0)+IF(ISNUMBER(AS132),AS132,0)</f>
        <v>0</v>
      </c>
      <c r="BC132" s="98"/>
      <c r="BD132" s="98"/>
      <c r="BE132" s="98"/>
      <c r="BF132" s="99"/>
      <c r="BG132" s="97">
        <v>0</v>
      </c>
      <c r="BH132" s="98"/>
      <c r="BI132" s="98"/>
      <c r="BJ132" s="98"/>
      <c r="BK132" s="99"/>
      <c r="BL132" s="97">
        <v>0</v>
      </c>
      <c r="BM132" s="98"/>
      <c r="BN132" s="98"/>
      <c r="BO132" s="98"/>
      <c r="BP132" s="99"/>
      <c r="BQ132" s="97">
        <v>0</v>
      </c>
      <c r="BR132" s="98"/>
      <c r="BS132" s="98"/>
      <c r="BT132" s="99"/>
      <c r="BU132" s="97">
        <f>IF(ISNUMBER(BG132),BG132,0)+IF(ISNUMBER(BL132),BL132,0)</f>
        <v>0</v>
      </c>
      <c r="BV132" s="98"/>
      <c r="BW132" s="98"/>
      <c r="BX132" s="98"/>
      <c r="BY132" s="99"/>
    </row>
    <row r="133" spans="1:77" s="100" customFormat="1" ht="25.5" customHeight="1" x14ac:dyDescent="0.2">
      <c r="A133" s="90">
        <v>30</v>
      </c>
      <c r="B133" s="91"/>
      <c r="C133" s="91"/>
      <c r="D133" s="93" t="s">
        <v>213</v>
      </c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5"/>
      <c r="U133" s="97">
        <v>49000</v>
      </c>
      <c r="V133" s="98"/>
      <c r="W133" s="98"/>
      <c r="X133" s="98"/>
      <c r="Y133" s="99"/>
      <c r="Z133" s="97">
        <v>0</v>
      </c>
      <c r="AA133" s="98"/>
      <c r="AB133" s="98"/>
      <c r="AC133" s="98"/>
      <c r="AD133" s="99"/>
      <c r="AE133" s="97">
        <v>0</v>
      </c>
      <c r="AF133" s="98"/>
      <c r="AG133" s="98"/>
      <c r="AH133" s="99"/>
      <c r="AI133" s="97">
        <f>IF(ISNUMBER(U133),U133,0)+IF(ISNUMBER(Z133),Z133,0)</f>
        <v>49000</v>
      </c>
      <c r="AJ133" s="98"/>
      <c r="AK133" s="98"/>
      <c r="AL133" s="98"/>
      <c r="AM133" s="99"/>
      <c r="AN133" s="97">
        <v>0</v>
      </c>
      <c r="AO133" s="98"/>
      <c r="AP133" s="98"/>
      <c r="AQ133" s="98"/>
      <c r="AR133" s="99"/>
      <c r="AS133" s="97">
        <v>0</v>
      </c>
      <c r="AT133" s="98"/>
      <c r="AU133" s="98"/>
      <c r="AV133" s="98"/>
      <c r="AW133" s="99"/>
      <c r="AX133" s="97">
        <v>0</v>
      </c>
      <c r="AY133" s="98"/>
      <c r="AZ133" s="98"/>
      <c r="BA133" s="99"/>
      <c r="BB133" s="97">
        <f>IF(ISNUMBER(AN133),AN133,0)+IF(ISNUMBER(AS133),AS133,0)</f>
        <v>0</v>
      </c>
      <c r="BC133" s="98"/>
      <c r="BD133" s="98"/>
      <c r="BE133" s="98"/>
      <c r="BF133" s="99"/>
      <c r="BG133" s="97">
        <v>0</v>
      </c>
      <c r="BH133" s="98"/>
      <c r="BI133" s="98"/>
      <c r="BJ133" s="98"/>
      <c r="BK133" s="99"/>
      <c r="BL133" s="97">
        <v>0</v>
      </c>
      <c r="BM133" s="98"/>
      <c r="BN133" s="98"/>
      <c r="BO133" s="98"/>
      <c r="BP133" s="99"/>
      <c r="BQ133" s="97">
        <v>0</v>
      </c>
      <c r="BR133" s="98"/>
      <c r="BS133" s="98"/>
      <c r="BT133" s="99"/>
      <c r="BU133" s="97">
        <f>IF(ISNUMBER(BG133),BG133,0)+IF(ISNUMBER(BL133),BL133,0)</f>
        <v>0</v>
      </c>
      <c r="BV133" s="98"/>
      <c r="BW133" s="98"/>
      <c r="BX133" s="98"/>
      <c r="BY133" s="99"/>
    </row>
    <row r="134" spans="1:77" s="100" customFormat="1" ht="25.5" customHeight="1" x14ac:dyDescent="0.2">
      <c r="A134" s="90">
        <v>31</v>
      </c>
      <c r="B134" s="91"/>
      <c r="C134" s="91"/>
      <c r="D134" s="93" t="s">
        <v>214</v>
      </c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5"/>
      <c r="U134" s="97">
        <v>2500</v>
      </c>
      <c r="V134" s="98"/>
      <c r="W134" s="98"/>
      <c r="X134" s="98"/>
      <c r="Y134" s="99"/>
      <c r="Z134" s="97">
        <v>0</v>
      </c>
      <c r="AA134" s="98"/>
      <c r="AB134" s="98"/>
      <c r="AC134" s="98"/>
      <c r="AD134" s="99"/>
      <c r="AE134" s="97">
        <v>0</v>
      </c>
      <c r="AF134" s="98"/>
      <c r="AG134" s="98"/>
      <c r="AH134" s="99"/>
      <c r="AI134" s="97">
        <f>IF(ISNUMBER(U134),U134,0)+IF(ISNUMBER(Z134),Z134,0)</f>
        <v>2500</v>
      </c>
      <c r="AJ134" s="98"/>
      <c r="AK134" s="98"/>
      <c r="AL134" s="98"/>
      <c r="AM134" s="99"/>
      <c r="AN134" s="97">
        <v>0</v>
      </c>
      <c r="AO134" s="98"/>
      <c r="AP134" s="98"/>
      <c r="AQ134" s="98"/>
      <c r="AR134" s="99"/>
      <c r="AS134" s="97">
        <v>0</v>
      </c>
      <c r="AT134" s="98"/>
      <c r="AU134" s="98"/>
      <c r="AV134" s="98"/>
      <c r="AW134" s="99"/>
      <c r="AX134" s="97">
        <v>0</v>
      </c>
      <c r="AY134" s="98"/>
      <c r="AZ134" s="98"/>
      <c r="BA134" s="99"/>
      <c r="BB134" s="97">
        <f>IF(ISNUMBER(AN134),AN134,0)+IF(ISNUMBER(AS134),AS134,0)</f>
        <v>0</v>
      </c>
      <c r="BC134" s="98"/>
      <c r="BD134" s="98"/>
      <c r="BE134" s="98"/>
      <c r="BF134" s="99"/>
      <c r="BG134" s="97">
        <v>0</v>
      </c>
      <c r="BH134" s="98"/>
      <c r="BI134" s="98"/>
      <c r="BJ134" s="98"/>
      <c r="BK134" s="99"/>
      <c r="BL134" s="97">
        <v>0</v>
      </c>
      <c r="BM134" s="98"/>
      <c r="BN134" s="98"/>
      <c r="BO134" s="98"/>
      <c r="BP134" s="99"/>
      <c r="BQ134" s="97">
        <v>0</v>
      </c>
      <c r="BR134" s="98"/>
      <c r="BS134" s="98"/>
      <c r="BT134" s="99"/>
      <c r="BU134" s="97">
        <f>IF(ISNUMBER(BG134),BG134,0)+IF(ISNUMBER(BL134),BL134,0)</f>
        <v>0</v>
      </c>
      <c r="BV134" s="98"/>
      <c r="BW134" s="98"/>
      <c r="BX134" s="98"/>
      <c r="BY134" s="99"/>
    </row>
    <row r="135" spans="1:77" s="100" customFormat="1" ht="25.5" customHeight="1" x14ac:dyDescent="0.2">
      <c r="A135" s="90">
        <v>32</v>
      </c>
      <c r="B135" s="91"/>
      <c r="C135" s="91"/>
      <c r="D135" s="93" t="s">
        <v>215</v>
      </c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5"/>
      <c r="U135" s="97">
        <v>61360</v>
      </c>
      <c r="V135" s="98"/>
      <c r="W135" s="98"/>
      <c r="X135" s="98"/>
      <c r="Y135" s="99"/>
      <c r="Z135" s="97">
        <v>0</v>
      </c>
      <c r="AA135" s="98"/>
      <c r="AB135" s="98"/>
      <c r="AC135" s="98"/>
      <c r="AD135" s="99"/>
      <c r="AE135" s="97">
        <v>0</v>
      </c>
      <c r="AF135" s="98"/>
      <c r="AG135" s="98"/>
      <c r="AH135" s="99"/>
      <c r="AI135" s="97">
        <f>IF(ISNUMBER(U135),U135,0)+IF(ISNUMBER(Z135),Z135,0)</f>
        <v>61360</v>
      </c>
      <c r="AJ135" s="98"/>
      <c r="AK135" s="98"/>
      <c r="AL135" s="98"/>
      <c r="AM135" s="99"/>
      <c r="AN135" s="97">
        <v>0</v>
      </c>
      <c r="AO135" s="98"/>
      <c r="AP135" s="98"/>
      <c r="AQ135" s="98"/>
      <c r="AR135" s="99"/>
      <c r="AS135" s="97">
        <v>0</v>
      </c>
      <c r="AT135" s="98"/>
      <c r="AU135" s="98"/>
      <c r="AV135" s="98"/>
      <c r="AW135" s="99"/>
      <c r="AX135" s="97">
        <v>0</v>
      </c>
      <c r="AY135" s="98"/>
      <c r="AZ135" s="98"/>
      <c r="BA135" s="99"/>
      <c r="BB135" s="97">
        <f>IF(ISNUMBER(AN135),AN135,0)+IF(ISNUMBER(AS135),AS135,0)</f>
        <v>0</v>
      </c>
      <c r="BC135" s="98"/>
      <c r="BD135" s="98"/>
      <c r="BE135" s="98"/>
      <c r="BF135" s="99"/>
      <c r="BG135" s="97">
        <v>0</v>
      </c>
      <c r="BH135" s="98"/>
      <c r="BI135" s="98"/>
      <c r="BJ135" s="98"/>
      <c r="BK135" s="99"/>
      <c r="BL135" s="97">
        <v>0</v>
      </c>
      <c r="BM135" s="98"/>
      <c r="BN135" s="98"/>
      <c r="BO135" s="98"/>
      <c r="BP135" s="99"/>
      <c r="BQ135" s="97">
        <v>0</v>
      </c>
      <c r="BR135" s="98"/>
      <c r="BS135" s="98"/>
      <c r="BT135" s="99"/>
      <c r="BU135" s="97">
        <f>IF(ISNUMBER(BG135),BG135,0)+IF(ISNUMBER(BL135),BL135,0)</f>
        <v>0</v>
      </c>
      <c r="BV135" s="98"/>
      <c r="BW135" s="98"/>
      <c r="BX135" s="98"/>
      <c r="BY135" s="99"/>
    </row>
    <row r="136" spans="1:77" s="100" customFormat="1" ht="51" customHeight="1" x14ac:dyDescent="0.2">
      <c r="A136" s="90">
        <v>33</v>
      </c>
      <c r="B136" s="91"/>
      <c r="C136" s="91"/>
      <c r="D136" s="93" t="s">
        <v>216</v>
      </c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5"/>
      <c r="U136" s="97">
        <v>0</v>
      </c>
      <c r="V136" s="98"/>
      <c r="W136" s="98"/>
      <c r="X136" s="98"/>
      <c r="Y136" s="99"/>
      <c r="Z136" s="97">
        <v>0</v>
      </c>
      <c r="AA136" s="98"/>
      <c r="AB136" s="98"/>
      <c r="AC136" s="98"/>
      <c r="AD136" s="99"/>
      <c r="AE136" s="97">
        <v>0</v>
      </c>
      <c r="AF136" s="98"/>
      <c r="AG136" s="98"/>
      <c r="AH136" s="99"/>
      <c r="AI136" s="97">
        <f>IF(ISNUMBER(U136),U136,0)+IF(ISNUMBER(Z136),Z136,0)</f>
        <v>0</v>
      </c>
      <c r="AJ136" s="98"/>
      <c r="AK136" s="98"/>
      <c r="AL136" s="98"/>
      <c r="AM136" s="99"/>
      <c r="AN136" s="97">
        <v>0</v>
      </c>
      <c r="AO136" s="98"/>
      <c r="AP136" s="98"/>
      <c r="AQ136" s="98"/>
      <c r="AR136" s="99"/>
      <c r="AS136" s="97">
        <v>0</v>
      </c>
      <c r="AT136" s="98"/>
      <c r="AU136" s="98"/>
      <c r="AV136" s="98"/>
      <c r="AW136" s="99"/>
      <c r="AX136" s="97">
        <v>0</v>
      </c>
      <c r="AY136" s="98"/>
      <c r="AZ136" s="98"/>
      <c r="BA136" s="99"/>
      <c r="BB136" s="97">
        <f>IF(ISNUMBER(AN136),AN136,0)+IF(ISNUMBER(AS136),AS136,0)</f>
        <v>0</v>
      </c>
      <c r="BC136" s="98"/>
      <c r="BD136" s="98"/>
      <c r="BE136" s="98"/>
      <c r="BF136" s="99"/>
      <c r="BG136" s="97">
        <v>0</v>
      </c>
      <c r="BH136" s="98"/>
      <c r="BI136" s="98"/>
      <c r="BJ136" s="98"/>
      <c r="BK136" s="99"/>
      <c r="BL136" s="97">
        <v>0</v>
      </c>
      <c r="BM136" s="98"/>
      <c r="BN136" s="98"/>
      <c r="BO136" s="98"/>
      <c r="BP136" s="99"/>
      <c r="BQ136" s="97">
        <v>0</v>
      </c>
      <c r="BR136" s="98"/>
      <c r="BS136" s="98"/>
      <c r="BT136" s="99"/>
      <c r="BU136" s="97">
        <f>IF(ISNUMBER(BG136),BG136,0)+IF(ISNUMBER(BL136),BL136,0)</f>
        <v>0</v>
      </c>
      <c r="BV136" s="98"/>
      <c r="BW136" s="98"/>
      <c r="BX136" s="98"/>
      <c r="BY136" s="99"/>
    </row>
    <row r="137" spans="1:77" s="100" customFormat="1" ht="12.75" customHeight="1" x14ac:dyDescent="0.2">
      <c r="A137" s="90">
        <v>34</v>
      </c>
      <c r="B137" s="91"/>
      <c r="C137" s="91"/>
      <c r="D137" s="93" t="s">
        <v>217</v>
      </c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5"/>
      <c r="U137" s="97">
        <v>0</v>
      </c>
      <c r="V137" s="98"/>
      <c r="W137" s="98"/>
      <c r="X137" s="98"/>
      <c r="Y137" s="99"/>
      <c r="Z137" s="97">
        <v>0</v>
      </c>
      <c r="AA137" s="98"/>
      <c r="AB137" s="98"/>
      <c r="AC137" s="98"/>
      <c r="AD137" s="99"/>
      <c r="AE137" s="97">
        <v>0</v>
      </c>
      <c r="AF137" s="98"/>
      <c r="AG137" s="98"/>
      <c r="AH137" s="99"/>
      <c r="AI137" s="97">
        <f>IF(ISNUMBER(U137),U137,0)+IF(ISNUMBER(Z137),Z137,0)</f>
        <v>0</v>
      </c>
      <c r="AJ137" s="98"/>
      <c r="AK137" s="98"/>
      <c r="AL137" s="98"/>
      <c r="AM137" s="99"/>
      <c r="AN137" s="97">
        <v>0</v>
      </c>
      <c r="AO137" s="98"/>
      <c r="AP137" s="98"/>
      <c r="AQ137" s="98"/>
      <c r="AR137" s="99"/>
      <c r="AS137" s="97">
        <v>0</v>
      </c>
      <c r="AT137" s="98"/>
      <c r="AU137" s="98"/>
      <c r="AV137" s="98"/>
      <c r="AW137" s="99"/>
      <c r="AX137" s="97">
        <v>0</v>
      </c>
      <c r="AY137" s="98"/>
      <c r="AZ137" s="98"/>
      <c r="BA137" s="99"/>
      <c r="BB137" s="97">
        <f>IF(ISNUMBER(AN137),AN137,0)+IF(ISNUMBER(AS137),AS137,0)</f>
        <v>0</v>
      </c>
      <c r="BC137" s="98"/>
      <c r="BD137" s="98"/>
      <c r="BE137" s="98"/>
      <c r="BF137" s="99"/>
      <c r="BG137" s="97">
        <v>0</v>
      </c>
      <c r="BH137" s="98"/>
      <c r="BI137" s="98"/>
      <c r="BJ137" s="98"/>
      <c r="BK137" s="99"/>
      <c r="BL137" s="97">
        <v>0</v>
      </c>
      <c r="BM137" s="98"/>
      <c r="BN137" s="98"/>
      <c r="BO137" s="98"/>
      <c r="BP137" s="99"/>
      <c r="BQ137" s="97">
        <v>0</v>
      </c>
      <c r="BR137" s="98"/>
      <c r="BS137" s="98"/>
      <c r="BT137" s="99"/>
      <c r="BU137" s="97">
        <f>IF(ISNUMBER(BG137),BG137,0)+IF(ISNUMBER(BL137),BL137,0)</f>
        <v>0</v>
      </c>
      <c r="BV137" s="98"/>
      <c r="BW137" s="98"/>
      <c r="BX137" s="98"/>
      <c r="BY137" s="99"/>
    </row>
    <row r="138" spans="1:77" s="100" customFormat="1" ht="51" customHeight="1" x14ac:dyDescent="0.2">
      <c r="A138" s="90">
        <v>35</v>
      </c>
      <c r="B138" s="91"/>
      <c r="C138" s="91"/>
      <c r="D138" s="93" t="s">
        <v>218</v>
      </c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5"/>
      <c r="U138" s="97">
        <v>0</v>
      </c>
      <c r="V138" s="98"/>
      <c r="W138" s="98"/>
      <c r="X138" s="98"/>
      <c r="Y138" s="99"/>
      <c r="Z138" s="97">
        <v>0</v>
      </c>
      <c r="AA138" s="98"/>
      <c r="AB138" s="98"/>
      <c r="AC138" s="98"/>
      <c r="AD138" s="99"/>
      <c r="AE138" s="97">
        <v>0</v>
      </c>
      <c r="AF138" s="98"/>
      <c r="AG138" s="98"/>
      <c r="AH138" s="99"/>
      <c r="AI138" s="97">
        <f>IF(ISNUMBER(U138),U138,0)+IF(ISNUMBER(Z138),Z138,0)</f>
        <v>0</v>
      </c>
      <c r="AJ138" s="98"/>
      <c r="AK138" s="98"/>
      <c r="AL138" s="98"/>
      <c r="AM138" s="99"/>
      <c r="AN138" s="97">
        <v>0</v>
      </c>
      <c r="AO138" s="98"/>
      <c r="AP138" s="98"/>
      <c r="AQ138" s="98"/>
      <c r="AR138" s="99"/>
      <c r="AS138" s="97">
        <v>0</v>
      </c>
      <c r="AT138" s="98"/>
      <c r="AU138" s="98"/>
      <c r="AV138" s="98"/>
      <c r="AW138" s="99"/>
      <c r="AX138" s="97">
        <v>0</v>
      </c>
      <c r="AY138" s="98"/>
      <c r="AZ138" s="98"/>
      <c r="BA138" s="99"/>
      <c r="BB138" s="97">
        <f>IF(ISNUMBER(AN138),AN138,0)+IF(ISNUMBER(AS138),AS138,0)</f>
        <v>0</v>
      </c>
      <c r="BC138" s="98"/>
      <c r="BD138" s="98"/>
      <c r="BE138" s="98"/>
      <c r="BF138" s="99"/>
      <c r="BG138" s="97">
        <v>0</v>
      </c>
      <c r="BH138" s="98"/>
      <c r="BI138" s="98"/>
      <c r="BJ138" s="98"/>
      <c r="BK138" s="99"/>
      <c r="BL138" s="97">
        <v>0</v>
      </c>
      <c r="BM138" s="98"/>
      <c r="BN138" s="98"/>
      <c r="BO138" s="98"/>
      <c r="BP138" s="99"/>
      <c r="BQ138" s="97">
        <v>0</v>
      </c>
      <c r="BR138" s="98"/>
      <c r="BS138" s="98"/>
      <c r="BT138" s="99"/>
      <c r="BU138" s="97">
        <f>IF(ISNUMBER(BG138),BG138,0)+IF(ISNUMBER(BL138),BL138,0)</f>
        <v>0</v>
      </c>
      <c r="BV138" s="98"/>
      <c r="BW138" s="98"/>
      <c r="BX138" s="98"/>
      <c r="BY138" s="99"/>
    </row>
    <row r="139" spans="1:77" s="100" customFormat="1" ht="38.25" customHeight="1" x14ac:dyDescent="0.2">
      <c r="A139" s="90">
        <v>36</v>
      </c>
      <c r="B139" s="91"/>
      <c r="C139" s="91"/>
      <c r="D139" s="93" t="s">
        <v>219</v>
      </c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5"/>
      <c r="U139" s="97">
        <v>0</v>
      </c>
      <c r="V139" s="98"/>
      <c r="W139" s="98"/>
      <c r="X139" s="98"/>
      <c r="Y139" s="99"/>
      <c r="Z139" s="97">
        <v>0</v>
      </c>
      <c r="AA139" s="98"/>
      <c r="AB139" s="98"/>
      <c r="AC139" s="98"/>
      <c r="AD139" s="99"/>
      <c r="AE139" s="97">
        <v>0</v>
      </c>
      <c r="AF139" s="98"/>
      <c r="AG139" s="98"/>
      <c r="AH139" s="99"/>
      <c r="AI139" s="97">
        <f>IF(ISNUMBER(U139),U139,0)+IF(ISNUMBER(Z139),Z139,0)</f>
        <v>0</v>
      </c>
      <c r="AJ139" s="98"/>
      <c r="AK139" s="98"/>
      <c r="AL139" s="98"/>
      <c r="AM139" s="99"/>
      <c r="AN139" s="97">
        <v>0</v>
      </c>
      <c r="AO139" s="98"/>
      <c r="AP139" s="98"/>
      <c r="AQ139" s="98"/>
      <c r="AR139" s="99"/>
      <c r="AS139" s="97">
        <v>0</v>
      </c>
      <c r="AT139" s="98"/>
      <c r="AU139" s="98"/>
      <c r="AV139" s="98"/>
      <c r="AW139" s="99"/>
      <c r="AX139" s="97">
        <v>0</v>
      </c>
      <c r="AY139" s="98"/>
      <c r="AZ139" s="98"/>
      <c r="BA139" s="99"/>
      <c r="BB139" s="97">
        <f>IF(ISNUMBER(AN139),AN139,0)+IF(ISNUMBER(AS139),AS139,0)</f>
        <v>0</v>
      </c>
      <c r="BC139" s="98"/>
      <c r="BD139" s="98"/>
      <c r="BE139" s="98"/>
      <c r="BF139" s="99"/>
      <c r="BG139" s="97">
        <v>0</v>
      </c>
      <c r="BH139" s="98"/>
      <c r="BI139" s="98"/>
      <c r="BJ139" s="98"/>
      <c r="BK139" s="99"/>
      <c r="BL139" s="97">
        <v>0</v>
      </c>
      <c r="BM139" s="98"/>
      <c r="BN139" s="98"/>
      <c r="BO139" s="98"/>
      <c r="BP139" s="99"/>
      <c r="BQ139" s="97">
        <v>0</v>
      </c>
      <c r="BR139" s="98"/>
      <c r="BS139" s="98"/>
      <c r="BT139" s="99"/>
      <c r="BU139" s="97">
        <f>IF(ISNUMBER(BG139),BG139,0)+IF(ISNUMBER(BL139),BL139,0)</f>
        <v>0</v>
      </c>
      <c r="BV139" s="98"/>
      <c r="BW139" s="98"/>
      <c r="BX139" s="98"/>
      <c r="BY139" s="99"/>
    </row>
    <row r="140" spans="1:77" s="100" customFormat="1" ht="25.5" customHeight="1" x14ac:dyDescent="0.2">
      <c r="A140" s="90">
        <v>37</v>
      </c>
      <c r="B140" s="91"/>
      <c r="C140" s="91"/>
      <c r="D140" s="93" t="s">
        <v>220</v>
      </c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5"/>
      <c r="U140" s="97">
        <v>0</v>
      </c>
      <c r="V140" s="98"/>
      <c r="W140" s="98"/>
      <c r="X140" s="98"/>
      <c r="Y140" s="99"/>
      <c r="Z140" s="97">
        <v>0</v>
      </c>
      <c r="AA140" s="98"/>
      <c r="AB140" s="98"/>
      <c r="AC140" s="98"/>
      <c r="AD140" s="99"/>
      <c r="AE140" s="97">
        <v>0</v>
      </c>
      <c r="AF140" s="98"/>
      <c r="AG140" s="98"/>
      <c r="AH140" s="99"/>
      <c r="AI140" s="97">
        <f>IF(ISNUMBER(U140),U140,0)+IF(ISNUMBER(Z140),Z140,0)</f>
        <v>0</v>
      </c>
      <c r="AJ140" s="98"/>
      <c r="AK140" s="98"/>
      <c r="AL140" s="98"/>
      <c r="AM140" s="99"/>
      <c r="AN140" s="97">
        <v>0</v>
      </c>
      <c r="AO140" s="98"/>
      <c r="AP140" s="98"/>
      <c r="AQ140" s="98"/>
      <c r="AR140" s="99"/>
      <c r="AS140" s="97">
        <v>0</v>
      </c>
      <c r="AT140" s="98"/>
      <c r="AU140" s="98"/>
      <c r="AV140" s="98"/>
      <c r="AW140" s="99"/>
      <c r="AX140" s="97">
        <v>0</v>
      </c>
      <c r="AY140" s="98"/>
      <c r="AZ140" s="98"/>
      <c r="BA140" s="99"/>
      <c r="BB140" s="97">
        <f>IF(ISNUMBER(AN140),AN140,0)+IF(ISNUMBER(AS140),AS140,0)</f>
        <v>0</v>
      </c>
      <c r="BC140" s="98"/>
      <c r="BD140" s="98"/>
      <c r="BE140" s="98"/>
      <c r="BF140" s="99"/>
      <c r="BG140" s="97">
        <v>0</v>
      </c>
      <c r="BH140" s="98"/>
      <c r="BI140" s="98"/>
      <c r="BJ140" s="98"/>
      <c r="BK140" s="99"/>
      <c r="BL140" s="97">
        <v>0</v>
      </c>
      <c r="BM140" s="98"/>
      <c r="BN140" s="98"/>
      <c r="BO140" s="98"/>
      <c r="BP140" s="99"/>
      <c r="BQ140" s="97">
        <v>0</v>
      </c>
      <c r="BR140" s="98"/>
      <c r="BS140" s="98"/>
      <c r="BT140" s="99"/>
      <c r="BU140" s="97">
        <f>IF(ISNUMBER(BG140),BG140,0)+IF(ISNUMBER(BL140),BL140,0)</f>
        <v>0</v>
      </c>
      <c r="BV140" s="98"/>
      <c r="BW140" s="98"/>
      <c r="BX140" s="98"/>
      <c r="BY140" s="99"/>
    </row>
    <row r="141" spans="1:77" s="100" customFormat="1" ht="25.5" customHeight="1" x14ac:dyDescent="0.2">
      <c r="A141" s="90">
        <v>38</v>
      </c>
      <c r="B141" s="91"/>
      <c r="C141" s="91"/>
      <c r="D141" s="93" t="s">
        <v>221</v>
      </c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5"/>
      <c r="U141" s="97">
        <v>0</v>
      </c>
      <c r="V141" s="98"/>
      <c r="W141" s="98"/>
      <c r="X141" s="98"/>
      <c r="Y141" s="99"/>
      <c r="Z141" s="97">
        <v>0</v>
      </c>
      <c r="AA141" s="98"/>
      <c r="AB141" s="98"/>
      <c r="AC141" s="98"/>
      <c r="AD141" s="99"/>
      <c r="AE141" s="97">
        <v>0</v>
      </c>
      <c r="AF141" s="98"/>
      <c r="AG141" s="98"/>
      <c r="AH141" s="99"/>
      <c r="AI141" s="97">
        <f>IF(ISNUMBER(U141),U141,0)+IF(ISNUMBER(Z141),Z141,0)</f>
        <v>0</v>
      </c>
      <c r="AJ141" s="98"/>
      <c r="AK141" s="98"/>
      <c r="AL141" s="98"/>
      <c r="AM141" s="99"/>
      <c r="AN141" s="97">
        <v>0</v>
      </c>
      <c r="AO141" s="98"/>
      <c r="AP141" s="98"/>
      <c r="AQ141" s="98"/>
      <c r="AR141" s="99"/>
      <c r="AS141" s="97">
        <v>0</v>
      </c>
      <c r="AT141" s="98"/>
      <c r="AU141" s="98"/>
      <c r="AV141" s="98"/>
      <c r="AW141" s="99"/>
      <c r="AX141" s="97">
        <v>0</v>
      </c>
      <c r="AY141" s="98"/>
      <c r="AZ141" s="98"/>
      <c r="BA141" s="99"/>
      <c r="BB141" s="97">
        <f>IF(ISNUMBER(AN141),AN141,0)+IF(ISNUMBER(AS141),AS141,0)</f>
        <v>0</v>
      </c>
      <c r="BC141" s="98"/>
      <c r="BD141" s="98"/>
      <c r="BE141" s="98"/>
      <c r="BF141" s="99"/>
      <c r="BG141" s="97">
        <v>0</v>
      </c>
      <c r="BH141" s="98"/>
      <c r="BI141" s="98"/>
      <c r="BJ141" s="98"/>
      <c r="BK141" s="99"/>
      <c r="BL141" s="97">
        <v>0</v>
      </c>
      <c r="BM141" s="98"/>
      <c r="BN141" s="98"/>
      <c r="BO141" s="98"/>
      <c r="BP141" s="99"/>
      <c r="BQ141" s="97">
        <v>0</v>
      </c>
      <c r="BR141" s="98"/>
      <c r="BS141" s="98"/>
      <c r="BT141" s="99"/>
      <c r="BU141" s="97">
        <f>IF(ISNUMBER(BG141),BG141,0)+IF(ISNUMBER(BL141),BL141,0)</f>
        <v>0</v>
      </c>
      <c r="BV141" s="98"/>
      <c r="BW141" s="98"/>
      <c r="BX141" s="98"/>
      <c r="BY141" s="99"/>
    </row>
    <row r="142" spans="1:77" s="100" customFormat="1" ht="12.75" customHeight="1" x14ac:dyDescent="0.2">
      <c r="A142" s="90">
        <v>39</v>
      </c>
      <c r="B142" s="91"/>
      <c r="C142" s="91"/>
      <c r="D142" s="93" t="s">
        <v>222</v>
      </c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5"/>
      <c r="U142" s="97">
        <v>0</v>
      </c>
      <c r="V142" s="98"/>
      <c r="W142" s="98"/>
      <c r="X142" s="98"/>
      <c r="Y142" s="99"/>
      <c r="Z142" s="97">
        <v>0</v>
      </c>
      <c r="AA142" s="98"/>
      <c r="AB142" s="98"/>
      <c r="AC142" s="98"/>
      <c r="AD142" s="99"/>
      <c r="AE142" s="97">
        <v>0</v>
      </c>
      <c r="AF142" s="98"/>
      <c r="AG142" s="98"/>
      <c r="AH142" s="99"/>
      <c r="AI142" s="97">
        <f>IF(ISNUMBER(U142),U142,0)+IF(ISNUMBER(Z142),Z142,0)</f>
        <v>0</v>
      </c>
      <c r="AJ142" s="98"/>
      <c r="AK142" s="98"/>
      <c r="AL142" s="98"/>
      <c r="AM142" s="99"/>
      <c r="AN142" s="97">
        <v>0</v>
      </c>
      <c r="AO142" s="98"/>
      <c r="AP142" s="98"/>
      <c r="AQ142" s="98"/>
      <c r="AR142" s="99"/>
      <c r="AS142" s="97">
        <v>0</v>
      </c>
      <c r="AT142" s="98"/>
      <c r="AU142" s="98"/>
      <c r="AV142" s="98"/>
      <c r="AW142" s="99"/>
      <c r="AX142" s="97">
        <v>0</v>
      </c>
      <c r="AY142" s="98"/>
      <c r="AZ142" s="98"/>
      <c r="BA142" s="99"/>
      <c r="BB142" s="97">
        <f>IF(ISNUMBER(AN142),AN142,0)+IF(ISNUMBER(AS142),AS142,0)</f>
        <v>0</v>
      </c>
      <c r="BC142" s="98"/>
      <c r="BD142" s="98"/>
      <c r="BE142" s="98"/>
      <c r="BF142" s="99"/>
      <c r="BG142" s="97">
        <v>0</v>
      </c>
      <c r="BH142" s="98"/>
      <c r="BI142" s="98"/>
      <c r="BJ142" s="98"/>
      <c r="BK142" s="99"/>
      <c r="BL142" s="97">
        <v>0</v>
      </c>
      <c r="BM142" s="98"/>
      <c r="BN142" s="98"/>
      <c r="BO142" s="98"/>
      <c r="BP142" s="99"/>
      <c r="BQ142" s="97">
        <v>0</v>
      </c>
      <c r="BR142" s="98"/>
      <c r="BS142" s="98"/>
      <c r="BT142" s="99"/>
      <c r="BU142" s="97">
        <f>IF(ISNUMBER(BG142),BG142,0)+IF(ISNUMBER(BL142),BL142,0)</f>
        <v>0</v>
      </c>
      <c r="BV142" s="98"/>
      <c r="BW142" s="98"/>
      <c r="BX142" s="98"/>
      <c r="BY142" s="99"/>
    </row>
    <row r="143" spans="1:77" s="100" customFormat="1" ht="89.25" customHeight="1" x14ac:dyDescent="0.2">
      <c r="A143" s="90">
        <v>40</v>
      </c>
      <c r="B143" s="91"/>
      <c r="C143" s="91"/>
      <c r="D143" s="93" t="s">
        <v>223</v>
      </c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5"/>
      <c r="U143" s="97">
        <v>0</v>
      </c>
      <c r="V143" s="98"/>
      <c r="W143" s="98"/>
      <c r="X143" s="98"/>
      <c r="Y143" s="99"/>
      <c r="Z143" s="97">
        <v>0</v>
      </c>
      <c r="AA143" s="98"/>
      <c r="AB143" s="98"/>
      <c r="AC143" s="98"/>
      <c r="AD143" s="99"/>
      <c r="AE143" s="97">
        <v>10000</v>
      </c>
      <c r="AF143" s="98"/>
      <c r="AG143" s="98"/>
      <c r="AH143" s="99"/>
      <c r="AI143" s="97">
        <f>IF(ISNUMBER(U143),U143,0)+IF(ISNUMBER(Z143),Z143,0)</f>
        <v>0</v>
      </c>
      <c r="AJ143" s="98"/>
      <c r="AK143" s="98"/>
      <c r="AL143" s="98"/>
      <c r="AM143" s="99"/>
      <c r="AN143" s="97">
        <v>0</v>
      </c>
      <c r="AO143" s="98"/>
      <c r="AP143" s="98"/>
      <c r="AQ143" s="98"/>
      <c r="AR143" s="99"/>
      <c r="AS143" s="97">
        <v>0</v>
      </c>
      <c r="AT143" s="98"/>
      <c r="AU143" s="98"/>
      <c r="AV143" s="98"/>
      <c r="AW143" s="99"/>
      <c r="AX143" s="97">
        <v>0</v>
      </c>
      <c r="AY143" s="98"/>
      <c r="AZ143" s="98"/>
      <c r="BA143" s="99"/>
      <c r="BB143" s="97">
        <f>IF(ISNUMBER(AN143),AN143,0)+IF(ISNUMBER(AS143),AS143,0)</f>
        <v>0</v>
      </c>
      <c r="BC143" s="98"/>
      <c r="BD143" s="98"/>
      <c r="BE143" s="98"/>
      <c r="BF143" s="99"/>
      <c r="BG143" s="97">
        <v>0</v>
      </c>
      <c r="BH143" s="98"/>
      <c r="BI143" s="98"/>
      <c r="BJ143" s="98"/>
      <c r="BK143" s="99"/>
      <c r="BL143" s="97">
        <v>0</v>
      </c>
      <c r="BM143" s="98"/>
      <c r="BN143" s="98"/>
      <c r="BO143" s="98"/>
      <c r="BP143" s="99"/>
      <c r="BQ143" s="97">
        <v>0</v>
      </c>
      <c r="BR143" s="98"/>
      <c r="BS143" s="98"/>
      <c r="BT143" s="99"/>
      <c r="BU143" s="97">
        <f>IF(ISNUMBER(BG143),BG143,0)+IF(ISNUMBER(BL143),BL143,0)</f>
        <v>0</v>
      </c>
      <c r="BV143" s="98"/>
      <c r="BW143" s="98"/>
      <c r="BX143" s="98"/>
      <c r="BY143" s="99"/>
    </row>
    <row r="144" spans="1:77" s="100" customFormat="1" ht="25.5" customHeight="1" x14ac:dyDescent="0.2">
      <c r="A144" s="90">
        <v>41</v>
      </c>
      <c r="B144" s="91"/>
      <c r="C144" s="91"/>
      <c r="D144" s="93" t="s">
        <v>224</v>
      </c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5"/>
      <c r="U144" s="97">
        <v>0</v>
      </c>
      <c r="V144" s="98"/>
      <c r="W144" s="98"/>
      <c r="X144" s="98"/>
      <c r="Y144" s="99"/>
      <c r="Z144" s="97">
        <v>0</v>
      </c>
      <c r="AA144" s="98"/>
      <c r="AB144" s="98"/>
      <c r="AC144" s="98"/>
      <c r="AD144" s="99"/>
      <c r="AE144" s="97">
        <v>0</v>
      </c>
      <c r="AF144" s="98"/>
      <c r="AG144" s="98"/>
      <c r="AH144" s="99"/>
      <c r="AI144" s="97">
        <f>IF(ISNUMBER(U144),U144,0)+IF(ISNUMBER(Z144),Z144,0)</f>
        <v>0</v>
      </c>
      <c r="AJ144" s="98"/>
      <c r="AK144" s="98"/>
      <c r="AL144" s="98"/>
      <c r="AM144" s="99"/>
      <c r="AN144" s="97">
        <v>0</v>
      </c>
      <c r="AO144" s="98"/>
      <c r="AP144" s="98"/>
      <c r="AQ144" s="98"/>
      <c r="AR144" s="99"/>
      <c r="AS144" s="97">
        <v>0</v>
      </c>
      <c r="AT144" s="98"/>
      <c r="AU144" s="98"/>
      <c r="AV144" s="98"/>
      <c r="AW144" s="99"/>
      <c r="AX144" s="97">
        <v>0</v>
      </c>
      <c r="AY144" s="98"/>
      <c r="AZ144" s="98"/>
      <c r="BA144" s="99"/>
      <c r="BB144" s="97">
        <f>IF(ISNUMBER(AN144),AN144,0)+IF(ISNUMBER(AS144),AS144,0)</f>
        <v>0</v>
      </c>
      <c r="BC144" s="98"/>
      <c r="BD144" s="98"/>
      <c r="BE144" s="98"/>
      <c r="BF144" s="99"/>
      <c r="BG144" s="97">
        <v>0</v>
      </c>
      <c r="BH144" s="98"/>
      <c r="BI144" s="98"/>
      <c r="BJ144" s="98"/>
      <c r="BK144" s="99"/>
      <c r="BL144" s="97">
        <v>0</v>
      </c>
      <c r="BM144" s="98"/>
      <c r="BN144" s="98"/>
      <c r="BO144" s="98"/>
      <c r="BP144" s="99"/>
      <c r="BQ144" s="97">
        <v>0</v>
      </c>
      <c r="BR144" s="98"/>
      <c r="BS144" s="98"/>
      <c r="BT144" s="99"/>
      <c r="BU144" s="97">
        <f>IF(ISNUMBER(BG144),BG144,0)+IF(ISNUMBER(BL144),BL144,0)</f>
        <v>0</v>
      </c>
      <c r="BV144" s="98"/>
      <c r="BW144" s="98"/>
      <c r="BX144" s="98"/>
      <c r="BY144" s="99"/>
    </row>
    <row r="145" spans="1:79" s="100" customFormat="1" ht="25.5" customHeight="1" x14ac:dyDescent="0.2">
      <c r="A145" s="90">
        <v>42</v>
      </c>
      <c r="B145" s="91"/>
      <c r="C145" s="91"/>
      <c r="D145" s="93" t="s">
        <v>225</v>
      </c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5"/>
      <c r="U145" s="97">
        <v>0</v>
      </c>
      <c r="V145" s="98"/>
      <c r="W145" s="98"/>
      <c r="X145" s="98"/>
      <c r="Y145" s="99"/>
      <c r="Z145" s="97">
        <v>0</v>
      </c>
      <c r="AA145" s="98"/>
      <c r="AB145" s="98"/>
      <c r="AC145" s="98"/>
      <c r="AD145" s="99"/>
      <c r="AE145" s="97">
        <v>0</v>
      </c>
      <c r="AF145" s="98"/>
      <c r="AG145" s="98"/>
      <c r="AH145" s="99"/>
      <c r="AI145" s="97">
        <f>IF(ISNUMBER(U145),U145,0)+IF(ISNUMBER(Z145),Z145,0)</f>
        <v>0</v>
      </c>
      <c r="AJ145" s="98"/>
      <c r="AK145" s="98"/>
      <c r="AL145" s="98"/>
      <c r="AM145" s="99"/>
      <c r="AN145" s="97">
        <v>0</v>
      </c>
      <c r="AO145" s="98"/>
      <c r="AP145" s="98"/>
      <c r="AQ145" s="98"/>
      <c r="AR145" s="99"/>
      <c r="AS145" s="97">
        <v>0</v>
      </c>
      <c r="AT145" s="98"/>
      <c r="AU145" s="98"/>
      <c r="AV145" s="98"/>
      <c r="AW145" s="99"/>
      <c r="AX145" s="97">
        <v>0</v>
      </c>
      <c r="AY145" s="98"/>
      <c r="AZ145" s="98"/>
      <c r="BA145" s="99"/>
      <c r="BB145" s="97">
        <f>IF(ISNUMBER(AN145),AN145,0)+IF(ISNUMBER(AS145),AS145,0)</f>
        <v>0</v>
      </c>
      <c r="BC145" s="98"/>
      <c r="BD145" s="98"/>
      <c r="BE145" s="98"/>
      <c r="BF145" s="99"/>
      <c r="BG145" s="97">
        <v>0</v>
      </c>
      <c r="BH145" s="98"/>
      <c r="BI145" s="98"/>
      <c r="BJ145" s="98"/>
      <c r="BK145" s="99"/>
      <c r="BL145" s="97">
        <v>0</v>
      </c>
      <c r="BM145" s="98"/>
      <c r="BN145" s="98"/>
      <c r="BO145" s="98"/>
      <c r="BP145" s="99"/>
      <c r="BQ145" s="97">
        <v>0</v>
      </c>
      <c r="BR145" s="98"/>
      <c r="BS145" s="98"/>
      <c r="BT145" s="99"/>
      <c r="BU145" s="97">
        <f>IF(ISNUMBER(BG145),BG145,0)+IF(ISNUMBER(BL145),BL145,0)</f>
        <v>0</v>
      </c>
      <c r="BV145" s="98"/>
      <c r="BW145" s="98"/>
      <c r="BX145" s="98"/>
      <c r="BY145" s="99"/>
    </row>
    <row r="146" spans="1:79" s="100" customFormat="1" ht="25.5" customHeight="1" x14ac:dyDescent="0.2">
      <c r="A146" s="90">
        <v>43</v>
      </c>
      <c r="B146" s="91"/>
      <c r="C146" s="91"/>
      <c r="D146" s="93" t="s">
        <v>226</v>
      </c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5"/>
      <c r="U146" s="97">
        <v>0</v>
      </c>
      <c r="V146" s="98"/>
      <c r="W146" s="98"/>
      <c r="X146" s="98"/>
      <c r="Y146" s="99"/>
      <c r="Z146" s="97">
        <v>0</v>
      </c>
      <c r="AA146" s="98"/>
      <c r="AB146" s="98"/>
      <c r="AC146" s="98"/>
      <c r="AD146" s="99"/>
      <c r="AE146" s="97">
        <v>75790</v>
      </c>
      <c r="AF146" s="98"/>
      <c r="AG146" s="98"/>
      <c r="AH146" s="99"/>
      <c r="AI146" s="97">
        <f>IF(ISNUMBER(U146),U146,0)+IF(ISNUMBER(Z146),Z146,0)</f>
        <v>0</v>
      </c>
      <c r="AJ146" s="98"/>
      <c r="AK146" s="98"/>
      <c r="AL146" s="98"/>
      <c r="AM146" s="99"/>
      <c r="AN146" s="97">
        <v>0</v>
      </c>
      <c r="AO146" s="98"/>
      <c r="AP146" s="98"/>
      <c r="AQ146" s="98"/>
      <c r="AR146" s="99"/>
      <c r="AS146" s="97">
        <v>0</v>
      </c>
      <c r="AT146" s="98"/>
      <c r="AU146" s="98"/>
      <c r="AV146" s="98"/>
      <c r="AW146" s="99"/>
      <c r="AX146" s="97">
        <v>0</v>
      </c>
      <c r="AY146" s="98"/>
      <c r="AZ146" s="98"/>
      <c r="BA146" s="99"/>
      <c r="BB146" s="97">
        <f>IF(ISNUMBER(AN146),AN146,0)+IF(ISNUMBER(AS146),AS146,0)</f>
        <v>0</v>
      </c>
      <c r="BC146" s="98"/>
      <c r="BD146" s="98"/>
      <c r="BE146" s="98"/>
      <c r="BF146" s="99"/>
      <c r="BG146" s="97">
        <v>0</v>
      </c>
      <c r="BH146" s="98"/>
      <c r="BI146" s="98"/>
      <c r="BJ146" s="98"/>
      <c r="BK146" s="99"/>
      <c r="BL146" s="97">
        <v>0</v>
      </c>
      <c r="BM146" s="98"/>
      <c r="BN146" s="98"/>
      <c r="BO146" s="98"/>
      <c r="BP146" s="99"/>
      <c r="BQ146" s="97">
        <v>0</v>
      </c>
      <c r="BR146" s="98"/>
      <c r="BS146" s="98"/>
      <c r="BT146" s="99"/>
      <c r="BU146" s="97">
        <f>IF(ISNUMBER(BG146),BG146,0)+IF(ISNUMBER(BL146),BL146,0)</f>
        <v>0</v>
      </c>
      <c r="BV146" s="98"/>
      <c r="BW146" s="98"/>
      <c r="BX146" s="98"/>
      <c r="BY146" s="99"/>
    </row>
    <row r="147" spans="1:79" s="6" customFormat="1" ht="12.75" customHeight="1" x14ac:dyDescent="0.2">
      <c r="A147" s="87"/>
      <c r="B147" s="88"/>
      <c r="C147" s="88"/>
      <c r="D147" s="101" t="s">
        <v>147</v>
      </c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3"/>
      <c r="U147" s="105">
        <v>10615993</v>
      </c>
      <c r="V147" s="106"/>
      <c r="W147" s="106"/>
      <c r="X147" s="106"/>
      <c r="Y147" s="107"/>
      <c r="Z147" s="105">
        <v>39900</v>
      </c>
      <c r="AA147" s="106"/>
      <c r="AB147" s="106"/>
      <c r="AC147" s="106"/>
      <c r="AD147" s="107"/>
      <c r="AE147" s="105">
        <v>125690</v>
      </c>
      <c r="AF147" s="106"/>
      <c r="AG147" s="106"/>
      <c r="AH147" s="107"/>
      <c r="AI147" s="105">
        <f>IF(ISNUMBER(U147),U147,0)+IF(ISNUMBER(Z147),Z147,0)</f>
        <v>10655893</v>
      </c>
      <c r="AJ147" s="106"/>
      <c r="AK147" s="106"/>
      <c r="AL147" s="106"/>
      <c r="AM147" s="107"/>
      <c r="AN147" s="105">
        <v>18086652</v>
      </c>
      <c r="AO147" s="106"/>
      <c r="AP147" s="106"/>
      <c r="AQ147" s="106"/>
      <c r="AR147" s="107"/>
      <c r="AS147" s="105">
        <v>0</v>
      </c>
      <c r="AT147" s="106"/>
      <c r="AU147" s="106"/>
      <c r="AV147" s="106"/>
      <c r="AW147" s="107"/>
      <c r="AX147" s="105">
        <v>0</v>
      </c>
      <c r="AY147" s="106"/>
      <c r="AZ147" s="106"/>
      <c r="BA147" s="107"/>
      <c r="BB147" s="105">
        <f>IF(ISNUMBER(AN147),AN147,0)+IF(ISNUMBER(AS147),AS147,0)</f>
        <v>18086652</v>
      </c>
      <c r="BC147" s="106"/>
      <c r="BD147" s="106"/>
      <c r="BE147" s="106"/>
      <c r="BF147" s="107"/>
      <c r="BG147" s="105">
        <v>0</v>
      </c>
      <c r="BH147" s="106"/>
      <c r="BI147" s="106"/>
      <c r="BJ147" s="106"/>
      <c r="BK147" s="107"/>
      <c r="BL147" s="105">
        <v>0</v>
      </c>
      <c r="BM147" s="106"/>
      <c r="BN147" s="106"/>
      <c r="BO147" s="106"/>
      <c r="BP147" s="107"/>
      <c r="BQ147" s="105">
        <v>0</v>
      </c>
      <c r="BR147" s="106"/>
      <c r="BS147" s="106"/>
      <c r="BT147" s="107"/>
      <c r="BU147" s="105">
        <f>IF(ISNUMBER(BG147),BG147,0)+IF(ISNUMBER(BL147),BL147,0)</f>
        <v>0</v>
      </c>
      <c r="BV147" s="106"/>
      <c r="BW147" s="106"/>
      <c r="BX147" s="106"/>
      <c r="BY147" s="107"/>
    </row>
    <row r="149" spans="1:79" ht="14.25" customHeight="1" x14ac:dyDescent="0.2">
      <c r="A149" s="29" t="s">
        <v>273</v>
      </c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</row>
    <row r="150" spans="1:79" ht="15" customHeight="1" x14ac:dyDescent="0.2">
      <c r="A150" s="75" t="s">
        <v>243</v>
      </c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</row>
    <row r="151" spans="1:79" ht="23.1" customHeight="1" x14ac:dyDescent="0.2">
      <c r="A151" s="51" t="s">
        <v>6</v>
      </c>
      <c r="B151" s="52"/>
      <c r="C151" s="52"/>
      <c r="D151" s="51" t="s">
        <v>121</v>
      </c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3"/>
      <c r="U151" s="27" t="s">
        <v>265</v>
      </c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 t="s">
        <v>270</v>
      </c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</row>
    <row r="152" spans="1:79" ht="54" customHeight="1" x14ac:dyDescent="0.2">
      <c r="A152" s="54"/>
      <c r="B152" s="55"/>
      <c r="C152" s="55"/>
      <c r="D152" s="54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6"/>
      <c r="U152" s="36" t="s">
        <v>4</v>
      </c>
      <c r="V152" s="37"/>
      <c r="W152" s="37"/>
      <c r="X152" s="37"/>
      <c r="Y152" s="38"/>
      <c r="Z152" s="36" t="s">
        <v>3</v>
      </c>
      <c r="AA152" s="37"/>
      <c r="AB152" s="37"/>
      <c r="AC152" s="37"/>
      <c r="AD152" s="38"/>
      <c r="AE152" s="57" t="s">
        <v>116</v>
      </c>
      <c r="AF152" s="58"/>
      <c r="AG152" s="58"/>
      <c r="AH152" s="58"/>
      <c r="AI152" s="59"/>
      <c r="AJ152" s="36" t="s">
        <v>5</v>
      </c>
      <c r="AK152" s="37"/>
      <c r="AL152" s="37"/>
      <c r="AM152" s="37"/>
      <c r="AN152" s="38"/>
      <c r="AO152" s="36" t="s">
        <v>4</v>
      </c>
      <c r="AP152" s="37"/>
      <c r="AQ152" s="37"/>
      <c r="AR152" s="37"/>
      <c r="AS152" s="38"/>
      <c r="AT152" s="36" t="s">
        <v>3</v>
      </c>
      <c r="AU152" s="37"/>
      <c r="AV152" s="37"/>
      <c r="AW152" s="37"/>
      <c r="AX152" s="38"/>
      <c r="AY152" s="57" t="s">
        <v>116</v>
      </c>
      <c r="AZ152" s="58"/>
      <c r="BA152" s="58"/>
      <c r="BB152" s="58"/>
      <c r="BC152" s="59"/>
      <c r="BD152" s="27" t="s">
        <v>96</v>
      </c>
      <c r="BE152" s="27"/>
      <c r="BF152" s="27"/>
      <c r="BG152" s="27"/>
      <c r="BH152" s="27"/>
    </row>
    <row r="153" spans="1:79" ht="15" customHeight="1" x14ac:dyDescent="0.2">
      <c r="A153" s="36" t="s">
        <v>168</v>
      </c>
      <c r="B153" s="37"/>
      <c r="C153" s="37"/>
      <c r="D153" s="36">
        <v>2</v>
      </c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8"/>
      <c r="U153" s="36">
        <v>3</v>
      </c>
      <c r="V153" s="37"/>
      <c r="W153" s="37"/>
      <c r="X153" s="37"/>
      <c r="Y153" s="38"/>
      <c r="Z153" s="36">
        <v>4</v>
      </c>
      <c r="AA153" s="37"/>
      <c r="AB153" s="37"/>
      <c r="AC153" s="37"/>
      <c r="AD153" s="38"/>
      <c r="AE153" s="36">
        <v>5</v>
      </c>
      <c r="AF153" s="37"/>
      <c r="AG153" s="37"/>
      <c r="AH153" s="37"/>
      <c r="AI153" s="38"/>
      <c r="AJ153" s="36">
        <v>6</v>
      </c>
      <c r="AK153" s="37"/>
      <c r="AL153" s="37"/>
      <c r="AM153" s="37"/>
      <c r="AN153" s="38"/>
      <c r="AO153" s="36">
        <v>7</v>
      </c>
      <c r="AP153" s="37"/>
      <c r="AQ153" s="37"/>
      <c r="AR153" s="37"/>
      <c r="AS153" s="38"/>
      <c r="AT153" s="36">
        <v>8</v>
      </c>
      <c r="AU153" s="37"/>
      <c r="AV153" s="37"/>
      <c r="AW153" s="37"/>
      <c r="AX153" s="38"/>
      <c r="AY153" s="36">
        <v>9</v>
      </c>
      <c r="AZ153" s="37"/>
      <c r="BA153" s="37"/>
      <c r="BB153" s="37"/>
      <c r="BC153" s="38"/>
      <c r="BD153" s="36">
        <v>10</v>
      </c>
      <c r="BE153" s="37"/>
      <c r="BF153" s="37"/>
      <c r="BG153" s="37"/>
      <c r="BH153" s="38"/>
    </row>
    <row r="154" spans="1:79" s="1" customFormat="1" ht="12.75" hidden="1" customHeight="1" x14ac:dyDescent="0.2">
      <c r="A154" s="39" t="s">
        <v>69</v>
      </c>
      <c r="B154" s="40"/>
      <c r="C154" s="40"/>
      <c r="D154" s="39" t="s">
        <v>57</v>
      </c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1"/>
      <c r="U154" s="39" t="s">
        <v>60</v>
      </c>
      <c r="V154" s="40"/>
      <c r="W154" s="40"/>
      <c r="X154" s="40"/>
      <c r="Y154" s="41"/>
      <c r="Z154" s="39" t="s">
        <v>61</v>
      </c>
      <c r="AA154" s="40"/>
      <c r="AB154" s="40"/>
      <c r="AC154" s="40"/>
      <c r="AD154" s="41"/>
      <c r="AE154" s="39" t="s">
        <v>94</v>
      </c>
      <c r="AF154" s="40"/>
      <c r="AG154" s="40"/>
      <c r="AH154" s="40"/>
      <c r="AI154" s="41"/>
      <c r="AJ154" s="47" t="s">
        <v>170</v>
      </c>
      <c r="AK154" s="48"/>
      <c r="AL154" s="48"/>
      <c r="AM154" s="48"/>
      <c r="AN154" s="49"/>
      <c r="AO154" s="39" t="s">
        <v>62</v>
      </c>
      <c r="AP154" s="40"/>
      <c r="AQ154" s="40"/>
      <c r="AR154" s="40"/>
      <c r="AS154" s="41"/>
      <c r="AT154" s="39" t="s">
        <v>63</v>
      </c>
      <c r="AU154" s="40"/>
      <c r="AV154" s="40"/>
      <c r="AW154" s="40"/>
      <c r="AX154" s="41"/>
      <c r="AY154" s="39" t="s">
        <v>95</v>
      </c>
      <c r="AZ154" s="40"/>
      <c r="BA154" s="40"/>
      <c r="BB154" s="40"/>
      <c r="BC154" s="41"/>
      <c r="BD154" s="50" t="s">
        <v>170</v>
      </c>
      <c r="BE154" s="50"/>
      <c r="BF154" s="50"/>
      <c r="BG154" s="50"/>
      <c r="BH154" s="50"/>
      <c r="CA154" s="1" t="s">
        <v>35</v>
      </c>
    </row>
    <row r="155" spans="1:79" s="100" customFormat="1" ht="89.25" customHeight="1" x14ac:dyDescent="0.2">
      <c r="A155" s="90">
        <v>1</v>
      </c>
      <c r="B155" s="91"/>
      <c r="C155" s="91"/>
      <c r="D155" s="93" t="s">
        <v>184</v>
      </c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5"/>
      <c r="U155" s="97">
        <v>0</v>
      </c>
      <c r="V155" s="98"/>
      <c r="W155" s="98"/>
      <c r="X155" s="98"/>
      <c r="Y155" s="99"/>
      <c r="Z155" s="97">
        <v>0</v>
      </c>
      <c r="AA155" s="98"/>
      <c r="AB155" s="98"/>
      <c r="AC155" s="98"/>
      <c r="AD155" s="99"/>
      <c r="AE155" s="96">
        <v>0</v>
      </c>
      <c r="AF155" s="96"/>
      <c r="AG155" s="96"/>
      <c r="AH155" s="96"/>
      <c r="AI155" s="96"/>
      <c r="AJ155" s="111">
        <f>IF(ISNUMBER(U155),U155,0)+IF(ISNUMBER(Z155),Z155,0)</f>
        <v>0</v>
      </c>
      <c r="AK155" s="111"/>
      <c r="AL155" s="111"/>
      <c r="AM155" s="111"/>
      <c r="AN155" s="111"/>
      <c r="AO155" s="96">
        <v>0</v>
      </c>
      <c r="AP155" s="96"/>
      <c r="AQ155" s="96"/>
      <c r="AR155" s="96"/>
      <c r="AS155" s="96"/>
      <c r="AT155" s="111">
        <v>0</v>
      </c>
      <c r="AU155" s="111"/>
      <c r="AV155" s="111"/>
      <c r="AW155" s="111"/>
      <c r="AX155" s="111"/>
      <c r="AY155" s="96">
        <v>0</v>
      </c>
      <c r="AZ155" s="96"/>
      <c r="BA155" s="96"/>
      <c r="BB155" s="96"/>
      <c r="BC155" s="96"/>
      <c r="BD155" s="111">
        <f>IF(ISNUMBER(AO155),AO155,0)+IF(ISNUMBER(AT155),AT155,0)</f>
        <v>0</v>
      </c>
      <c r="BE155" s="111"/>
      <c r="BF155" s="111"/>
      <c r="BG155" s="111"/>
      <c r="BH155" s="111"/>
      <c r="CA155" s="100" t="s">
        <v>36</v>
      </c>
    </row>
    <row r="156" spans="1:79" s="100" customFormat="1" ht="51" customHeight="1" x14ac:dyDescent="0.2">
      <c r="A156" s="90">
        <v>2</v>
      </c>
      <c r="B156" s="91"/>
      <c r="C156" s="91"/>
      <c r="D156" s="93" t="s">
        <v>185</v>
      </c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5"/>
      <c r="U156" s="97">
        <v>0</v>
      </c>
      <c r="V156" s="98"/>
      <c r="W156" s="98"/>
      <c r="X156" s="98"/>
      <c r="Y156" s="99"/>
      <c r="Z156" s="97">
        <v>0</v>
      </c>
      <c r="AA156" s="98"/>
      <c r="AB156" s="98"/>
      <c r="AC156" s="98"/>
      <c r="AD156" s="99"/>
      <c r="AE156" s="96">
        <v>0</v>
      </c>
      <c r="AF156" s="96"/>
      <c r="AG156" s="96"/>
      <c r="AH156" s="96"/>
      <c r="AI156" s="96"/>
      <c r="AJ156" s="111">
        <f>IF(ISNUMBER(U156),U156,0)+IF(ISNUMBER(Z156),Z156,0)</f>
        <v>0</v>
      </c>
      <c r="AK156" s="111"/>
      <c r="AL156" s="111"/>
      <c r="AM156" s="111"/>
      <c r="AN156" s="111"/>
      <c r="AO156" s="96">
        <v>0</v>
      </c>
      <c r="AP156" s="96"/>
      <c r="AQ156" s="96"/>
      <c r="AR156" s="96"/>
      <c r="AS156" s="96"/>
      <c r="AT156" s="111">
        <v>0</v>
      </c>
      <c r="AU156" s="111"/>
      <c r="AV156" s="111"/>
      <c r="AW156" s="111"/>
      <c r="AX156" s="111"/>
      <c r="AY156" s="96">
        <v>0</v>
      </c>
      <c r="AZ156" s="96"/>
      <c r="BA156" s="96"/>
      <c r="BB156" s="96"/>
      <c r="BC156" s="96"/>
      <c r="BD156" s="111">
        <f>IF(ISNUMBER(AO156),AO156,0)+IF(ISNUMBER(AT156),AT156,0)</f>
        <v>0</v>
      </c>
      <c r="BE156" s="111"/>
      <c r="BF156" s="111"/>
      <c r="BG156" s="111"/>
      <c r="BH156" s="111"/>
    </row>
    <row r="157" spans="1:79" s="100" customFormat="1" ht="51" customHeight="1" x14ac:dyDescent="0.2">
      <c r="A157" s="90">
        <v>3</v>
      </c>
      <c r="B157" s="91"/>
      <c r="C157" s="91"/>
      <c r="D157" s="93" t="s">
        <v>186</v>
      </c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5"/>
      <c r="U157" s="97">
        <v>0</v>
      </c>
      <c r="V157" s="98"/>
      <c r="W157" s="98"/>
      <c r="X157" s="98"/>
      <c r="Y157" s="99"/>
      <c r="Z157" s="97">
        <v>0</v>
      </c>
      <c r="AA157" s="98"/>
      <c r="AB157" s="98"/>
      <c r="AC157" s="98"/>
      <c r="AD157" s="99"/>
      <c r="AE157" s="96">
        <v>0</v>
      </c>
      <c r="AF157" s="96"/>
      <c r="AG157" s="96"/>
      <c r="AH157" s="96"/>
      <c r="AI157" s="96"/>
      <c r="AJ157" s="111">
        <f>IF(ISNUMBER(U157),U157,0)+IF(ISNUMBER(Z157),Z157,0)</f>
        <v>0</v>
      </c>
      <c r="AK157" s="111"/>
      <c r="AL157" s="111"/>
      <c r="AM157" s="111"/>
      <c r="AN157" s="111"/>
      <c r="AO157" s="96">
        <v>0</v>
      </c>
      <c r="AP157" s="96"/>
      <c r="AQ157" s="96"/>
      <c r="AR157" s="96"/>
      <c r="AS157" s="96"/>
      <c r="AT157" s="111">
        <v>0</v>
      </c>
      <c r="AU157" s="111"/>
      <c r="AV157" s="111"/>
      <c r="AW157" s="111"/>
      <c r="AX157" s="111"/>
      <c r="AY157" s="96">
        <v>0</v>
      </c>
      <c r="AZ157" s="96"/>
      <c r="BA157" s="96"/>
      <c r="BB157" s="96"/>
      <c r="BC157" s="96"/>
      <c r="BD157" s="111">
        <f>IF(ISNUMBER(AO157),AO157,0)+IF(ISNUMBER(AT157),AT157,0)</f>
        <v>0</v>
      </c>
      <c r="BE157" s="111"/>
      <c r="BF157" s="111"/>
      <c r="BG157" s="111"/>
      <c r="BH157" s="111"/>
    </row>
    <row r="158" spans="1:79" s="100" customFormat="1" ht="51" customHeight="1" x14ac:dyDescent="0.2">
      <c r="A158" s="90">
        <v>4</v>
      </c>
      <c r="B158" s="91"/>
      <c r="C158" s="91"/>
      <c r="D158" s="93" t="s">
        <v>187</v>
      </c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5"/>
      <c r="U158" s="97">
        <v>0</v>
      </c>
      <c r="V158" s="98"/>
      <c r="W158" s="98"/>
      <c r="X158" s="98"/>
      <c r="Y158" s="99"/>
      <c r="Z158" s="97">
        <v>0</v>
      </c>
      <c r="AA158" s="98"/>
      <c r="AB158" s="98"/>
      <c r="AC158" s="98"/>
      <c r="AD158" s="99"/>
      <c r="AE158" s="96">
        <v>0</v>
      </c>
      <c r="AF158" s="96"/>
      <c r="AG158" s="96"/>
      <c r="AH158" s="96"/>
      <c r="AI158" s="96"/>
      <c r="AJ158" s="111">
        <f>IF(ISNUMBER(U158),U158,0)+IF(ISNUMBER(Z158),Z158,0)</f>
        <v>0</v>
      </c>
      <c r="AK158" s="111"/>
      <c r="AL158" s="111"/>
      <c r="AM158" s="111"/>
      <c r="AN158" s="111"/>
      <c r="AO158" s="96">
        <v>0</v>
      </c>
      <c r="AP158" s="96"/>
      <c r="AQ158" s="96"/>
      <c r="AR158" s="96"/>
      <c r="AS158" s="96"/>
      <c r="AT158" s="111">
        <v>0</v>
      </c>
      <c r="AU158" s="111"/>
      <c r="AV158" s="111"/>
      <c r="AW158" s="111"/>
      <c r="AX158" s="111"/>
      <c r="AY158" s="96">
        <v>0</v>
      </c>
      <c r="AZ158" s="96"/>
      <c r="BA158" s="96"/>
      <c r="BB158" s="96"/>
      <c r="BC158" s="96"/>
      <c r="BD158" s="111">
        <f>IF(ISNUMBER(AO158),AO158,0)+IF(ISNUMBER(AT158),AT158,0)</f>
        <v>0</v>
      </c>
      <c r="BE158" s="111"/>
      <c r="BF158" s="111"/>
      <c r="BG158" s="111"/>
      <c r="BH158" s="111"/>
    </row>
    <row r="159" spans="1:79" s="100" customFormat="1" ht="12.75" customHeight="1" x14ac:dyDescent="0.2">
      <c r="A159" s="90">
        <v>5</v>
      </c>
      <c r="B159" s="91"/>
      <c r="C159" s="91"/>
      <c r="D159" s="93" t="s">
        <v>188</v>
      </c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5"/>
      <c r="U159" s="97">
        <v>0</v>
      </c>
      <c r="V159" s="98"/>
      <c r="W159" s="98"/>
      <c r="X159" s="98"/>
      <c r="Y159" s="99"/>
      <c r="Z159" s="97">
        <v>0</v>
      </c>
      <c r="AA159" s="98"/>
      <c r="AB159" s="98"/>
      <c r="AC159" s="98"/>
      <c r="AD159" s="99"/>
      <c r="AE159" s="96">
        <v>0</v>
      </c>
      <c r="AF159" s="96"/>
      <c r="AG159" s="96"/>
      <c r="AH159" s="96"/>
      <c r="AI159" s="96"/>
      <c r="AJ159" s="111">
        <f>IF(ISNUMBER(U159),U159,0)+IF(ISNUMBER(Z159),Z159,0)</f>
        <v>0</v>
      </c>
      <c r="AK159" s="111"/>
      <c r="AL159" s="111"/>
      <c r="AM159" s="111"/>
      <c r="AN159" s="111"/>
      <c r="AO159" s="96">
        <v>0</v>
      </c>
      <c r="AP159" s="96"/>
      <c r="AQ159" s="96"/>
      <c r="AR159" s="96"/>
      <c r="AS159" s="96"/>
      <c r="AT159" s="111">
        <v>0</v>
      </c>
      <c r="AU159" s="111"/>
      <c r="AV159" s="111"/>
      <c r="AW159" s="111"/>
      <c r="AX159" s="111"/>
      <c r="AY159" s="96">
        <v>0</v>
      </c>
      <c r="AZ159" s="96"/>
      <c r="BA159" s="96"/>
      <c r="BB159" s="96"/>
      <c r="BC159" s="96"/>
      <c r="BD159" s="111">
        <f>IF(ISNUMBER(AO159),AO159,0)+IF(ISNUMBER(AT159),AT159,0)</f>
        <v>0</v>
      </c>
      <c r="BE159" s="111"/>
      <c r="BF159" s="111"/>
      <c r="BG159" s="111"/>
      <c r="BH159" s="111"/>
    </row>
    <row r="160" spans="1:79" s="100" customFormat="1" ht="38.25" customHeight="1" x14ac:dyDescent="0.2">
      <c r="A160" s="90">
        <v>6</v>
      </c>
      <c r="B160" s="91"/>
      <c r="C160" s="91"/>
      <c r="D160" s="93" t="s">
        <v>189</v>
      </c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5"/>
      <c r="U160" s="97">
        <v>0</v>
      </c>
      <c r="V160" s="98"/>
      <c r="W160" s="98"/>
      <c r="X160" s="98"/>
      <c r="Y160" s="99"/>
      <c r="Z160" s="97">
        <v>0</v>
      </c>
      <c r="AA160" s="98"/>
      <c r="AB160" s="98"/>
      <c r="AC160" s="98"/>
      <c r="AD160" s="99"/>
      <c r="AE160" s="96">
        <v>0</v>
      </c>
      <c r="AF160" s="96"/>
      <c r="AG160" s="96"/>
      <c r="AH160" s="96"/>
      <c r="AI160" s="96"/>
      <c r="AJ160" s="111">
        <f>IF(ISNUMBER(U160),U160,0)+IF(ISNUMBER(Z160),Z160,0)</f>
        <v>0</v>
      </c>
      <c r="AK160" s="111"/>
      <c r="AL160" s="111"/>
      <c r="AM160" s="111"/>
      <c r="AN160" s="111"/>
      <c r="AO160" s="96">
        <v>0</v>
      </c>
      <c r="AP160" s="96"/>
      <c r="AQ160" s="96"/>
      <c r="AR160" s="96"/>
      <c r="AS160" s="96"/>
      <c r="AT160" s="111">
        <v>0</v>
      </c>
      <c r="AU160" s="111"/>
      <c r="AV160" s="111"/>
      <c r="AW160" s="111"/>
      <c r="AX160" s="111"/>
      <c r="AY160" s="96">
        <v>0</v>
      </c>
      <c r="AZ160" s="96"/>
      <c r="BA160" s="96"/>
      <c r="BB160" s="96"/>
      <c r="BC160" s="96"/>
      <c r="BD160" s="111">
        <f>IF(ISNUMBER(AO160),AO160,0)+IF(ISNUMBER(AT160),AT160,0)</f>
        <v>0</v>
      </c>
      <c r="BE160" s="111"/>
      <c r="BF160" s="111"/>
      <c r="BG160" s="111"/>
      <c r="BH160" s="111"/>
    </row>
    <row r="161" spans="1:60" s="100" customFormat="1" ht="38.25" customHeight="1" x14ac:dyDescent="0.2">
      <c r="A161" s="90">
        <v>7</v>
      </c>
      <c r="B161" s="91"/>
      <c r="C161" s="91"/>
      <c r="D161" s="93" t="s">
        <v>190</v>
      </c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5"/>
      <c r="U161" s="97">
        <v>0</v>
      </c>
      <c r="V161" s="98"/>
      <c r="W161" s="98"/>
      <c r="X161" s="98"/>
      <c r="Y161" s="99"/>
      <c r="Z161" s="97">
        <v>0</v>
      </c>
      <c r="AA161" s="98"/>
      <c r="AB161" s="98"/>
      <c r="AC161" s="98"/>
      <c r="AD161" s="99"/>
      <c r="AE161" s="96">
        <v>0</v>
      </c>
      <c r="AF161" s="96"/>
      <c r="AG161" s="96"/>
      <c r="AH161" s="96"/>
      <c r="AI161" s="96"/>
      <c r="AJ161" s="111">
        <f>IF(ISNUMBER(U161),U161,0)+IF(ISNUMBER(Z161),Z161,0)</f>
        <v>0</v>
      </c>
      <c r="AK161" s="111"/>
      <c r="AL161" s="111"/>
      <c r="AM161" s="111"/>
      <c r="AN161" s="111"/>
      <c r="AO161" s="96">
        <v>0</v>
      </c>
      <c r="AP161" s="96"/>
      <c r="AQ161" s="96"/>
      <c r="AR161" s="96"/>
      <c r="AS161" s="96"/>
      <c r="AT161" s="111">
        <v>0</v>
      </c>
      <c r="AU161" s="111"/>
      <c r="AV161" s="111"/>
      <c r="AW161" s="111"/>
      <c r="AX161" s="111"/>
      <c r="AY161" s="96">
        <v>0</v>
      </c>
      <c r="AZ161" s="96"/>
      <c r="BA161" s="96"/>
      <c r="BB161" s="96"/>
      <c r="BC161" s="96"/>
      <c r="BD161" s="111">
        <f>IF(ISNUMBER(AO161),AO161,0)+IF(ISNUMBER(AT161),AT161,0)</f>
        <v>0</v>
      </c>
      <c r="BE161" s="111"/>
      <c r="BF161" s="111"/>
      <c r="BG161" s="111"/>
      <c r="BH161" s="111"/>
    </row>
    <row r="162" spans="1:60" s="100" customFormat="1" ht="25.5" customHeight="1" x14ac:dyDescent="0.2">
      <c r="A162" s="90">
        <v>8</v>
      </c>
      <c r="B162" s="91"/>
      <c r="C162" s="91"/>
      <c r="D162" s="93" t="s">
        <v>191</v>
      </c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5"/>
      <c r="U162" s="97">
        <v>0</v>
      </c>
      <c r="V162" s="98"/>
      <c r="W162" s="98"/>
      <c r="X162" s="98"/>
      <c r="Y162" s="99"/>
      <c r="Z162" s="97">
        <v>0</v>
      </c>
      <c r="AA162" s="98"/>
      <c r="AB162" s="98"/>
      <c r="AC162" s="98"/>
      <c r="AD162" s="99"/>
      <c r="AE162" s="96">
        <v>0</v>
      </c>
      <c r="AF162" s="96"/>
      <c r="AG162" s="96"/>
      <c r="AH162" s="96"/>
      <c r="AI162" s="96"/>
      <c r="AJ162" s="111">
        <f>IF(ISNUMBER(U162),U162,0)+IF(ISNUMBER(Z162),Z162,0)</f>
        <v>0</v>
      </c>
      <c r="AK162" s="111"/>
      <c r="AL162" s="111"/>
      <c r="AM162" s="111"/>
      <c r="AN162" s="111"/>
      <c r="AO162" s="96">
        <v>0</v>
      </c>
      <c r="AP162" s="96"/>
      <c r="AQ162" s="96"/>
      <c r="AR162" s="96"/>
      <c r="AS162" s="96"/>
      <c r="AT162" s="111">
        <v>0</v>
      </c>
      <c r="AU162" s="111"/>
      <c r="AV162" s="111"/>
      <c r="AW162" s="111"/>
      <c r="AX162" s="111"/>
      <c r="AY162" s="96">
        <v>0</v>
      </c>
      <c r="AZ162" s="96"/>
      <c r="BA162" s="96"/>
      <c r="BB162" s="96"/>
      <c r="BC162" s="96"/>
      <c r="BD162" s="111">
        <f>IF(ISNUMBER(AO162),AO162,0)+IF(ISNUMBER(AT162),AT162,0)</f>
        <v>0</v>
      </c>
      <c r="BE162" s="111"/>
      <c r="BF162" s="111"/>
      <c r="BG162" s="111"/>
      <c r="BH162" s="111"/>
    </row>
    <row r="163" spans="1:60" s="100" customFormat="1" ht="25.5" customHeight="1" x14ac:dyDescent="0.2">
      <c r="A163" s="90">
        <v>9</v>
      </c>
      <c r="B163" s="91"/>
      <c r="C163" s="91"/>
      <c r="D163" s="93" t="s">
        <v>192</v>
      </c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5"/>
      <c r="U163" s="97">
        <v>0</v>
      </c>
      <c r="V163" s="98"/>
      <c r="W163" s="98"/>
      <c r="X163" s="98"/>
      <c r="Y163" s="99"/>
      <c r="Z163" s="97">
        <v>0</v>
      </c>
      <c r="AA163" s="98"/>
      <c r="AB163" s="98"/>
      <c r="AC163" s="98"/>
      <c r="AD163" s="99"/>
      <c r="AE163" s="96">
        <v>0</v>
      </c>
      <c r="AF163" s="96"/>
      <c r="AG163" s="96"/>
      <c r="AH163" s="96"/>
      <c r="AI163" s="96"/>
      <c r="AJ163" s="111">
        <f>IF(ISNUMBER(U163),U163,0)+IF(ISNUMBER(Z163),Z163,0)</f>
        <v>0</v>
      </c>
      <c r="AK163" s="111"/>
      <c r="AL163" s="111"/>
      <c r="AM163" s="111"/>
      <c r="AN163" s="111"/>
      <c r="AO163" s="96">
        <v>0</v>
      </c>
      <c r="AP163" s="96"/>
      <c r="AQ163" s="96"/>
      <c r="AR163" s="96"/>
      <c r="AS163" s="96"/>
      <c r="AT163" s="111">
        <v>0</v>
      </c>
      <c r="AU163" s="111"/>
      <c r="AV163" s="111"/>
      <c r="AW163" s="111"/>
      <c r="AX163" s="111"/>
      <c r="AY163" s="96">
        <v>0</v>
      </c>
      <c r="AZ163" s="96"/>
      <c r="BA163" s="96"/>
      <c r="BB163" s="96"/>
      <c r="BC163" s="96"/>
      <c r="BD163" s="111">
        <f>IF(ISNUMBER(AO163),AO163,0)+IF(ISNUMBER(AT163),AT163,0)</f>
        <v>0</v>
      </c>
      <c r="BE163" s="111"/>
      <c r="BF163" s="111"/>
      <c r="BG163" s="111"/>
      <c r="BH163" s="111"/>
    </row>
    <row r="164" spans="1:60" s="100" customFormat="1" ht="12.75" customHeight="1" x14ac:dyDescent="0.2">
      <c r="A164" s="90">
        <v>10</v>
      </c>
      <c r="B164" s="91"/>
      <c r="C164" s="91"/>
      <c r="D164" s="93" t="s">
        <v>193</v>
      </c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5"/>
      <c r="U164" s="97">
        <v>0</v>
      </c>
      <c r="V164" s="98"/>
      <c r="W164" s="98"/>
      <c r="X164" s="98"/>
      <c r="Y164" s="99"/>
      <c r="Z164" s="97">
        <v>0</v>
      </c>
      <c r="AA164" s="98"/>
      <c r="AB164" s="98"/>
      <c r="AC164" s="98"/>
      <c r="AD164" s="99"/>
      <c r="AE164" s="96">
        <v>0</v>
      </c>
      <c r="AF164" s="96"/>
      <c r="AG164" s="96"/>
      <c r="AH164" s="96"/>
      <c r="AI164" s="96"/>
      <c r="AJ164" s="111">
        <f>IF(ISNUMBER(U164),U164,0)+IF(ISNUMBER(Z164),Z164,0)</f>
        <v>0</v>
      </c>
      <c r="AK164" s="111"/>
      <c r="AL164" s="111"/>
      <c r="AM164" s="111"/>
      <c r="AN164" s="111"/>
      <c r="AO164" s="96">
        <v>0</v>
      </c>
      <c r="AP164" s="96"/>
      <c r="AQ164" s="96"/>
      <c r="AR164" s="96"/>
      <c r="AS164" s="96"/>
      <c r="AT164" s="111">
        <v>0</v>
      </c>
      <c r="AU164" s="111"/>
      <c r="AV164" s="111"/>
      <c r="AW164" s="111"/>
      <c r="AX164" s="111"/>
      <c r="AY164" s="96">
        <v>0</v>
      </c>
      <c r="AZ164" s="96"/>
      <c r="BA164" s="96"/>
      <c r="BB164" s="96"/>
      <c r="BC164" s="96"/>
      <c r="BD164" s="111">
        <f>IF(ISNUMBER(AO164),AO164,0)+IF(ISNUMBER(AT164),AT164,0)</f>
        <v>0</v>
      </c>
      <c r="BE164" s="111"/>
      <c r="BF164" s="111"/>
      <c r="BG164" s="111"/>
      <c r="BH164" s="111"/>
    </row>
    <row r="165" spans="1:60" s="100" customFormat="1" ht="25.5" customHeight="1" x14ac:dyDescent="0.2">
      <c r="A165" s="90">
        <v>11</v>
      </c>
      <c r="B165" s="91"/>
      <c r="C165" s="91"/>
      <c r="D165" s="93" t="s">
        <v>194</v>
      </c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5"/>
      <c r="U165" s="97">
        <v>0</v>
      </c>
      <c r="V165" s="98"/>
      <c r="W165" s="98"/>
      <c r="X165" s="98"/>
      <c r="Y165" s="99"/>
      <c r="Z165" s="97">
        <v>0</v>
      </c>
      <c r="AA165" s="98"/>
      <c r="AB165" s="98"/>
      <c r="AC165" s="98"/>
      <c r="AD165" s="99"/>
      <c r="AE165" s="96">
        <v>0</v>
      </c>
      <c r="AF165" s="96"/>
      <c r="AG165" s="96"/>
      <c r="AH165" s="96"/>
      <c r="AI165" s="96"/>
      <c r="AJ165" s="111">
        <f>IF(ISNUMBER(U165),U165,0)+IF(ISNUMBER(Z165),Z165,0)</f>
        <v>0</v>
      </c>
      <c r="AK165" s="111"/>
      <c r="AL165" s="111"/>
      <c r="AM165" s="111"/>
      <c r="AN165" s="111"/>
      <c r="AO165" s="96">
        <v>0</v>
      </c>
      <c r="AP165" s="96"/>
      <c r="AQ165" s="96"/>
      <c r="AR165" s="96"/>
      <c r="AS165" s="96"/>
      <c r="AT165" s="111">
        <v>0</v>
      </c>
      <c r="AU165" s="111"/>
      <c r="AV165" s="111"/>
      <c r="AW165" s="111"/>
      <c r="AX165" s="111"/>
      <c r="AY165" s="96">
        <v>0</v>
      </c>
      <c r="AZ165" s="96"/>
      <c r="BA165" s="96"/>
      <c r="BB165" s="96"/>
      <c r="BC165" s="96"/>
      <c r="BD165" s="111">
        <f>IF(ISNUMBER(AO165),AO165,0)+IF(ISNUMBER(AT165),AT165,0)</f>
        <v>0</v>
      </c>
      <c r="BE165" s="111"/>
      <c r="BF165" s="111"/>
      <c r="BG165" s="111"/>
      <c r="BH165" s="111"/>
    </row>
    <row r="166" spans="1:60" s="100" customFormat="1" ht="25.5" customHeight="1" x14ac:dyDescent="0.2">
      <c r="A166" s="90">
        <v>12</v>
      </c>
      <c r="B166" s="91"/>
      <c r="C166" s="91"/>
      <c r="D166" s="93" t="s">
        <v>195</v>
      </c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5"/>
      <c r="U166" s="97">
        <v>0</v>
      </c>
      <c r="V166" s="98"/>
      <c r="W166" s="98"/>
      <c r="X166" s="98"/>
      <c r="Y166" s="99"/>
      <c r="Z166" s="97">
        <v>0</v>
      </c>
      <c r="AA166" s="98"/>
      <c r="AB166" s="98"/>
      <c r="AC166" s="98"/>
      <c r="AD166" s="99"/>
      <c r="AE166" s="96">
        <v>0</v>
      </c>
      <c r="AF166" s="96"/>
      <c r="AG166" s="96"/>
      <c r="AH166" s="96"/>
      <c r="AI166" s="96"/>
      <c r="AJ166" s="111">
        <f>IF(ISNUMBER(U166),U166,0)+IF(ISNUMBER(Z166),Z166,0)</f>
        <v>0</v>
      </c>
      <c r="AK166" s="111"/>
      <c r="AL166" s="111"/>
      <c r="AM166" s="111"/>
      <c r="AN166" s="111"/>
      <c r="AO166" s="96">
        <v>0</v>
      </c>
      <c r="AP166" s="96"/>
      <c r="AQ166" s="96"/>
      <c r="AR166" s="96"/>
      <c r="AS166" s="96"/>
      <c r="AT166" s="111">
        <v>0</v>
      </c>
      <c r="AU166" s="111"/>
      <c r="AV166" s="111"/>
      <c r="AW166" s="111"/>
      <c r="AX166" s="111"/>
      <c r="AY166" s="96">
        <v>0</v>
      </c>
      <c r="AZ166" s="96"/>
      <c r="BA166" s="96"/>
      <c r="BB166" s="96"/>
      <c r="BC166" s="96"/>
      <c r="BD166" s="111">
        <f>IF(ISNUMBER(AO166),AO166,0)+IF(ISNUMBER(AT166),AT166,0)</f>
        <v>0</v>
      </c>
      <c r="BE166" s="111"/>
      <c r="BF166" s="111"/>
      <c r="BG166" s="111"/>
      <c r="BH166" s="111"/>
    </row>
    <row r="167" spans="1:60" s="100" customFormat="1" ht="38.25" customHeight="1" x14ac:dyDescent="0.2">
      <c r="A167" s="90">
        <v>13</v>
      </c>
      <c r="B167" s="91"/>
      <c r="C167" s="91"/>
      <c r="D167" s="93" t="s">
        <v>196</v>
      </c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5"/>
      <c r="U167" s="97">
        <v>0</v>
      </c>
      <c r="V167" s="98"/>
      <c r="W167" s="98"/>
      <c r="X167" s="98"/>
      <c r="Y167" s="99"/>
      <c r="Z167" s="97">
        <v>0</v>
      </c>
      <c r="AA167" s="98"/>
      <c r="AB167" s="98"/>
      <c r="AC167" s="98"/>
      <c r="AD167" s="99"/>
      <c r="AE167" s="96">
        <v>0</v>
      </c>
      <c r="AF167" s="96"/>
      <c r="AG167" s="96"/>
      <c r="AH167" s="96"/>
      <c r="AI167" s="96"/>
      <c r="AJ167" s="111">
        <f>IF(ISNUMBER(U167),U167,0)+IF(ISNUMBER(Z167),Z167,0)</f>
        <v>0</v>
      </c>
      <c r="AK167" s="111"/>
      <c r="AL167" s="111"/>
      <c r="AM167" s="111"/>
      <c r="AN167" s="111"/>
      <c r="AO167" s="96">
        <v>0</v>
      </c>
      <c r="AP167" s="96"/>
      <c r="AQ167" s="96"/>
      <c r="AR167" s="96"/>
      <c r="AS167" s="96"/>
      <c r="AT167" s="111">
        <v>0</v>
      </c>
      <c r="AU167" s="111"/>
      <c r="AV167" s="111"/>
      <c r="AW167" s="111"/>
      <c r="AX167" s="111"/>
      <c r="AY167" s="96">
        <v>0</v>
      </c>
      <c r="AZ167" s="96"/>
      <c r="BA167" s="96"/>
      <c r="BB167" s="96"/>
      <c r="BC167" s="96"/>
      <c r="BD167" s="111">
        <f>IF(ISNUMBER(AO167),AO167,0)+IF(ISNUMBER(AT167),AT167,0)</f>
        <v>0</v>
      </c>
      <c r="BE167" s="111"/>
      <c r="BF167" s="111"/>
      <c r="BG167" s="111"/>
      <c r="BH167" s="111"/>
    </row>
    <row r="168" spans="1:60" s="100" customFormat="1" ht="38.25" customHeight="1" x14ac:dyDescent="0.2">
      <c r="A168" s="90">
        <v>14</v>
      </c>
      <c r="B168" s="91"/>
      <c r="C168" s="91"/>
      <c r="D168" s="93" t="s">
        <v>197</v>
      </c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5"/>
      <c r="U168" s="97">
        <v>0</v>
      </c>
      <c r="V168" s="98"/>
      <c r="W168" s="98"/>
      <c r="X168" s="98"/>
      <c r="Y168" s="99"/>
      <c r="Z168" s="97">
        <v>0</v>
      </c>
      <c r="AA168" s="98"/>
      <c r="AB168" s="98"/>
      <c r="AC168" s="98"/>
      <c r="AD168" s="99"/>
      <c r="AE168" s="96">
        <v>0</v>
      </c>
      <c r="AF168" s="96"/>
      <c r="AG168" s="96"/>
      <c r="AH168" s="96"/>
      <c r="AI168" s="96"/>
      <c r="AJ168" s="111">
        <f>IF(ISNUMBER(U168),U168,0)+IF(ISNUMBER(Z168),Z168,0)</f>
        <v>0</v>
      </c>
      <c r="AK168" s="111"/>
      <c r="AL168" s="111"/>
      <c r="AM168" s="111"/>
      <c r="AN168" s="111"/>
      <c r="AO168" s="96">
        <v>0</v>
      </c>
      <c r="AP168" s="96"/>
      <c r="AQ168" s="96"/>
      <c r="AR168" s="96"/>
      <c r="AS168" s="96"/>
      <c r="AT168" s="111">
        <v>0</v>
      </c>
      <c r="AU168" s="111"/>
      <c r="AV168" s="111"/>
      <c r="AW168" s="111"/>
      <c r="AX168" s="111"/>
      <c r="AY168" s="96">
        <v>0</v>
      </c>
      <c r="AZ168" s="96"/>
      <c r="BA168" s="96"/>
      <c r="BB168" s="96"/>
      <c r="BC168" s="96"/>
      <c r="BD168" s="111">
        <f>IF(ISNUMBER(AO168),AO168,0)+IF(ISNUMBER(AT168),AT168,0)</f>
        <v>0</v>
      </c>
      <c r="BE168" s="111"/>
      <c r="BF168" s="111"/>
      <c r="BG168" s="111"/>
      <c r="BH168" s="111"/>
    </row>
    <row r="169" spans="1:60" s="100" customFormat="1" ht="25.5" customHeight="1" x14ac:dyDescent="0.2">
      <c r="A169" s="90">
        <v>15</v>
      </c>
      <c r="B169" s="91"/>
      <c r="C169" s="91"/>
      <c r="D169" s="93" t="s">
        <v>198</v>
      </c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5"/>
      <c r="U169" s="97">
        <v>0</v>
      </c>
      <c r="V169" s="98"/>
      <c r="W169" s="98"/>
      <c r="X169" s="98"/>
      <c r="Y169" s="99"/>
      <c r="Z169" s="97">
        <v>0</v>
      </c>
      <c r="AA169" s="98"/>
      <c r="AB169" s="98"/>
      <c r="AC169" s="98"/>
      <c r="AD169" s="99"/>
      <c r="AE169" s="96">
        <v>0</v>
      </c>
      <c r="AF169" s="96"/>
      <c r="AG169" s="96"/>
      <c r="AH169" s="96"/>
      <c r="AI169" s="96"/>
      <c r="AJ169" s="111">
        <f>IF(ISNUMBER(U169),U169,0)+IF(ISNUMBER(Z169),Z169,0)</f>
        <v>0</v>
      </c>
      <c r="AK169" s="111"/>
      <c r="AL169" s="111"/>
      <c r="AM169" s="111"/>
      <c r="AN169" s="111"/>
      <c r="AO169" s="96">
        <v>0</v>
      </c>
      <c r="AP169" s="96"/>
      <c r="AQ169" s="96"/>
      <c r="AR169" s="96"/>
      <c r="AS169" s="96"/>
      <c r="AT169" s="111">
        <v>0</v>
      </c>
      <c r="AU169" s="111"/>
      <c r="AV169" s="111"/>
      <c r="AW169" s="111"/>
      <c r="AX169" s="111"/>
      <c r="AY169" s="96">
        <v>0</v>
      </c>
      <c r="AZ169" s="96"/>
      <c r="BA169" s="96"/>
      <c r="BB169" s="96"/>
      <c r="BC169" s="96"/>
      <c r="BD169" s="111">
        <f>IF(ISNUMBER(AO169),AO169,0)+IF(ISNUMBER(AT169),AT169,0)</f>
        <v>0</v>
      </c>
      <c r="BE169" s="111"/>
      <c r="BF169" s="111"/>
      <c r="BG169" s="111"/>
      <c r="BH169" s="111"/>
    </row>
    <row r="170" spans="1:60" s="100" customFormat="1" ht="25.5" customHeight="1" x14ac:dyDescent="0.2">
      <c r="A170" s="90">
        <v>16</v>
      </c>
      <c r="B170" s="91"/>
      <c r="C170" s="91"/>
      <c r="D170" s="93" t="s">
        <v>199</v>
      </c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5"/>
      <c r="U170" s="97">
        <v>0</v>
      </c>
      <c r="V170" s="98"/>
      <c r="W170" s="98"/>
      <c r="X170" s="98"/>
      <c r="Y170" s="99"/>
      <c r="Z170" s="97">
        <v>0</v>
      </c>
      <c r="AA170" s="98"/>
      <c r="AB170" s="98"/>
      <c r="AC170" s="98"/>
      <c r="AD170" s="99"/>
      <c r="AE170" s="96">
        <v>0</v>
      </c>
      <c r="AF170" s="96"/>
      <c r="AG170" s="96"/>
      <c r="AH170" s="96"/>
      <c r="AI170" s="96"/>
      <c r="AJ170" s="111">
        <f>IF(ISNUMBER(U170),U170,0)+IF(ISNUMBER(Z170),Z170,0)</f>
        <v>0</v>
      </c>
      <c r="AK170" s="111"/>
      <c r="AL170" s="111"/>
      <c r="AM170" s="111"/>
      <c r="AN170" s="111"/>
      <c r="AO170" s="96">
        <v>0</v>
      </c>
      <c r="AP170" s="96"/>
      <c r="AQ170" s="96"/>
      <c r="AR170" s="96"/>
      <c r="AS170" s="96"/>
      <c r="AT170" s="111">
        <v>0</v>
      </c>
      <c r="AU170" s="111"/>
      <c r="AV170" s="111"/>
      <c r="AW170" s="111"/>
      <c r="AX170" s="111"/>
      <c r="AY170" s="96">
        <v>0</v>
      </c>
      <c r="AZ170" s="96"/>
      <c r="BA170" s="96"/>
      <c r="BB170" s="96"/>
      <c r="BC170" s="96"/>
      <c r="BD170" s="111">
        <f>IF(ISNUMBER(AO170),AO170,0)+IF(ISNUMBER(AT170),AT170,0)</f>
        <v>0</v>
      </c>
      <c r="BE170" s="111"/>
      <c r="BF170" s="111"/>
      <c r="BG170" s="111"/>
      <c r="BH170" s="111"/>
    </row>
    <row r="171" spans="1:60" s="100" customFormat="1" ht="12.75" customHeight="1" x14ac:dyDescent="0.2">
      <c r="A171" s="90">
        <v>17</v>
      </c>
      <c r="B171" s="91"/>
      <c r="C171" s="91"/>
      <c r="D171" s="93" t="s">
        <v>200</v>
      </c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5"/>
      <c r="U171" s="97">
        <v>0</v>
      </c>
      <c r="V171" s="98"/>
      <c r="W171" s="98"/>
      <c r="X171" s="98"/>
      <c r="Y171" s="99"/>
      <c r="Z171" s="97">
        <v>0</v>
      </c>
      <c r="AA171" s="98"/>
      <c r="AB171" s="98"/>
      <c r="AC171" s="98"/>
      <c r="AD171" s="99"/>
      <c r="AE171" s="96">
        <v>0</v>
      </c>
      <c r="AF171" s="96"/>
      <c r="AG171" s="96"/>
      <c r="AH171" s="96"/>
      <c r="AI171" s="96"/>
      <c r="AJ171" s="111">
        <f>IF(ISNUMBER(U171),U171,0)+IF(ISNUMBER(Z171),Z171,0)</f>
        <v>0</v>
      </c>
      <c r="AK171" s="111"/>
      <c r="AL171" s="111"/>
      <c r="AM171" s="111"/>
      <c r="AN171" s="111"/>
      <c r="AO171" s="96">
        <v>0</v>
      </c>
      <c r="AP171" s="96"/>
      <c r="AQ171" s="96"/>
      <c r="AR171" s="96"/>
      <c r="AS171" s="96"/>
      <c r="AT171" s="111">
        <v>0</v>
      </c>
      <c r="AU171" s="111"/>
      <c r="AV171" s="111"/>
      <c r="AW171" s="111"/>
      <c r="AX171" s="111"/>
      <c r="AY171" s="96">
        <v>0</v>
      </c>
      <c r="AZ171" s="96"/>
      <c r="BA171" s="96"/>
      <c r="BB171" s="96"/>
      <c r="BC171" s="96"/>
      <c r="BD171" s="111">
        <f>IF(ISNUMBER(AO171),AO171,0)+IF(ISNUMBER(AT171),AT171,0)</f>
        <v>0</v>
      </c>
      <c r="BE171" s="111"/>
      <c r="BF171" s="111"/>
      <c r="BG171" s="111"/>
      <c r="BH171" s="111"/>
    </row>
    <row r="172" spans="1:60" s="100" customFormat="1" ht="12.75" customHeight="1" x14ac:dyDescent="0.2">
      <c r="A172" s="90">
        <v>18</v>
      </c>
      <c r="B172" s="91"/>
      <c r="C172" s="91"/>
      <c r="D172" s="93" t="s">
        <v>201</v>
      </c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5"/>
      <c r="U172" s="97">
        <v>0</v>
      </c>
      <c r="V172" s="98"/>
      <c r="W172" s="98"/>
      <c r="X172" s="98"/>
      <c r="Y172" s="99"/>
      <c r="Z172" s="97">
        <v>0</v>
      </c>
      <c r="AA172" s="98"/>
      <c r="AB172" s="98"/>
      <c r="AC172" s="98"/>
      <c r="AD172" s="99"/>
      <c r="AE172" s="96">
        <v>0</v>
      </c>
      <c r="AF172" s="96"/>
      <c r="AG172" s="96"/>
      <c r="AH172" s="96"/>
      <c r="AI172" s="96"/>
      <c r="AJ172" s="111">
        <f>IF(ISNUMBER(U172),U172,0)+IF(ISNUMBER(Z172),Z172,0)</f>
        <v>0</v>
      </c>
      <c r="AK172" s="111"/>
      <c r="AL172" s="111"/>
      <c r="AM172" s="111"/>
      <c r="AN172" s="111"/>
      <c r="AO172" s="96">
        <v>0</v>
      </c>
      <c r="AP172" s="96"/>
      <c r="AQ172" s="96"/>
      <c r="AR172" s="96"/>
      <c r="AS172" s="96"/>
      <c r="AT172" s="111">
        <v>0</v>
      </c>
      <c r="AU172" s="111"/>
      <c r="AV172" s="111"/>
      <c r="AW172" s="111"/>
      <c r="AX172" s="111"/>
      <c r="AY172" s="96">
        <v>0</v>
      </c>
      <c r="AZ172" s="96"/>
      <c r="BA172" s="96"/>
      <c r="BB172" s="96"/>
      <c r="BC172" s="96"/>
      <c r="BD172" s="111">
        <f>IF(ISNUMBER(AO172),AO172,0)+IF(ISNUMBER(AT172),AT172,0)</f>
        <v>0</v>
      </c>
      <c r="BE172" s="111"/>
      <c r="BF172" s="111"/>
      <c r="BG172" s="111"/>
      <c r="BH172" s="111"/>
    </row>
    <row r="173" spans="1:60" s="100" customFormat="1" ht="38.25" customHeight="1" x14ac:dyDescent="0.2">
      <c r="A173" s="90">
        <v>19</v>
      </c>
      <c r="B173" s="91"/>
      <c r="C173" s="91"/>
      <c r="D173" s="93" t="s">
        <v>202</v>
      </c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5"/>
      <c r="U173" s="97">
        <v>0</v>
      </c>
      <c r="V173" s="98"/>
      <c r="W173" s="98"/>
      <c r="X173" s="98"/>
      <c r="Y173" s="99"/>
      <c r="Z173" s="97">
        <v>0</v>
      </c>
      <c r="AA173" s="98"/>
      <c r="AB173" s="98"/>
      <c r="AC173" s="98"/>
      <c r="AD173" s="99"/>
      <c r="AE173" s="96">
        <v>0</v>
      </c>
      <c r="AF173" s="96"/>
      <c r="AG173" s="96"/>
      <c r="AH173" s="96"/>
      <c r="AI173" s="96"/>
      <c r="AJ173" s="111">
        <f>IF(ISNUMBER(U173),U173,0)+IF(ISNUMBER(Z173),Z173,0)</f>
        <v>0</v>
      </c>
      <c r="AK173" s="111"/>
      <c r="AL173" s="111"/>
      <c r="AM173" s="111"/>
      <c r="AN173" s="111"/>
      <c r="AO173" s="96">
        <v>0</v>
      </c>
      <c r="AP173" s="96"/>
      <c r="AQ173" s="96"/>
      <c r="AR173" s="96"/>
      <c r="AS173" s="96"/>
      <c r="AT173" s="111">
        <v>0</v>
      </c>
      <c r="AU173" s="111"/>
      <c r="AV173" s="111"/>
      <c r="AW173" s="111"/>
      <c r="AX173" s="111"/>
      <c r="AY173" s="96">
        <v>0</v>
      </c>
      <c r="AZ173" s="96"/>
      <c r="BA173" s="96"/>
      <c r="BB173" s="96"/>
      <c r="BC173" s="96"/>
      <c r="BD173" s="111">
        <f>IF(ISNUMBER(AO173),AO173,0)+IF(ISNUMBER(AT173),AT173,0)</f>
        <v>0</v>
      </c>
      <c r="BE173" s="111"/>
      <c r="BF173" s="111"/>
      <c r="BG173" s="111"/>
      <c r="BH173" s="111"/>
    </row>
    <row r="174" spans="1:60" s="100" customFormat="1" ht="25.5" customHeight="1" x14ac:dyDescent="0.2">
      <c r="A174" s="90">
        <v>20</v>
      </c>
      <c r="B174" s="91"/>
      <c r="C174" s="91"/>
      <c r="D174" s="93" t="s">
        <v>203</v>
      </c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5"/>
      <c r="U174" s="97">
        <v>0</v>
      </c>
      <c r="V174" s="98"/>
      <c r="W174" s="98"/>
      <c r="X174" s="98"/>
      <c r="Y174" s="99"/>
      <c r="Z174" s="97">
        <v>0</v>
      </c>
      <c r="AA174" s="98"/>
      <c r="AB174" s="98"/>
      <c r="AC174" s="98"/>
      <c r="AD174" s="99"/>
      <c r="AE174" s="96">
        <v>0</v>
      </c>
      <c r="AF174" s="96"/>
      <c r="AG174" s="96"/>
      <c r="AH174" s="96"/>
      <c r="AI174" s="96"/>
      <c r="AJ174" s="111">
        <f>IF(ISNUMBER(U174),U174,0)+IF(ISNUMBER(Z174),Z174,0)</f>
        <v>0</v>
      </c>
      <c r="AK174" s="111"/>
      <c r="AL174" s="111"/>
      <c r="AM174" s="111"/>
      <c r="AN174" s="111"/>
      <c r="AO174" s="96">
        <v>0</v>
      </c>
      <c r="AP174" s="96"/>
      <c r="AQ174" s="96"/>
      <c r="AR174" s="96"/>
      <c r="AS174" s="96"/>
      <c r="AT174" s="111">
        <v>0</v>
      </c>
      <c r="AU174" s="111"/>
      <c r="AV174" s="111"/>
      <c r="AW174" s="111"/>
      <c r="AX174" s="111"/>
      <c r="AY174" s="96">
        <v>0</v>
      </c>
      <c r="AZ174" s="96"/>
      <c r="BA174" s="96"/>
      <c r="BB174" s="96"/>
      <c r="BC174" s="96"/>
      <c r="BD174" s="111">
        <f>IF(ISNUMBER(AO174),AO174,0)+IF(ISNUMBER(AT174),AT174,0)</f>
        <v>0</v>
      </c>
      <c r="BE174" s="111"/>
      <c r="BF174" s="111"/>
      <c r="BG174" s="111"/>
      <c r="BH174" s="111"/>
    </row>
    <row r="175" spans="1:60" s="100" customFormat="1" ht="38.25" customHeight="1" x14ac:dyDescent="0.2">
      <c r="A175" s="90">
        <v>21</v>
      </c>
      <c r="B175" s="91"/>
      <c r="C175" s="91"/>
      <c r="D175" s="93" t="s">
        <v>204</v>
      </c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5"/>
      <c r="U175" s="97">
        <v>0</v>
      </c>
      <c r="V175" s="98"/>
      <c r="W175" s="98"/>
      <c r="X175" s="98"/>
      <c r="Y175" s="99"/>
      <c r="Z175" s="97">
        <v>0</v>
      </c>
      <c r="AA175" s="98"/>
      <c r="AB175" s="98"/>
      <c r="AC175" s="98"/>
      <c r="AD175" s="99"/>
      <c r="AE175" s="96">
        <v>0</v>
      </c>
      <c r="AF175" s="96"/>
      <c r="AG175" s="96"/>
      <c r="AH175" s="96"/>
      <c r="AI175" s="96"/>
      <c r="AJ175" s="111">
        <f>IF(ISNUMBER(U175),U175,0)+IF(ISNUMBER(Z175),Z175,0)</f>
        <v>0</v>
      </c>
      <c r="AK175" s="111"/>
      <c r="AL175" s="111"/>
      <c r="AM175" s="111"/>
      <c r="AN175" s="111"/>
      <c r="AO175" s="96">
        <v>0</v>
      </c>
      <c r="AP175" s="96"/>
      <c r="AQ175" s="96"/>
      <c r="AR175" s="96"/>
      <c r="AS175" s="96"/>
      <c r="AT175" s="111">
        <v>0</v>
      </c>
      <c r="AU175" s="111"/>
      <c r="AV175" s="111"/>
      <c r="AW175" s="111"/>
      <c r="AX175" s="111"/>
      <c r="AY175" s="96">
        <v>0</v>
      </c>
      <c r="AZ175" s="96"/>
      <c r="BA175" s="96"/>
      <c r="BB175" s="96"/>
      <c r="BC175" s="96"/>
      <c r="BD175" s="111">
        <f>IF(ISNUMBER(AO175),AO175,0)+IF(ISNUMBER(AT175),AT175,0)</f>
        <v>0</v>
      </c>
      <c r="BE175" s="111"/>
      <c r="BF175" s="111"/>
      <c r="BG175" s="111"/>
      <c r="BH175" s="111"/>
    </row>
    <row r="176" spans="1:60" s="100" customFormat="1" ht="25.5" customHeight="1" x14ac:dyDescent="0.2">
      <c r="A176" s="90">
        <v>22</v>
      </c>
      <c r="B176" s="91"/>
      <c r="C176" s="91"/>
      <c r="D176" s="93" t="s">
        <v>205</v>
      </c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5"/>
      <c r="U176" s="97">
        <v>0</v>
      </c>
      <c r="V176" s="98"/>
      <c r="W176" s="98"/>
      <c r="X176" s="98"/>
      <c r="Y176" s="99"/>
      <c r="Z176" s="97">
        <v>0</v>
      </c>
      <c r="AA176" s="98"/>
      <c r="AB176" s="98"/>
      <c r="AC176" s="98"/>
      <c r="AD176" s="99"/>
      <c r="AE176" s="96">
        <v>0</v>
      </c>
      <c r="AF176" s="96"/>
      <c r="AG176" s="96"/>
      <c r="AH176" s="96"/>
      <c r="AI176" s="96"/>
      <c r="AJ176" s="111">
        <f>IF(ISNUMBER(U176),U176,0)+IF(ISNUMBER(Z176),Z176,0)</f>
        <v>0</v>
      </c>
      <c r="AK176" s="111"/>
      <c r="AL176" s="111"/>
      <c r="AM176" s="111"/>
      <c r="AN176" s="111"/>
      <c r="AO176" s="96">
        <v>0</v>
      </c>
      <c r="AP176" s="96"/>
      <c r="AQ176" s="96"/>
      <c r="AR176" s="96"/>
      <c r="AS176" s="96"/>
      <c r="AT176" s="111">
        <v>0</v>
      </c>
      <c r="AU176" s="111"/>
      <c r="AV176" s="111"/>
      <c r="AW176" s="111"/>
      <c r="AX176" s="111"/>
      <c r="AY176" s="96">
        <v>0</v>
      </c>
      <c r="AZ176" s="96"/>
      <c r="BA176" s="96"/>
      <c r="BB176" s="96"/>
      <c r="BC176" s="96"/>
      <c r="BD176" s="111">
        <f>IF(ISNUMBER(AO176),AO176,0)+IF(ISNUMBER(AT176),AT176,0)</f>
        <v>0</v>
      </c>
      <c r="BE176" s="111"/>
      <c r="BF176" s="111"/>
      <c r="BG176" s="111"/>
      <c r="BH176" s="111"/>
    </row>
    <row r="177" spans="1:60" s="100" customFormat="1" ht="25.5" customHeight="1" x14ac:dyDescent="0.2">
      <c r="A177" s="90">
        <v>23</v>
      </c>
      <c r="B177" s="91"/>
      <c r="C177" s="91"/>
      <c r="D177" s="93" t="s">
        <v>206</v>
      </c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5"/>
      <c r="U177" s="97">
        <v>0</v>
      </c>
      <c r="V177" s="98"/>
      <c r="W177" s="98"/>
      <c r="X177" s="98"/>
      <c r="Y177" s="99"/>
      <c r="Z177" s="97">
        <v>0</v>
      </c>
      <c r="AA177" s="98"/>
      <c r="AB177" s="98"/>
      <c r="AC177" s="98"/>
      <c r="AD177" s="99"/>
      <c r="AE177" s="96">
        <v>0</v>
      </c>
      <c r="AF177" s="96"/>
      <c r="AG177" s="96"/>
      <c r="AH177" s="96"/>
      <c r="AI177" s="96"/>
      <c r="AJ177" s="111">
        <f>IF(ISNUMBER(U177),U177,0)+IF(ISNUMBER(Z177),Z177,0)</f>
        <v>0</v>
      </c>
      <c r="AK177" s="111"/>
      <c r="AL177" s="111"/>
      <c r="AM177" s="111"/>
      <c r="AN177" s="111"/>
      <c r="AO177" s="96">
        <v>0</v>
      </c>
      <c r="AP177" s="96"/>
      <c r="AQ177" s="96"/>
      <c r="AR177" s="96"/>
      <c r="AS177" s="96"/>
      <c r="AT177" s="111">
        <v>0</v>
      </c>
      <c r="AU177" s="111"/>
      <c r="AV177" s="111"/>
      <c r="AW177" s="111"/>
      <c r="AX177" s="111"/>
      <c r="AY177" s="96">
        <v>0</v>
      </c>
      <c r="AZ177" s="96"/>
      <c r="BA177" s="96"/>
      <c r="BB177" s="96"/>
      <c r="BC177" s="96"/>
      <c r="BD177" s="111">
        <f>IF(ISNUMBER(AO177),AO177,0)+IF(ISNUMBER(AT177),AT177,0)</f>
        <v>0</v>
      </c>
      <c r="BE177" s="111"/>
      <c r="BF177" s="111"/>
      <c r="BG177" s="111"/>
      <c r="BH177" s="111"/>
    </row>
    <row r="178" spans="1:60" s="100" customFormat="1" ht="12.75" customHeight="1" x14ac:dyDescent="0.2">
      <c r="A178" s="90">
        <v>24</v>
      </c>
      <c r="B178" s="91"/>
      <c r="C178" s="91"/>
      <c r="D178" s="93" t="s">
        <v>207</v>
      </c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5"/>
      <c r="U178" s="97">
        <v>0</v>
      </c>
      <c r="V178" s="98"/>
      <c r="W178" s="98"/>
      <c r="X178" s="98"/>
      <c r="Y178" s="99"/>
      <c r="Z178" s="97">
        <v>0</v>
      </c>
      <c r="AA178" s="98"/>
      <c r="AB178" s="98"/>
      <c r="AC178" s="98"/>
      <c r="AD178" s="99"/>
      <c r="AE178" s="96">
        <v>0</v>
      </c>
      <c r="AF178" s="96"/>
      <c r="AG178" s="96"/>
      <c r="AH178" s="96"/>
      <c r="AI178" s="96"/>
      <c r="AJ178" s="111">
        <f>IF(ISNUMBER(U178),U178,0)+IF(ISNUMBER(Z178),Z178,0)</f>
        <v>0</v>
      </c>
      <c r="AK178" s="111"/>
      <c r="AL178" s="111"/>
      <c r="AM178" s="111"/>
      <c r="AN178" s="111"/>
      <c r="AO178" s="96">
        <v>0</v>
      </c>
      <c r="AP178" s="96"/>
      <c r="AQ178" s="96"/>
      <c r="AR178" s="96"/>
      <c r="AS178" s="96"/>
      <c r="AT178" s="111">
        <v>0</v>
      </c>
      <c r="AU178" s="111"/>
      <c r="AV178" s="111"/>
      <c r="AW178" s="111"/>
      <c r="AX178" s="111"/>
      <c r="AY178" s="96">
        <v>0</v>
      </c>
      <c r="AZ178" s="96"/>
      <c r="BA178" s="96"/>
      <c r="BB178" s="96"/>
      <c r="BC178" s="96"/>
      <c r="BD178" s="111">
        <f>IF(ISNUMBER(AO178),AO178,0)+IF(ISNUMBER(AT178),AT178,0)</f>
        <v>0</v>
      </c>
      <c r="BE178" s="111"/>
      <c r="BF178" s="111"/>
      <c r="BG178" s="111"/>
      <c r="BH178" s="111"/>
    </row>
    <row r="179" spans="1:60" s="100" customFormat="1" ht="63.75" customHeight="1" x14ac:dyDescent="0.2">
      <c r="A179" s="90">
        <v>25</v>
      </c>
      <c r="B179" s="91"/>
      <c r="C179" s="91"/>
      <c r="D179" s="93" t="s">
        <v>208</v>
      </c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5"/>
      <c r="U179" s="97">
        <v>0</v>
      </c>
      <c r="V179" s="98"/>
      <c r="W179" s="98"/>
      <c r="X179" s="98"/>
      <c r="Y179" s="99"/>
      <c r="Z179" s="97">
        <v>0</v>
      </c>
      <c r="AA179" s="98"/>
      <c r="AB179" s="98"/>
      <c r="AC179" s="98"/>
      <c r="AD179" s="99"/>
      <c r="AE179" s="96">
        <v>0</v>
      </c>
      <c r="AF179" s="96"/>
      <c r="AG179" s="96"/>
      <c r="AH179" s="96"/>
      <c r="AI179" s="96"/>
      <c r="AJ179" s="111">
        <f>IF(ISNUMBER(U179),U179,0)+IF(ISNUMBER(Z179),Z179,0)</f>
        <v>0</v>
      </c>
      <c r="AK179" s="111"/>
      <c r="AL179" s="111"/>
      <c r="AM179" s="111"/>
      <c r="AN179" s="111"/>
      <c r="AO179" s="96">
        <v>0</v>
      </c>
      <c r="AP179" s="96"/>
      <c r="AQ179" s="96"/>
      <c r="AR179" s="96"/>
      <c r="AS179" s="96"/>
      <c r="AT179" s="111">
        <v>0</v>
      </c>
      <c r="AU179" s="111"/>
      <c r="AV179" s="111"/>
      <c r="AW179" s="111"/>
      <c r="AX179" s="111"/>
      <c r="AY179" s="96">
        <v>0</v>
      </c>
      <c r="AZ179" s="96"/>
      <c r="BA179" s="96"/>
      <c r="BB179" s="96"/>
      <c r="BC179" s="96"/>
      <c r="BD179" s="111">
        <f>IF(ISNUMBER(AO179),AO179,0)+IF(ISNUMBER(AT179),AT179,0)</f>
        <v>0</v>
      </c>
      <c r="BE179" s="111"/>
      <c r="BF179" s="111"/>
      <c r="BG179" s="111"/>
      <c r="BH179" s="111"/>
    </row>
    <row r="180" spans="1:60" s="100" customFormat="1" ht="25.5" customHeight="1" x14ac:dyDescent="0.2">
      <c r="A180" s="90">
        <v>26</v>
      </c>
      <c r="B180" s="91"/>
      <c r="C180" s="91"/>
      <c r="D180" s="93" t="s">
        <v>209</v>
      </c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5"/>
      <c r="U180" s="97">
        <v>0</v>
      </c>
      <c r="V180" s="98"/>
      <c r="W180" s="98"/>
      <c r="X180" s="98"/>
      <c r="Y180" s="99"/>
      <c r="Z180" s="97">
        <v>0</v>
      </c>
      <c r="AA180" s="98"/>
      <c r="AB180" s="98"/>
      <c r="AC180" s="98"/>
      <c r="AD180" s="99"/>
      <c r="AE180" s="96">
        <v>0</v>
      </c>
      <c r="AF180" s="96"/>
      <c r="AG180" s="96"/>
      <c r="AH180" s="96"/>
      <c r="AI180" s="96"/>
      <c r="AJ180" s="111">
        <f>IF(ISNUMBER(U180),U180,0)+IF(ISNUMBER(Z180),Z180,0)</f>
        <v>0</v>
      </c>
      <c r="AK180" s="111"/>
      <c r="AL180" s="111"/>
      <c r="AM180" s="111"/>
      <c r="AN180" s="111"/>
      <c r="AO180" s="96">
        <v>0</v>
      </c>
      <c r="AP180" s="96"/>
      <c r="AQ180" s="96"/>
      <c r="AR180" s="96"/>
      <c r="AS180" s="96"/>
      <c r="AT180" s="111">
        <v>0</v>
      </c>
      <c r="AU180" s="111"/>
      <c r="AV180" s="111"/>
      <c r="AW180" s="111"/>
      <c r="AX180" s="111"/>
      <c r="AY180" s="96">
        <v>0</v>
      </c>
      <c r="AZ180" s="96"/>
      <c r="BA180" s="96"/>
      <c r="BB180" s="96"/>
      <c r="BC180" s="96"/>
      <c r="BD180" s="111">
        <f>IF(ISNUMBER(AO180),AO180,0)+IF(ISNUMBER(AT180),AT180,0)</f>
        <v>0</v>
      </c>
      <c r="BE180" s="111"/>
      <c r="BF180" s="111"/>
      <c r="BG180" s="111"/>
      <c r="BH180" s="111"/>
    </row>
    <row r="181" spans="1:60" s="100" customFormat="1" ht="12.75" customHeight="1" x14ac:dyDescent="0.2">
      <c r="A181" s="90">
        <v>27</v>
      </c>
      <c r="B181" s="91"/>
      <c r="C181" s="91"/>
      <c r="D181" s="93" t="s">
        <v>210</v>
      </c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5"/>
      <c r="U181" s="97">
        <v>0</v>
      </c>
      <c r="V181" s="98"/>
      <c r="W181" s="98"/>
      <c r="X181" s="98"/>
      <c r="Y181" s="99"/>
      <c r="Z181" s="97">
        <v>0</v>
      </c>
      <c r="AA181" s="98"/>
      <c r="AB181" s="98"/>
      <c r="AC181" s="98"/>
      <c r="AD181" s="99"/>
      <c r="AE181" s="96">
        <v>0</v>
      </c>
      <c r="AF181" s="96"/>
      <c r="AG181" s="96"/>
      <c r="AH181" s="96"/>
      <c r="AI181" s="96"/>
      <c r="AJ181" s="111">
        <f>IF(ISNUMBER(U181),U181,0)+IF(ISNUMBER(Z181),Z181,0)</f>
        <v>0</v>
      </c>
      <c r="AK181" s="111"/>
      <c r="AL181" s="111"/>
      <c r="AM181" s="111"/>
      <c r="AN181" s="111"/>
      <c r="AO181" s="96">
        <v>0</v>
      </c>
      <c r="AP181" s="96"/>
      <c r="AQ181" s="96"/>
      <c r="AR181" s="96"/>
      <c r="AS181" s="96"/>
      <c r="AT181" s="111">
        <v>0</v>
      </c>
      <c r="AU181" s="111"/>
      <c r="AV181" s="111"/>
      <c r="AW181" s="111"/>
      <c r="AX181" s="111"/>
      <c r="AY181" s="96">
        <v>0</v>
      </c>
      <c r="AZ181" s="96"/>
      <c r="BA181" s="96"/>
      <c r="BB181" s="96"/>
      <c r="BC181" s="96"/>
      <c r="BD181" s="111">
        <f>IF(ISNUMBER(AO181),AO181,0)+IF(ISNUMBER(AT181),AT181,0)</f>
        <v>0</v>
      </c>
      <c r="BE181" s="111"/>
      <c r="BF181" s="111"/>
      <c r="BG181" s="111"/>
      <c r="BH181" s="111"/>
    </row>
    <row r="182" spans="1:60" s="100" customFormat="1" ht="25.5" customHeight="1" x14ac:dyDescent="0.2">
      <c r="A182" s="90">
        <v>28</v>
      </c>
      <c r="B182" s="91"/>
      <c r="C182" s="91"/>
      <c r="D182" s="93" t="s">
        <v>211</v>
      </c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5"/>
      <c r="U182" s="97">
        <v>0</v>
      </c>
      <c r="V182" s="98"/>
      <c r="W182" s="98"/>
      <c r="X182" s="98"/>
      <c r="Y182" s="99"/>
      <c r="Z182" s="97">
        <v>0</v>
      </c>
      <c r="AA182" s="98"/>
      <c r="AB182" s="98"/>
      <c r="AC182" s="98"/>
      <c r="AD182" s="99"/>
      <c r="AE182" s="96">
        <v>0</v>
      </c>
      <c r="AF182" s="96"/>
      <c r="AG182" s="96"/>
      <c r="AH182" s="96"/>
      <c r="AI182" s="96"/>
      <c r="AJ182" s="111">
        <f>IF(ISNUMBER(U182),U182,0)+IF(ISNUMBER(Z182),Z182,0)</f>
        <v>0</v>
      </c>
      <c r="AK182" s="111"/>
      <c r="AL182" s="111"/>
      <c r="AM182" s="111"/>
      <c r="AN182" s="111"/>
      <c r="AO182" s="96">
        <v>0</v>
      </c>
      <c r="AP182" s="96"/>
      <c r="AQ182" s="96"/>
      <c r="AR182" s="96"/>
      <c r="AS182" s="96"/>
      <c r="AT182" s="111">
        <v>0</v>
      </c>
      <c r="AU182" s="111"/>
      <c r="AV182" s="111"/>
      <c r="AW182" s="111"/>
      <c r="AX182" s="111"/>
      <c r="AY182" s="96">
        <v>0</v>
      </c>
      <c r="AZ182" s="96"/>
      <c r="BA182" s="96"/>
      <c r="BB182" s="96"/>
      <c r="BC182" s="96"/>
      <c r="BD182" s="111">
        <f>IF(ISNUMBER(AO182),AO182,0)+IF(ISNUMBER(AT182),AT182,0)</f>
        <v>0</v>
      </c>
      <c r="BE182" s="111"/>
      <c r="BF182" s="111"/>
      <c r="BG182" s="111"/>
      <c r="BH182" s="111"/>
    </row>
    <row r="183" spans="1:60" s="100" customFormat="1" ht="12.75" customHeight="1" x14ac:dyDescent="0.2">
      <c r="A183" s="90">
        <v>29</v>
      </c>
      <c r="B183" s="91"/>
      <c r="C183" s="91"/>
      <c r="D183" s="93" t="s">
        <v>212</v>
      </c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5"/>
      <c r="U183" s="97">
        <v>0</v>
      </c>
      <c r="V183" s="98"/>
      <c r="W183" s="98"/>
      <c r="X183" s="98"/>
      <c r="Y183" s="99"/>
      <c r="Z183" s="97">
        <v>0</v>
      </c>
      <c r="AA183" s="98"/>
      <c r="AB183" s="98"/>
      <c r="AC183" s="98"/>
      <c r="AD183" s="99"/>
      <c r="AE183" s="96">
        <v>0</v>
      </c>
      <c r="AF183" s="96"/>
      <c r="AG183" s="96"/>
      <c r="AH183" s="96"/>
      <c r="AI183" s="96"/>
      <c r="AJ183" s="111">
        <f>IF(ISNUMBER(U183),U183,0)+IF(ISNUMBER(Z183),Z183,0)</f>
        <v>0</v>
      </c>
      <c r="AK183" s="111"/>
      <c r="AL183" s="111"/>
      <c r="AM183" s="111"/>
      <c r="AN183" s="111"/>
      <c r="AO183" s="96">
        <v>0</v>
      </c>
      <c r="AP183" s="96"/>
      <c r="AQ183" s="96"/>
      <c r="AR183" s="96"/>
      <c r="AS183" s="96"/>
      <c r="AT183" s="111">
        <v>0</v>
      </c>
      <c r="AU183" s="111"/>
      <c r="AV183" s="111"/>
      <c r="AW183" s="111"/>
      <c r="AX183" s="111"/>
      <c r="AY183" s="96">
        <v>0</v>
      </c>
      <c r="AZ183" s="96"/>
      <c r="BA183" s="96"/>
      <c r="BB183" s="96"/>
      <c r="BC183" s="96"/>
      <c r="BD183" s="111">
        <f>IF(ISNUMBER(AO183),AO183,0)+IF(ISNUMBER(AT183),AT183,0)</f>
        <v>0</v>
      </c>
      <c r="BE183" s="111"/>
      <c r="BF183" s="111"/>
      <c r="BG183" s="111"/>
      <c r="BH183" s="111"/>
    </row>
    <row r="184" spans="1:60" s="100" customFormat="1" ht="25.5" customHeight="1" x14ac:dyDescent="0.2">
      <c r="A184" s="90">
        <v>30</v>
      </c>
      <c r="B184" s="91"/>
      <c r="C184" s="91"/>
      <c r="D184" s="93" t="s">
        <v>213</v>
      </c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5"/>
      <c r="U184" s="97">
        <v>0</v>
      </c>
      <c r="V184" s="98"/>
      <c r="W184" s="98"/>
      <c r="X184" s="98"/>
      <c r="Y184" s="99"/>
      <c r="Z184" s="97">
        <v>0</v>
      </c>
      <c r="AA184" s="98"/>
      <c r="AB184" s="98"/>
      <c r="AC184" s="98"/>
      <c r="AD184" s="99"/>
      <c r="AE184" s="96">
        <v>0</v>
      </c>
      <c r="AF184" s="96"/>
      <c r="AG184" s="96"/>
      <c r="AH184" s="96"/>
      <c r="AI184" s="96"/>
      <c r="AJ184" s="111">
        <f>IF(ISNUMBER(U184),U184,0)+IF(ISNUMBER(Z184),Z184,0)</f>
        <v>0</v>
      </c>
      <c r="AK184" s="111"/>
      <c r="AL184" s="111"/>
      <c r="AM184" s="111"/>
      <c r="AN184" s="111"/>
      <c r="AO184" s="96">
        <v>0</v>
      </c>
      <c r="AP184" s="96"/>
      <c r="AQ184" s="96"/>
      <c r="AR184" s="96"/>
      <c r="AS184" s="96"/>
      <c r="AT184" s="111">
        <v>0</v>
      </c>
      <c r="AU184" s="111"/>
      <c r="AV184" s="111"/>
      <c r="AW184" s="111"/>
      <c r="AX184" s="111"/>
      <c r="AY184" s="96">
        <v>0</v>
      </c>
      <c r="AZ184" s="96"/>
      <c r="BA184" s="96"/>
      <c r="BB184" s="96"/>
      <c r="BC184" s="96"/>
      <c r="BD184" s="111">
        <f>IF(ISNUMBER(AO184),AO184,0)+IF(ISNUMBER(AT184),AT184,0)</f>
        <v>0</v>
      </c>
      <c r="BE184" s="111"/>
      <c r="BF184" s="111"/>
      <c r="BG184" s="111"/>
      <c r="BH184" s="111"/>
    </row>
    <row r="185" spans="1:60" s="100" customFormat="1" ht="25.5" customHeight="1" x14ac:dyDescent="0.2">
      <c r="A185" s="90">
        <v>31</v>
      </c>
      <c r="B185" s="91"/>
      <c r="C185" s="91"/>
      <c r="D185" s="93" t="s">
        <v>214</v>
      </c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5"/>
      <c r="U185" s="97">
        <v>0</v>
      </c>
      <c r="V185" s="98"/>
      <c r="W185" s="98"/>
      <c r="X185" s="98"/>
      <c r="Y185" s="99"/>
      <c r="Z185" s="97">
        <v>0</v>
      </c>
      <c r="AA185" s="98"/>
      <c r="AB185" s="98"/>
      <c r="AC185" s="98"/>
      <c r="AD185" s="99"/>
      <c r="AE185" s="96">
        <v>0</v>
      </c>
      <c r="AF185" s="96"/>
      <c r="AG185" s="96"/>
      <c r="AH185" s="96"/>
      <c r="AI185" s="96"/>
      <c r="AJ185" s="111">
        <f>IF(ISNUMBER(U185),U185,0)+IF(ISNUMBER(Z185),Z185,0)</f>
        <v>0</v>
      </c>
      <c r="AK185" s="111"/>
      <c r="AL185" s="111"/>
      <c r="AM185" s="111"/>
      <c r="AN185" s="111"/>
      <c r="AO185" s="96">
        <v>0</v>
      </c>
      <c r="AP185" s="96"/>
      <c r="AQ185" s="96"/>
      <c r="AR185" s="96"/>
      <c r="AS185" s="96"/>
      <c r="AT185" s="111">
        <v>0</v>
      </c>
      <c r="AU185" s="111"/>
      <c r="AV185" s="111"/>
      <c r="AW185" s="111"/>
      <c r="AX185" s="111"/>
      <c r="AY185" s="96">
        <v>0</v>
      </c>
      <c r="AZ185" s="96"/>
      <c r="BA185" s="96"/>
      <c r="BB185" s="96"/>
      <c r="BC185" s="96"/>
      <c r="BD185" s="111">
        <f>IF(ISNUMBER(AO185),AO185,0)+IF(ISNUMBER(AT185),AT185,0)</f>
        <v>0</v>
      </c>
      <c r="BE185" s="111"/>
      <c r="BF185" s="111"/>
      <c r="BG185" s="111"/>
      <c r="BH185" s="111"/>
    </row>
    <row r="186" spans="1:60" s="100" customFormat="1" ht="25.5" customHeight="1" x14ac:dyDescent="0.2">
      <c r="A186" s="90">
        <v>32</v>
      </c>
      <c r="B186" s="91"/>
      <c r="C186" s="91"/>
      <c r="D186" s="93" t="s">
        <v>215</v>
      </c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5"/>
      <c r="U186" s="97">
        <v>0</v>
      </c>
      <c r="V186" s="98"/>
      <c r="W186" s="98"/>
      <c r="X186" s="98"/>
      <c r="Y186" s="99"/>
      <c r="Z186" s="97">
        <v>0</v>
      </c>
      <c r="AA186" s="98"/>
      <c r="AB186" s="98"/>
      <c r="AC186" s="98"/>
      <c r="AD186" s="99"/>
      <c r="AE186" s="96">
        <v>0</v>
      </c>
      <c r="AF186" s="96"/>
      <c r="AG186" s="96"/>
      <c r="AH186" s="96"/>
      <c r="AI186" s="96"/>
      <c r="AJ186" s="111">
        <f>IF(ISNUMBER(U186),U186,0)+IF(ISNUMBER(Z186),Z186,0)</f>
        <v>0</v>
      </c>
      <c r="AK186" s="111"/>
      <c r="AL186" s="111"/>
      <c r="AM186" s="111"/>
      <c r="AN186" s="111"/>
      <c r="AO186" s="96">
        <v>0</v>
      </c>
      <c r="AP186" s="96"/>
      <c r="AQ186" s="96"/>
      <c r="AR186" s="96"/>
      <c r="AS186" s="96"/>
      <c r="AT186" s="111">
        <v>0</v>
      </c>
      <c r="AU186" s="111"/>
      <c r="AV186" s="111"/>
      <c r="AW186" s="111"/>
      <c r="AX186" s="111"/>
      <c r="AY186" s="96">
        <v>0</v>
      </c>
      <c r="AZ186" s="96"/>
      <c r="BA186" s="96"/>
      <c r="BB186" s="96"/>
      <c r="BC186" s="96"/>
      <c r="BD186" s="111">
        <f>IF(ISNUMBER(AO186),AO186,0)+IF(ISNUMBER(AT186),AT186,0)</f>
        <v>0</v>
      </c>
      <c r="BE186" s="111"/>
      <c r="BF186" s="111"/>
      <c r="BG186" s="111"/>
      <c r="BH186" s="111"/>
    </row>
    <row r="187" spans="1:60" s="100" customFormat="1" ht="51" customHeight="1" x14ac:dyDescent="0.2">
      <c r="A187" s="90">
        <v>33</v>
      </c>
      <c r="B187" s="91"/>
      <c r="C187" s="91"/>
      <c r="D187" s="93" t="s">
        <v>216</v>
      </c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5"/>
      <c r="U187" s="97">
        <v>0</v>
      </c>
      <c r="V187" s="98"/>
      <c r="W187" s="98"/>
      <c r="X187" s="98"/>
      <c r="Y187" s="99"/>
      <c r="Z187" s="97">
        <v>0</v>
      </c>
      <c r="AA187" s="98"/>
      <c r="AB187" s="98"/>
      <c r="AC187" s="98"/>
      <c r="AD187" s="99"/>
      <c r="AE187" s="96">
        <v>0</v>
      </c>
      <c r="AF187" s="96"/>
      <c r="AG187" s="96"/>
      <c r="AH187" s="96"/>
      <c r="AI187" s="96"/>
      <c r="AJ187" s="111">
        <f>IF(ISNUMBER(U187),U187,0)+IF(ISNUMBER(Z187),Z187,0)</f>
        <v>0</v>
      </c>
      <c r="AK187" s="111"/>
      <c r="AL187" s="111"/>
      <c r="AM187" s="111"/>
      <c r="AN187" s="111"/>
      <c r="AO187" s="96">
        <v>0</v>
      </c>
      <c r="AP187" s="96"/>
      <c r="AQ187" s="96"/>
      <c r="AR187" s="96"/>
      <c r="AS187" s="96"/>
      <c r="AT187" s="111">
        <v>0</v>
      </c>
      <c r="AU187" s="111"/>
      <c r="AV187" s="111"/>
      <c r="AW187" s="111"/>
      <c r="AX187" s="111"/>
      <c r="AY187" s="96">
        <v>0</v>
      </c>
      <c r="AZ187" s="96"/>
      <c r="BA187" s="96"/>
      <c r="BB187" s="96"/>
      <c r="BC187" s="96"/>
      <c r="BD187" s="111">
        <f>IF(ISNUMBER(AO187),AO187,0)+IF(ISNUMBER(AT187),AT187,0)</f>
        <v>0</v>
      </c>
      <c r="BE187" s="111"/>
      <c r="BF187" s="111"/>
      <c r="BG187" s="111"/>
      <c r="BH187" s="111"/>
    </row>
    <row r="188" spans="1:60" s="100" customFormat="1" ht="12.75" customHeight="1" x14ac:dyDescent="0.2">
      <c r="A188" s="90">
        <v>34</v>
      </c>
      <c r="B188" s="91"/>
      <c r="C188" s="91"/>
      <c r="D188" s="93" t="s">
        <v>217</v>
      </c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5"/>
      <c r="U188" s="97">
        <v>0</v>
      </c>
      <c r="V188" s="98"/>
      <c r="W188" s="98"/>
      <c r="X188" s="98"/>
      <c r="Y188" s="99"/>
      <c r="Z188" s="97">
        <v>0</v>
      </c>
      <c r="AA188" s="98"/>
      <c r="AB188" s="98"/>
      <c r="AC188" s="98"/>
      <c r="AD188" s="99"/>
      <c r="AE188" s="96">
        <v>0</v>
      </c>
      <c r="AF188" s="96"/>
      <c r="AG188" s="96"/>
      <c r="AH188" s="96"/>
      <c r="AI188" s="96"/>
      <c r="AJ188" s="111">
        <f>IF(ISNUMBER(U188),U188,0)+IF(ISNUMBER(Z188),Z188,0)</f>
        <v>0</v>
      </c>
      <c r="AK188" s="111"/>
      <c r="AL188" s="111"/>
      <c r="AM188" s="111"/>
      <c r="AN188" s="111"/>
      <c r="AO188" s="96">
        <v>0</v>
      </c>
      <c r="AP188" s="96"/>
      <c r="AQ188" s="96"/>
      <c r="AR188" s="96"/>
      <c r="AS188" s="96"/>
      <c r="AT188" s="111">
        <v>0</v>
      </c>
      <c r="AU188" s="111"/>
      <c r="AV188" s="111"/>
      <c r="AW188" s="111"/>
      <c r="AX188" s="111"/>
      <c r="AY188" s="96">
        <v>0</v>
      </c>
      <c r="AZ188" s="96"/>
      <c r="BA188" s="96"/>
      <c r="BB188" s="96"/>
      <c r="BC188" s="96"/>
      <c r="BD188" s="111">
        <f>IF(ISNUMBER(AO188),AO188,0)+IF(ISNUMBER(AT188),AT188,0)</f>
        <v>0</v>
      </c>
      <c r="BE188" s="111"/>
      <c r="BF188" s="111"/>
      <c r="BG188" s="111"/>
      <c r="BH188" s="111"/>
    </row>
    <row r="189" spans="1:60" s="100" customFormat="1" ht="51" customHeight="1" x14ac:dyDescent="0.2">
      <c r="A189" s="90">
        <v>35</v>
      </c>
      <c r="B189" s="91"/>
      <c r="C189" s="91"/>
      <c r="D189" s="93" t="s">
        <v>218</v>
      </c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5"/>
      <c r="U189" s="97">
        <v>0</v>
      </c>
      <c r="V189" s="98"/>
      <c r="W189" s="98"/>
      <c r="X189" s="98"/>
      <c r="Y189" s="99"/>
      <c r="Z189" s="97">
        <v>0</v>
      </c>
      <c r="AA189" s="98"/>
      <c r="AB189" s="98"/>
      <c r="AC189" s="98"/>
      <c r="AD189" s="99"/>
      <c r="AE189" s="96">
        <v>0</v>
      </c>
      <c r="AF189" s="96"/>
      <c r="AG189" s="96"/>
      <c r="AH189" s="96"/>
      <c r="AI189" s="96"/>
      <c r="AJ189" s="111">
        <f>IF(ISNUMBER(U189),U189,0)+IF(ISNUMBER(Z189),Z189,0)</f>
        <v>0</v>
      </c>
      <c r="AK189" s="111"/>
      <c r="AL189" s="111"/>
      <c r="AM189" s="111"/>
      <c r="AN189" s="111"/>
      <c r="AO189" s="96">
        <v>0</v>
      </c>
      <c r="AP189" s="96"/>
      <c r="AQ189" s="96"/>
      <c r="AR189" s="96"/>
      <c r="AS189" s="96"/>
      <c r="AT189" s="111">
        <v>0</v>
      </c>
      <c r="AU189" s="111"/>
      <c r="AV189" s="111"/>
      <c r="AW189" s="111"/>
      <c r="AX189" s="111"/>
      <c r="AY189" s="96">
        <v>0</v>
      </c>
      <c r="AZ189" s="96"/>
      <c r="BA189" s="96"/>
      <c r="BB189" s="96"/>
      <c r="BC189" s="96"/>
      <c r="BD189" s="111">
        <f>IF(ISNUMBER(AO189),AO189,0)+IF(ISNUMBER(AT189),AT189,0)</f>
        <v>0</v>
      </c>
      <c r="BE189" s="111"/>
      <c r="BF189" s="111"/>
      <c r="BG189" s="111"/>
      <c r="BH189" s="111"/>
    </row>
    <row r="190" spans="1:60" s="100" customFormat="1" ht="38.25" customHeight="1" x14ac:dyDescent="0.2">
      <c r="A190" s="90">
        <v>36</v>
      </c>
      <c r="B190" s="91"/>
      <c r="C190" s="91"/>
      <c r="D190" s="93" t="s">
        <v>219</v>
      </c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5"/>
      <c r="U190" s="97">
        <v>0</v>
      </c>
      <c r="V190" s="98"/>
      <c r="W190" s="98"/>
      <c r="X190" s="98"/>
      <c r="Y190" s="99"/>
      <c r="Z190" s="97">
        <v>0</v>
      </c>
      <c r="AA190" s="98"/>
      <c r="AB190" s="98"/>
      <c r="AC190" s="98"/>
      <c r="AD190" s="99"/>
      <c r="AE190" s="96">
        <v>0</v>
      </c>
      <c r="AF190" s="96"/>
      <c r="AG190" s="96"/>
      <c r="AH190" s="96"/>
      <c r="AI190" s="96"/>
      <c r="AJ190" s="111">
        <f>IF(ISNUMBER(U190),U190,0)+IF(ISNUMBER(Z190),Z190,0)</f>
        <v>0</v>
      </c>
      <c r="AK190" s="111"/>
      <c r="AL190" s="111"/>
      <c r="AM190" s="111"/>
      <c r="AN190" s="111"/>
      <c r="AO190" s="96">
        <v>0</v>
      </c>
      <c r="AP190" s="96"/>
      <c r="AQ190" s="96"/>
      <c r="AR190" s="96"/>
      <c r="AS190" s="96"/>
      <c r="AT190" s="111">
        <v>0</v>
      </c>
      <c r="AU190" s="111"/>
      <c r="AV190" s="111"/>
      <c r="AW190" s="111"/>
      <c r="AX190" s="111"/>
      <c r="AY190" s="96">
        <v>0</v>
      </c>
      <c r="AZ190" s="96"/>
      <c r="BA190" s="96"/>
      <c r="BB190" s="96"/>
      <c r="BC190" s="96"/>
      <c r="BD190" s="111">
        <f>IF(ISNUMBER(AO190),AO190,0)+IF(ISNUMBER(AT190),AT190,0)</f>
        <v>0</v>
      </c>
      <c r="BE190" s="111"/>
      <c r="BF190" s="111"/>
      <c r="BG190" s="111"/>
      <c r="BH190" s="111"/>
    </row>
    <row r="191" spans="1:60" s="100" customFormat="1" ht="25.5" customHeight="1" x14ac:dyDescent="0.2">
      <c r="A191" s="90">
        <v>37</v>
      </c>
      <c r="B191" s="91"/>
      <c r="C191" s="91"/>
      <c r="D191" s="93" t="s">
        <v>220</v>
      </c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5"/>
      <c r="U191" s="97">
        <v>0</v>
      </c>
      <c r="V191" s="98"/>
      <c r="W191" s="98"/>
      <c r="X191" s="98"/>
      <c r="Y191" s="99"/>
      <c r="Z191" s="97">
        <v>0</v>
      </c>
      <c r="AA191" s="98"/>
      <c r="AB191" s="98"/>
      <c r="AC191" s="98"/>
      <c r="AD191" s="99"/>
      <c r="AE191" s="96">
        <v>0</v>
      </c>
      <c r="AF191" s="96"/>
      <c r="AG191" s="96"/>
      <c r="AH191" s="96"/>
      <c r="AI191" s="96"/>
      <c r="AJ191" s="111">
        <f>IF(ISNUMBER(U191),U191,0)+IF(ISNUMBER(Z191),Z191,0)</f>
        <v>0</v>
      </c>
      <c r="AK191" s="111"/>
      <c r="AL191" s="111"/>
      <c r="AM191" s="111"/>
      <c r="AN191" s="111"/>
      <c r="AO191" s="96">
        <v>0</v>
      </c>
      <c r="AP191" s="96"/>
      <c r="AQ191" s="96"/>
      <c r="AR191" s="96"/>
      <c r="AS191" s="96"/>
      <c r="AT191" s="111">
        <v>0</v>
      </c>
      <c r="AU191" s="111"/>
      <c r="AV191" s="111"/>
      <c r="AW191" s="111"/>
      <c r="AX191" s="111"/>
      <c r="AY191" s="96">
        <v>0</v>
      </c>
      <c r="AZ191" s="96"/>
      <c r="BA191" s="96"/>
      <c r="BB191" s="96"/>
      <c r="BC191" s="96"/>
      <c r="BD191" s="111">
        <f>IF(ISNUMBER(AO191),AO191,0)+IF(ISNUMBER(AT191),AT191,0)</f>
        <v>0</v>
      </c>
      <c r="BE191" s="111"/>
      <c r="BF191" s="111"/>
      <c r="BG191" s="111"/>
      <c r="BH191" s="111"/>
    </row>
    <row r="192" spans="1:60" s="100" customFormat="1" ht="25.5" customHeight="1" x14ac:dyDescent="0.2">
      <c r="A192" s="90">
        <v>38</v>
      </c>
      <c r="B192" s="91"/>
      <c r="C192" s="91"/>
      <c r="D192" s="93" t="s">
        <v>221</v>
      </c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5"/>
      <c r="U192" s="97">
        <v>0</v>
      </c>
      <c r="V192" s="98"/>
      <c r="W192" s="98"/>
      <c r="X192" s="98"/>
      <c r="Y192" s="99"/>
      <c r="Z192" s="97">
        <v>0</v>
      </c>
      <c r="AA192" s="98"/>
      <c r="AB192" s="98"/>
      <c r="AC192" s="98"/>
      <c r="AD192" s="99"/>
      <c r="AE192" s="96">
        <v>0</v>
      </c>
      <c r="AF192" s="96"/>
      <c r="AG192" s="96"/>
      <c r="AH192" s="96"/>
      <c r="AI192" s="96"/>
      <c r="AJ192" s="111">
        <f>IF(ISNUMBER(U192),U192,0)+IF(ISNUMBER(Z192),Z192,0)</f>
        <v>0</v>
      </c>
      <c r="AK192" s="111"/>
      <c r="AL192" s="111"/>
      <c r="AM192" s="111"/>
      <c r="AN192" s="111"/>
      <c r="AO192" s="96">
        <v>0</v>
      </c>
      <c r="AP192" s="96"/>
      <c r="AQ192" s="96"/>
      <c r="AR192" s="96"/>
      <c r="AS192" s="96"/>
      <c r="AT192" s="111">
        <v>0</v>
      </c>
      <c r="AU192" s="111"/>
      <c r="AV192" s="111"/>
      <c r="AW192" s="111"/>
      <c r="AX192" s="111"/>
      <c r="AY192" s="96">
        <v>0</v>
      </c>
      <c r="AZ192" s="96"/>
      <c r="BA192" s="96"/>
      <c r="BB192" s="96"/>
      <c r="BC192" s="96"/>
      <c r="BD192" s="111">
        <f>IF(ISNUMBER(AO192),AO192,0)+IF(ISNUMBER(AT192),AT192,0)</f>
        <v>0</v>
      </c>
      <c r="BE192" s="111"/>
      <c r="BF192" s="111"/>
      <c r="BG192" s="111"/>
      <c r="BH192" s="111"/>
    </row>
    <row r="193" spans="1:79" s="100" customFormat="1" ht="12.75" customHeight="1" x14ac:dyDescent="0.2">
      <c r="A193" s="90">
        <v>39</v>
      </c>
      <c r="B193" s="91"/>
      <c r="C193" s="91"/>
      <c r="D193" s="93" t="s">
        <v>222</v>
      </c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5"/>
      <c r="U193" s="97">
        <v>0</v>
      </c>
      <c r="V193" s="98"/>
      <c r="W193" s="98"/>
      <c r="X193" s="98"/>
      <c r="Y193" s="99"/>
      <c r="Z193" s="97">
        <v>0</v>
      </c>
      <c r="AA193" s="98"/>
      <c r="AB193" s="98"/>
      <c r="AC193" s="98"/>
      <c r="AD193" s="99"/>
      <c r="AE193" s="96">
        <v>0</v>
      </c>
      <c r="AF193" s="96"/>
      <c r="AG193" s="96"/>
      <c r="AH193" s="96"/>
      <c r="AI193" s="96"/>
      <c r="AJ193" s="111">
        <f>IF(ISNUMBER(U193),U193,0)+IF(ISNUMBER(Z193),Z193,0)</f>
        <v>0</v>
      </c>
      <c r="AK193" s="111"/>
      <c r="AL193" s="111"/>
      <c r="AM193" s="111"/>
      <c r="AN193" s="111"/>
      <c r="AO193" s="96">
        <v>0</v>
      </c>
      <c r="AP193" s="96"/>
      <c r="AQ193" s="96"/>
      <c r="AR193" s="96"/>
      <c r="AS193" s="96"/>
      <c r="AT193" s="111">
        <v>0</v>
      </c>
      <c r="AU193" s="111"/>
      <c r="AV193" s="111"/>
      <c r="AW193" s="111"/>
      <c r="AX193" s="111"/>
      <c r="AY193" s="96">
        <v>0</v>
      </c>
      <c r="AZ193" s="96"/>
      <c r="BA193" s="96"/>
      <c r="BB193" s="96"/>
      <c r="BC193" s="96"/>
      <c r="BD193" s="111">
        <f>IF(ISNUMBER(AO193),AO193,0)+IF(ISNUMBER(AT193),AT193,0)</f>
        <v>0</v>
      </c>
      <c r="BE193" s="111"/>
      <c r="BF193" s="111"/>
      <c r="BG193" s="111"/>
      <c r="BH193" s="111"/>
    </row>
    <row r="194" spans="1:79" s="100" customFormat="1" ht="89.25" customHeight="1" x14ac:dyDescent="0.2">
      <c r="A194" s="90">
        <v>40</v>
      </c>
      <c r="B194" s="91"/>
      <c r="C194" s="91"/>
      <c r="D194" s="93" t="s">
        <v>223</v>
      </c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5"/>
      <c r="U194" s="97">
        <v>0</v>
      </c>
      <c r="V194" s="98"/>
      <c r="W194" s="98"/>
      <c r="X194" s="98"/>
      <c r="Y194" s="99"/>
      <c r="Z194" s="97">
        <v>0</v>
      </c>
      <c r="AA194" s="98"/>
      <c r="AB194" s="98"/>
      <c r="AC194" s="98"/>
      <c r="AD194" s="99"/>
      <c r="AE194" s="96">
        <v>0</v>
      </c>
      <c r="AF194" s="96"/>
      <c r="AG194" s="96"/>
      <c r="AH194" s="96"/>
      <c r="AI194" s="96"/>
      <c r="AJ194" s="111">
        <f>IF(ISNUMBER(U194),U194,0)+IF(ISNUMBER(Z194),Z194,0)</f>
        <v>0</v>
      </c>
      <c r="AK194" s="111"/>
      <c r="AL194" s="111"/>
      <c r="AM194" s="111"/>
      <c r="AN194" s="111"/>
      <c r="AO194" s="96">
        <v>0</v>
      </c>
      <c r="AP194" s="96"/>
      <c r="AQ194" s="96"/>
      <c r="AR194" s="96"/>
      <c r="AS194" s="96"/>
      <c r="AT194" s="111">
        <v>0</v>
      </c>
      <c r="AU194" s="111"/>
      <c r="AV194" s="111"/>
      <c r="AW194" s="111"/>
      <c r="AX194" s="111"/>
      <c r="AY194" s="96">
        <v>0</v>
      </c>
      <c r="AZ194" s="96"/>
      <c r="BA194" s="96"/>
      <c r="BB194" s="96"/>
      <c r="BC194" s="96"/>
      <c r="BD194" s="111">
        <f>IF(ISNUMBER(AO194),AO194,0)+IF(ISNUMBER(AT194),AT194,0)</f>
        <v>0</v>
      </c>
      <c r="BE194" s="111"/>
      <c r="BF194" s="111"/>
      <c r="BG194" s="111"/>
      <c r="BH194" s="111"/>
    </row>
    <row r="195" spans="1:79" s="100" customFormat="1" ht="25.5" customHeight="1" x14ac:dyDescent="0.2">
      <c r="A195" s="90">
        <v>41</v>
      </c>
      <c r="B195" s="91"/>
      <c r="C195" s="91"/>
      <c r="D195" s="93" t="s">
        <v>224</v>
      </c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5"/>
      <c r="U195" s="97">
        <v>0</v>
      </c>
      <c r="V195" s="98"/>
      <c r="W195" s="98"/>
      <c r="X195" s="98"/>
      <c r="Y195" s="99"/>
      <c r="Z195" s="97">
        <v>0</v>
      </c>
      <c r="AA195" s="98"/>
      <c r="AB195" s="98"/>
      <c r="AC195" s="98"/>
      <c r="AD195" s="99"/>
      <c r="AE195" s="96">
        <v>0</v>
      </c>
      <c r="AF195" s="96"/>
      <c r="AG195" s="96"/>
      <c r="AH195" s="96"/>
      <c r="AI195" s="96"/>
      <c r="AJ195" s="111">
        <f>IF(ISNUMBER(U195),U195,0)+IF(ISNUMBER(Z195),Z195,0)</f>
        <v>0</v>
      </c>
      <c r="AK195" s="111"/>
      <c r="AL195" s="111"/>
      <c r="AM195" s="111"/>
      <c r="AN195" s="111"/>
      <c r="AO195" s="96">
        <v>0</v>
      </c>
      <c r="AP195" s="96"/>
      <c r="AQ195" s="96"/>
      <c r="AR195" s="96"/>
      <c r="AS195" s="96"/>
      <c r="AT195" s="111">
        <v>0</v>
      </c>
      <c r="AU195" s="111"/>
      <c r="AV195" s="111"/>
      <c r="AW195" s="111"/>
      <c r="AX195" s="111"/>
      <c r="AY195" s="96">
        <v>0</v>
      </c>
      <c r="AZ195" s="96"/>
      <c r="BA195" s="96"/>
      <c r="BB195" s="96"/>
      <c r="BC195" s="96"/>
      <c r="BD195" s="111">
        <f>IF(ISNUMBER(AO195),AO195,0)+IF(ISNUMBER(AT195),AT195,0)</f>
        <v>0</v>
      </c>
      <c r="BE195" s="111"/>
      <c r="BF195" s="111"/>
      <c r="BG195" s="111"/>
      <c r="BH195" s="111"/>
    </row>
    <row r="196" spans="1:79" s="100" customFormat="1" ht="25.5" customHeight="1" x14ac:dyDescent="0.2">
      <c r="A196" s="90">
        <v>42</v>
      </c>
      <c r="B196" s="91"/>
      <c r="C196" s="91"/>
      <c r="D196" s="93" t="s">
        <v>225</v>
      </c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5"/>
      <c r="U196" s="97">
        <v>0</v>
      </c>
      <c r="V196" s="98"/>
      <c r="W196" s="98"/>
      <c r="X196" s="98"/>
      <c r="Y196" s="99"/>
      <c r="Z196" s="97">
        <v>0</v>
      </c>
      <c r="AA196" s="98"/>
      <c r="AB196" s="98"/>
      <c r="AC196" s="98"/>
      <c r="AD196" s="99"/>
      <c r="AE196" s="96">
        <v>0</v>
      </c>
      <c r="AF196" s="96"/>
      <c r="AG196" s="96"/>
      <c r="AH196" s="96"/>
      <c r="AI196" s="96"/>
      <c r="AJ196" s="111">
        <f>IF(ISNUMBER(U196),U196,0)+IF(ISNUMBER(Z196),Z196,0)</f>
        <v>0</v>
      </c>
      <c r="AK196" s="111"/>
      <c r="AL196" s="111"/>
      <c r="AM196" s="111"/>
      <c r="AN196" s="111"/>
      <c r="AO196" s="96">
        <v>0</v>
      </c>
      <c r="AP196" s="96"/>
      <c r="AQ196" s="96"/>
      <c r="AR196" s="96"/>
      <c r="AS196" s="96"/>
      <c r="AT196" s="111">
        <v>0</v>
      </c>
      <c r="AU196" s="111"/>
      <c r="AV196" s="111"/>
      <c r="AW196" s="111"/>
      <c r="AX196" s="111"/>
      <c r="AY196" s="96">
        <v>0</v>
      </c>
      <c r="AZ196" s="96"/>
      <c r="BA196" s="96"/>
      <c r="BB196" s="96"/>
      <c r="BC196" s="96"/>
      <c r="BD196" s="111">
        <f>IF(ISNUMBER(AO196),AO196,0)+IF(ISNUMBER(AT196),AT196,0)</f>
        <v>0</v>
      </c>
      <c r="BE196" s="111"/>
      <c r="BF196" s="111"/>
      <c r="BG196" s="111"/>
      <c r="BH196" s="111"/>
    </row>
    <row r="197" spans="1:79" s="100" customFormat="1" ht="25.5" customHeight="1" x14ac:dyDescent="0.2">
      <c r="A197" s="90">
        <v>43</v>
      </c>
      <c r="B197" s="91"/>
      <c r="C197" s="91"/>
      <c r="D197" s="93" t="s">
        <v>226</v>
      </c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5"/>
      <c r="U197" s="97">
        <v>0</v>
      </c>
      <c r="V197" s="98"/>
      <c r="W197" s="98"/>
      <c r="X197" s="98"/>
      <c r="Y197" s="99"/>
      <c r="Z197" s="97">
        <v>0</v>
      </c>
      <c r="AA197" s="98"/>
      <c r="AB197" s="98"/>
      <c r="AC197" s="98"/>
      <c r="AD197" s="99"/>
      <c r="AE197" s="96">
        <v>0</v>
      </c>
      <c r="AF197" s="96"/>
      <c r="AG197" s="96"/>
      <c r="AH197" s="96"/>
      <c r="AI197" s="96"/>
      <c r="AJ197" s="111">
        <f>IF(ISNUMBER(U197),U197,0)+IF(ISNUMBER(Z197),Z197,0)</f>
        <v>0</v>
      </c>
      <c r="AK197" s="111"/>
      <c r="AL197" s="111"/>
      <c r="AM197" s="111"/>
      <c r="AN197" s="111"/>
      <c r="AO197" s="96">
        <v>0</v>
      </c>
      <c r="AP197" s="96"/>
      <c r="AQ197" s="96"/>
      <c r="AR197" s="96"/>
      <c r="AS197" s="96"/>
      <c r="AT197" s="111">
        <v>0</v>
      </c>
      <c r="AU197" s="111"/>
      <c r="AV197" s="111"/>
      <c r="AW197" s="111"/>
      <c r="AX197" s="111"/>
      <c r="AY197" s="96">
        <v>0</v>
      </c>
      <c r="AZ197" s="96"/>
      <c r="BA197" s="96"/>
      <c r="BB197" s="96"/>
      <c r="BC197" s="96"/>
      <c r="BD197" s="111">
        <f>IF(ISNUMBER(AO197),AO197,0)+IF(ISNUMBER(AT197),AT197,0)</f>
        <v>0</v>
      </c>
      <c r="BE197" s="111"/>
      <c r="BF197" s="111"/>
      <c r="BG197" s="111"/>
      <c r="BH197" s="111"/>
    </row>
    <row r="198" spans="1:79" s="6" customFormat="1" ht="12.75" customHeight="1" x14ac:dyDescent="0.2">
      <c r="A198" s="87"/>
      <c r="B198" s="88"/>
      <c r="C198" s="88"/>
      <c r="D198" s="101" t="s">
        <v>147</v>
      </c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3"/>
      <c r="U198" s="105">
        <v>0</v>
      </c>
      <c r="V198" s="106"/>
      <c r="W198" s="106"/>
      <c r="X198" s="106"/>
      <c r="Y198" s="107"/>
      <c r="Z198" s="105">
        <v>0</v>
      </c>
      <c r="AA198" s="106"/>
      <c r="AB198" s="106"/>
      <c r="AC198" s="106"/>
      <c r="AD198" s="107"/>
      <c r="AE198" s="104">
        <v>0</v>
      </c>
      <c r="AF198" s="104"/>
      <c r="AG198" s="104"/>
      <c r="AH198" s="104"/>
      <c r="AI198" s="104"/>
      <c r="AJ198" s="86">
        <f>IF(ISNUMBER(U198),U198,0)+IF(ISNUMBER(Z198),Z198,0)</f>
        <v>0</v>
      </c>
      <c r="AK198" s="86"/>
      <c r="AL198" s="86"/>
      <c r="AM198" s="86"/>
      <c r="AN198" s="86"/>
      <c r="AO198" s="104">
        <v>0</v>
      </c>
      <c r="AP198" s="104"/>
      <c r="AQ198" s="104"/>
      <c r="AR198" s="104"/>
      <c r="AS198" s="104"/>
      <c r="AT198" s="86">
        <v>0</v>
      </c>
      <c r="AU198" s="86"/>
      <c r="AV198" s="86"/>
      <c r="AW198" s="86"/>
      <c r="AX198" s="86"/>
      <c r="AY198" s="104">
        <v>0</v>
      </c>
      <c r="AZ198" s="104"/>
      <c r="BA198" s="104"/>
      <c r="BB198" s="104"/>
      <c r="BC198" s="104"/>
      <c r="BD198" s="86">
        <f>IF(ISNUMBER(AO198),AO198,0)+IF(ISNUMBER(AT198),AT198,0)</f>
        <v>0</v>
      </c>
      <c r="BE198" s="86"/>
      <c r="BF198" s="86"/>
      <c r="BG198" s="86"/>
      <c r="BH198" s="86"/>
    </row>
    <row r="199" spans="1:79" s="5" customFormat="1" ht="12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</row>
    <row r="201" spans="1:79" ht="14.25" customHeight="1" x14ac:dyDescent="0.2">
      <c r="A201" s="29" t="s">
        <v>152</v>
      </c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</row>
    <row r="202" spans="1:79" ht="14.25" customHeight="1" x14ac:dyDescent="0.2">
      <c r="A202" s="29" t="s">
        <v>259</v>
      </c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</row>
    <row r="203" spans="1:79" ht="23.1" customHeight="1" x14ac:dyDescent="0.2">
      <c r="A203" s="51" t="s">
        <v>6</v>
      </c>
      <c r="B203" s="52"/>
      <c r="C203" s="52"/>
      <c r="D203" s="27" t="s">
        <v>9</v>
      </c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 t="s">
        <v>8</v>
      </c>
      <c r="R203" s="27"/>
      <c r="S203" s="27"/>
      <c r="T203" s="27"/>
      <c r="U203" s="27"/>
      <c r="V203" s="27" t="s">
        <v>7</v>
      </c>
      <c r="W203" s="27"/>
      <c r="X203" s="27"/>
      <c r="Y203" s="27"/>
      <c r="Z203" s="27"/>
      <c r="AA203" s="27"/>
      <c r="AB203" s="27"/>
      <c r="AC203" s="27"/>
      <c r="AD203" s="27"/>
      <c r="AE203" s="27"/>
      <c r="AF203" s="36" t="s">
        <v>244</v>
      </c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8"/>
      <c r="AU203" s="36" t="s">
        <v>247</v>
      </c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8"/>
      <c r="BJ203" s="36" t="s">
        <v>255</v>
      </c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8"/>
    </row>
    <row r="204" spans="1:79" ht="32.25" customHeight="1" x14ac:dyDescent="0.2">
      <c r="A204" s="54"/>
      <c r="B204" s="55"/>
      <c r="C204" s="55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 t="s">
        <v>4</v>
      </c>
      <c r="AG204" s="27"/>
      <c r="AH204" s="27"/>
      <c r="AI204" s="27"/>
      <c r="AJ204" s="27"/>
      <c r="AK204" s="27" t="s">
        <v>3</v>
      </c>
      <c r="AL204" s="27"/>
      <c r="AM204" s="27"/>
      <c r="AN204" s="27"/>
      <c r="AO204" s="27"/>
      <c r="AP204" s="27" t="s">
        <v>123</v>
      </c>
      <c r="AQ204" s="27"/>
      <c r="AR204" s="27"/>
      <c r="AS204" s="27"/>
      <c r="AT204" s="27"/>
      <c r="AU204" s="27" t="s">
        <v>4</v>
      </c>
      <c r="AV204" s="27"/>
      <c r="AW204" s="27"/>
      <c r="AX204" s="27"/>
      <c r="AY204" s="27"/>
      <c r="AZ204" s="27" t="s">
        <v>3</v>
      </c>
      <c r="BA204" s="27"/>
      <c r="BB204" s="27"/>
      <c r="BC204" s="27"/>
      <c r="BD204" s="27"/>
      <c r="BE204" s="27" t="s">
        <v>90</v>
      </c>
      <c r="BF204" s="27"/>
      <c r="BG204" s="27"/>
      <c r="BH204" s="27"/>
      <c r="BI204" s="27"/>
      <c r="BJ204" s="27" t="s">
        <v>4</v>
      </c>
      <c r="BK204" s="27"/>
      <c r="BL204" s="27"/>
      <c r="BM204" s="27"/>
      <c r="BN204" s="27"/>
      <c r="BO204" s="27" t="s">
        <v>3</v>
      </c>
      <c r="BP204" s="27"/>
      <c r="BQ204" s="27"/>
      <c r="BR204" s="27"/>
      <c r="BS204" s="27"/>
      <c r="BT204" s="27" t="s">
        <v>97</v>
      </c>
      <c r="BU204" s="27"/>
      <c r="BV204" s="27"/>
      <c r="BW204" s="27"/>
      <c r="BX204" s="27"/>
    </row>
    <row r="205" spans="1:79" ht="15" customHeight="1" x14ac:dyDescent="0.2">
      <c r="A205" s="36">
        <v>1</v>
      </c>
      <c r="B205" s="37"/>
      <c r="C205" s="37"/>
      <c r="D205" s="27">
        <v>2</v>
      </c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>
        <v>3</v>
      </c>
      <c r="R205" s="27"/>
      <c r="S205" s="27"/>
      <c r="T205" s="27"/>
      <c r="U205" s="27"/>
      <c r="V205" s="27">
        <v>4</v>
      </c>
      <c r="W205" s="27"/>
      <c r="X205" s="27"/>
      <c r="Y205" s="27"/>
      <c r="Z205" s="27"/>
      <c r="AA205" s="27"/>
      <c r="AB205" s="27"/>
      <c r="AC205" s="27"/>
      <c r="AD205" s="27"/>
      <c r="AE205" s="27"/>
      <c r="AF205" s="27">
        <v>5</v>
      </c>
      <c r="AG205" s="27"/>
      <c r="AH205" s="27"/>
      <c r="AI205" s="27"/>
      <c r="AJ205" s="27"/>
      <c r="AK205" s="27">
        <v>6</v>
      </c>
      <c r="AL205" s="27"/>
      <c r="AM205" s="27"/>
      <c r="AN205" s="27"/>
      <c r="AO205" s="27"/>
      <c r="AP205" s="27">
        <v>7</v>
      </c>
      <c r="AQ205" s="27"/>
      <c r="AR205" s="27"/>
      <c r="AS205" s="27"/>
      <c r="AT205" s="27"/>
      <c r="AU205" s="27">
        <v>8</v>
      </c>
      <c r="AV205" s="27"/>
      <c r="AW205" s="27"/>
      <c r="AX205" s="27"/>
      <c r="AY205" s="27"/>
      <c r="AZ205" s="27">
        <v>9</v>
      </c>
      <c r="BA205" s="27"/>
      <c r="BB205" s="27"/>
      <c r="BC205" s="27"/>
      <c r="BD205" s="27"/>
      <c r="BE205" s="27">
        <v>10</v>
      </c>
      <c r="BF205" s="27"/>
      <c r="BG205" s="27"/>
      <c r="BH205" s="27"/>
      <c r="BI205" s="27"/>
      <c r="BJ205" s="27">
        <v>11</v>
      </c>
      <c r="BK205" s="27"/>
      <c r="BL205" s="27"/>
      <c r="BM205" s="27"/>
      <c r="BN205" s="27"/>
      <c r="BO205" s="27">
        <v>12</v>
      </c>
      <c r="BP205" s="27"/>
      <c r="BQ205" s="27"/>
      <c r="BR205" s="27"/>
      <c r="BS205" s="27"/>
      <c r="BT205" s="27">
        <v>13</v>
      </c>
      <c r="BU205" s="27"/>
      <c r="BV205" s="27"/>
      <c r="BW205" s="27"/>
      <c r="BX205" s="27"/>
    </row>
    <row r="206" spans="1:79" ht="10.5" hidden="1" customHeight="1" x14ac:dyDescent="0.2">
      <c r="A206" s="39" t="s">
        <v>154</v>
      </c>
      <c r="B206" s="40"/>
      <c r="C206" s="40"/>
      <c r="D206" s="27" t="s">
        <v>57</v>
      </c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 t="s">
        <v>70</v>
      </c>
      <c r="R206" s="27"/>
      <c r="S206" s="27"/>
      <c r="T206" s="27"/>
      <c r="U206" s="27"/>
      <c r="V206" s="27" t="s">
        <v>71</v>
      </c>
      <c r="W206" s="27"/>
      <c r="X206" s="27"/>
      <c r="Y206" s="27"/>
      <c r="Z206" s="27"/>
      <c r="AA206" s="27"/>
      <c r="AB206" s="27"/>
      <c r="AC206" s="27"/>
      <c r="AD206" s="27"/>
      <c r="AE206" s="27"/>
      <c r="AF206" s="26" t="s">
        <v>111</v>
      </c>
      <c r="AG206" s="26"/>
      <c r="AH206" s="26"/>
      <c r="AI206" s="26"/>
      <c r="AJ206" s="26"/>
      <c r="AK206" s="30" t="s">
        <v>112</v>
      </c>
      <c r="AL206" s="30"/>
      <c r="AM206" s="30"/>
      <c r="AN206" s="30"/>
      <c r="AO206" s="30"/>
      <c r="AP206" s="50" t="s">
        <v>122</v>
      </c>
      <c r="AQ206" s="50"/>
      <c r="AR206" s="50"/>
      <c r="AS206" s="50"/>
      <c r="AT206" s="50"/>
      <c r="AU206" s="26" t="s">
        <v>113</v>
      </c>
      <c r="AV206" s="26"/>
      <c r="AW206" s="26"/>
      <c r="AX206" s="26"/>
      <c r="AY206" s="26"/>
      <c r="AZ206" s="30" t="s">
        <v>114</v>
      </c>
      <c r="BA206" s="30"/>
      <c r="BB206" s="30"/>
      <c r="BC206" s="30"/>
      <c r="BD206" s="30"/>
      <c r="BE206" s="50" t="s">
        <v>122</v>
      </c>
      <c r="BF206" s="50"/>
      <c r="BG206" s="50"/>
      <c r="BH206" s="50"/>
      <c r="BI206" s="50"/>
      <c r="BJ206" s="26" t="s">
        <v>105</v>
      </c>
      <c r="BK206" s="26"/>
      <c r="BL206" s="26"/>
      <c r="BM206" s="26"/>
      <c r="BN206" s="26"/>
      <c r="BO206" s="30" t="s">
        <v>106</v>
      </c>
      <c r="BP206" s="30"/>
      <c r="BQ206" s="30"/>
      <c r="BR206" s="30"/>
      <c r="BS206" s="30"/>
      <c r="BT206" s="50" t="s">
        <v>122</v>
      </c>
      <c r="BU206" s="50"/>
      <c r="BV206" s="50"/>
      <c r="BW206" s="50"/>
      <c r="BX206" s="50"/>
      <c r="CA206" t="s">
        <v>37</v>
      </c>
    </row>
    <row r="207" spans="1:79" s="4" customFormat="1" ht="15" customHeight="1" x14ac:dyDescent="0.2">
      <c r="A207" s="39"/>
      <c r="B207" s="40"/>
      <c r="C207" s="40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CA207" s="4" t="s">
        <v>38</v>
      </c>
    </row>
    <row r="209" spans="1:79" ht="14.25" customHeight="1" x14ac:dyDescent="0.2">
      <c r="A209" s="29" t="s">
        <v>274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</row>
    <row r="210" spans="1:79" ht="23.1" customHeight="1" x14ac:dyDescent="0.2">
      <c r="A210" s="51" t="s">
        <v>6</v>
      </c>
      <c r="B210" s="52"/>
      <c r="C210" s="52"/>
      <c r="D210" s="27" t="s">
        <v>9</v>
      </c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 t="s">
        <v>8</v>
      </c>
      <c r="R210" s="27"/>
      <c r="S210" s="27"/>
      <c r="T210" s="27"/>
      <c r="U210" s="27"/>
      <c r="V210" s="27" t="s">
        <v>7</v>
      </c>
      <c r="W210" s="27"/>
      <c r="X210" s="27"/>
      <c r="Y210" s="27"/>
      <c r="Z210" s="27"/>
      <c r="AA210" s="27"/>
      <c r="AB210" s="27"/>
      <c r="AC210" s="27"/>
      <c r="AD210" s="27"/>
      <c r="AE210" s="27"/>
      <c r="AF210" s="36" t="s">
        <v>265</v>
      </c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8"/>
      <c r="AU210" s="36" t="s">
        <v>270</v>
      </c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8"/>
    </row>
    <row r="211" spans="1:79" ht="28.5" customHeight="1" x14ac:dyDescent="0.2">
      <c r="A211" s="54"/>
      <c r="B211" s="55"/>
      <c r="C211" s="55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 t="s">
        <v>4</v>
      </c>
      <c r="AG211" s="27"/>
      <c r="AH211" s="27"/>
      <c r="AI211" s="27"/>
      <c r="AJ211" s="27"/>
      <c r="AK211" s="27" t="s">
        <v>3</v>
      </c>
      <c r="AL211" s="27"/>
      <c r="AM211" s="27"/>
      <c r="AN211" s="27"/>
      <c r="AO211" s="27"/>
      <c r="AP211" s="27" t="s">
        <v>123</v>
      </c>
      <c r="AQ211" s="27"/>
      <c r="AR211" s="27"/>
      <c r="AS211" s="27"/>
      <c r="AT211" s="27"/>
      <c r="AU211" s="27" t="s">
        <v>4</v>
      </c>
      <c r="AV211" s="27"/>
      <c r="AW211" s="27"/>
      <c r="AX211" s="27"/>
      <c r="AY211" s="27"/>
      <c r="AZ211" s="27" t="s">
        <v>3</v>
      </c>
      <c r="BA211" s="27"/>
      <c r="BB211" s="27"/>
      <c r="BC211" s="27"/>
      <c r="BD211" s="27"/>
      <c r="BE211" s="27" t="s">
        <v>90</v>
      </c>
      <c r="BF211" s="27"/>
      <c r="BG211" s="27"/>
      <c r="BH211" s="27"/>
      <c r="BI211" s="27"/>
    </row>
    <row r="212" spans="1:79" ht="15" customHeight="1" x14ac:dyDescent="0.2">
      <c r="A212" s="36">
        <v>1</v>
      </c>
      <c r="B212" s="37"/>
      <c r="C212" s="37"/>
      <c r="D212" s="27">
        <v>2</v>
      </c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>
        <v>3</v>
      </c>
      <c r="R212" s="27"/>
      <c r="S212" s="27"/>
      <c r="T212" s="27"/>
      <c r="U212" s="27"/>
      <c r="V212" s="27">
        <v>4</v>
      </c>
      <c r="W212" s="27"/>
      <c r="X212" s="27"/>
      <c r="Y212" s="27"/>
      <c r="Z212" s="27"/>
      <c r="AA212" s="27"/>
      <c r="AB212" s="27"/>
      <c r="AC212" s="27"/>
      <c r="AD212" s="27"/>
      <c r="AE212" s="27"/>
      <c r="AF212" s="27">
        <v>5</v>
      </c>
      <c r="AG212" s="27"/>
      <c r="AH212" s="27"/>
      <c r="AI212" s="27"/>
      <c r="AJ212" s="27"/>
      <c r="AK212" s="27">
        <v>6</v>
      </c>
      <c r="AL212" s="27"/>
      <c r="AM212" s="27"/>
      <c r="AN212" s="27"/>
      <c r="AO212" s="27"/>
      <c r="AP212" s="27">
        <v>7</v>
      </c>
      <c r="AQ212" s="27"/>
      <c r="AR212" s="27"/>
      <c r="AS212" s="27"/>
      <c r="AT212" s="27"/>
      <c r="AU212" s="27">
        <v>8</v>
      </c>
      <c r="AV212" s="27"/>
      <c r="AW212" s="27"/>
      <c r="AX212" s="27"/>
      <c r="AY212" s="27"/>
      <c r="AZ212" s="27">
        <v>9</v>
      </c>
      <c r="BA212" s="27"/>
      <c r="BB212" s="27"/>
      <c r="BC212" s="27"/>
      <c r="BD212" s="27"/>
      <c r="BE212" s="27">
        <v>10</v>
      </c>
      <c r="BF212" s="27"/>
      <c r="BG212" s="27"/>
      <c r="BH212" s="27"/>
      <c r="BI212" s="27"/>
    </row>
    <row r="213" spans="1:79" ht="15.75" hidden="1" customHeight="1" x14ac:dyDescent="0.2">
      <c r="A213" s="39" t="s">
        <v>154</v>
      </c>
      <c r="B213" s="40"/>
      <c r="C213" s="40"/>
      <c r="D213" s="27" t="s">
        <v>57</v>
      </c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 t="s">
        <v>70</v>
      </c>
      <c r="R213" s="27"/>
      <c r="S213" s="27"/>
      <c r="T213" s="27"/>
      <c r="U213" s="27"/>
      <c r="V213" s="27" t="s">
        <v>71</v>
      </c>
      <c r="W213" s="27"/>
      <c r="X213" s="27"/>
      <c r="Y213" s="27"/>
      <c r="Z213" s="27"/>
      <c r="AA213" s="27"/>
      <c r="AB213" s="27"/>
      <c r="AC213" s="27"/>
      <c r="AD213" s="27"/>
      <c r="AE213" s="27"/>
      <c r="AF213" s="26" t="s">
        <v>107</v>
      </c>
      <c r="AG213" s="26"/>
      <c r="AH213" s="26"/>
      <c r="AI213" s="26"/>
      <c r="AJ213" s="26"/>
      <c r="AK213" s="30" t="s">
        <v>108</v>
      </c>
      <c r="AL213" s="30"/>
      <c r="AM213" s="30"/>
      <c r="AN213" s="30"/>
      <c r="AO213" s="30"/>
      <c r="AP213" s="50" t="s">
        <v>122</v>
      </c>
      <c r="AQ213" s="50"/>
      <c r="AR213" s="50"/>
      <c r="AS213" s="50"/>
      <c r="AT213" s="50"/>
      <c r="AU213" s="26" t="s">
        <v>109</v>
      </c>
      <c r="AV213" s="26"/>
      <c r="AW213" s="26"/>
      <c r="AX213" s="26"/>
      <c r="AY213" s="26"/>
      <c r="AZ213" s="30" t="s">
        <v>110</v>
      </c>
      <c r="BA213" s="30"/>
      <c r="BB213" s="30"/>
      <c r="BC213" s="30"/>
      <c r="BD213" s="30"/>
      <c r="BE213" s="50" t="s">
        <v>122</v>
      </c>
      <c r="BF213" s="50"/>
      <c r="BG213" s="50"/>
      <c r="BH213" s="50"/>
      <c r="BI213" s="50"/>
      <c r="CA213" t="s">
        <v>39</v>
      </c>
    </row>
    <row r="214" spans="1:79" s="4" customFormat="1" ht="15" x14ac:dyDescent="0.2">
      <c r="A214" s="39"/>
      <c r="B214" s="40"/>
      <c r="C214" s="40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CA214" s="4" t="s">
        <v>40</v>
      </c>
    </row>
    <row r="216" spans="1:79" ht="14.25" customHeight="1" x14ac:dyDescent="0.2">
      <c r="A216" s="29" t="s">
        <v>124</v>
      </c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</row>
    <row r="217" spans="1:79" ht="15" customHeight="1" x14ac:dyDescent="0.2">
      <c r="A217" s="44" t="s">
        <v>243</v>
      </c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</row>
    <row r="218" spans="1:79" ht="12.95" customHeight="1" x14ac:dyDescent="0.2">
      <c r="A218" s="51" t="s">
        <v>19</v>
      </c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3"/>
      <c r="U218" s="27" t="s">
        <v>244</v>
      </c>
      <c r="V218" s="27"/>
      <c r="W218" s="27"/>
      <c r="X218" s="27"/>
      <c r="Y218" s="27"/>
      <c r="Z218" s="27"/>
      <c r="AA218" s="27"/>
      <c r="AB218" s="27"/>
      <c r="AC218" s="27"/>
      <c r="AD218" s="27"/>
      <c r="AE218" s="27" t="s">
        <v>247</v>
      </c>
      <c r="AF218" s="27"/>
      <c r="AG218" s="27"/>
      <c r="AH218" s="27"/>
      <c r="AI218" s="27"/>
      <c r="AJ218" s="27"/>
      <c r="AK218" s="27"/>
      <c r="AL218" s="27"/>
      <c r="AM218" s="27"/>
      <c r="AN218" s="27"/>
      <c r="AO218" s="27" t="s">
        <v>255</v>
      </c>
      <c r="AP218" s="27"/>
      <c r="AQ218" s="27"/>
      <c r="AR218" s="27"/>
      <c r="AS218" s="27"/>
      <c r="AT218" s="27"/>
      <c r="AU218" s="27"/>
      <c r="AV218" s="27"/>
      <c r="AW218" s="27"/>
      <c r="AX218" s="27"/>
      <c r="AY218" s="27" t="s">
        <v>265</v>
      </c>
      <c r="AZ218" s="27"/>
      <c r="BA218" s="27"/>
      <c r="BB218" s="27"/>
      <c r="BC218" s="27"/>
      <c r="BD218" s="27"/>
      <c r="BE218" s="27"/>
      <c r="BF218" s="27"/>
      <c r="BG218" s="27"/>
      <c r="BH218" s="27"/>
      <c r="BI218" s="27" t="s">
        <v>270</v>
      </c>
      <c r="BJ218" s="27"/>
      <c r="BK218" s="27"/>
      <c r="BL218" s="27"/>
      <c r="BM218" s="27"/>
      <c r="BN218" s="27"/>
      <c r="BO218" s="27"/>
      <c r="BP218" s="27"/>
      <c r="BQ218" s="27"/>
      <c r="BR218" s="27"/>
    </row>
    <row r="219" spans="1:79" ht="30" customHeight="1" x14ac:dyDescent="0.2">
      <c r="A219" s="54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6"/>
      <c r="U219" s="27" t="s">
        <v>4</v>
      </c>
      <c r="V219" s="27"/>
      <c r="W219" s="27"/>
      <c r="X219" s="27"/>
      <c r="Y219" s="27"/>
      <c r="Z219" s="27" t="s">
        <v>3</v>
      </c>
      <c r="AA219" s="27"/>
      <c r="AB219" s="27"/>
      <c r="AC219" s="27"/>
      <c r="AD219" s="27"/>
      <c r="AE219" s="27" t="s">
        <v>4</v>
      </c>
      <c r="AF219" s="27"/>
      <c r="AG219" s="27"/>
      <c r="AH219" s="27"/>
      <c r="AI219" s="27"/>
      <c r="AJ219" s="27" t="s">
        <v>3</v>
      </c>
      <c r="AK219" s="27"/>
      <c r="AL219" s="27"/>
      <c r="AM219" s="27"/>
      <c r="AN219" s="27"/>
      <c r="AO219" s="27" t="s">
        <v>4</v>
      </c>
      <c r="AP219" s="27"/>
      <c r="AQ219" s="27"/>
      <c r="AR219" s="27"/>
      <c r="AS219" s="27"/>
      <c r="AT219" s="27" t="s">
        <v>3</v>
      </c>
      <c r="AU219" s="27"/>
      <c r="AV219" s="27"/>
      <c r="AW219" s="27"/>
      <c r="AX219" s="27"/>
      <c r="AY219" s="27" t="s">
        <v>4</v>
      </c>
      <c r="AZ219" s="27"/>
      <c r="BA219" s="27"/>
      <c r="BB219" s="27"/>
      <c r="BC219" s="27"/>
      <c r="BD219" s="27" t="s">
        <v>3</v>
      </c>
      <c r="BE219" s="27"/>
      <c r="BF219" s="27"/>
      <c r="BG219" s="27"/>
      <c r="BH219" s="27"/>
      <c r="BI219" s="27" t="s">
        <v>4</v>
      </c>
      <c r="BJ219" s="27"/>
      <c r="BK219" s="27"/>
      <c r="BL219" s="27"/>
      <c r="BM219" s="27"/>
      <c r="BN219" s="27" t="s">
        <v>3</v>
      </c>
      <c r="BO219" s="27"/>
      <c r="BP219" s="27"/>
      <c r="BQ219" s="27"/>
      <c r="BR219" s="27"/>
    </row>
    <row r="220" spans="1:79" ht="15" customHeight="1" x14ac:dyDescent="0.2">
      <c r="A220" s="36">
        <v>1</v>
      </c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8"/>
      <c r="U220" s="27">
        <v>2</v>
      </c>
      <c r="V220" s="27"/>
      <c r="W220" s="27"/>
      <c r="X220" s="27"/>
      <c r="Y220" s="27"/>
      <c r="Z220" s="27">
        <v>3</v>
      </c>
      <c r="AA220" s="27"/>
      <c r="AB220" s="27"/>
      <c r="AC220" s="27"/>
      <c r="AD220" s="27"/>
      <c r="AE220" s="27">
        <v>4</v>
      </c>
      <c r="AF220" s="27"/>
      <c r="AG220" s="27"/>
      <c r="AH220" s="27"/>
      <c r="AI220" s="27"/>
      <c r="AJ220" s="27">
        <v>5</v>
      </c>
      <c r="AK220" s="27"/>
      <c r="AL220" s="27"/>
      <c r="AM220" s="27"/>
      <c r="AN220" s="27"/>
      <c r="AO220" s="27">
        <v>6</v>
      </c>
      <c r="AP220" s="27"/>
      <c r="AQ220" s="27"/>
      <c r="AR220" s="27"/>
      <c r="AS220" s="27"/>
      <c r="AT220" s="27">
        <v>7</v>
      </c>
      <c r="AU220" s="27"/>
      <c r="AV220" s="27"/>
      <c r="AW220" s="27"/>
      <c r="AX220" s="27"/>
      <c r="AY220" s="27">
        <v>8</v>
      </c>
      <c r="AZ220" s="27"/>
      <c r="BA220" s="27"/>
      <c r="BB220" s="27"/>
      <c r="BC220" s="27"/>
      <c r="BD220" s="27">
        <v>9</v>
      </c>
      <c r="BE220" s="27"/>
      <c r="BF220" s="27"/>
      <c r="BG220" s="27"/>
      <c r="BH220" s="27"/>
      <c r="BI220" s="27">
        <v>10</v>
      </c>
      <c r="BJ220" s="27"/>
      <c r="BK220" s="27"/>
      <c r="BL220" s="27"/>
      <c r="BM220" s="27"/>
      <c r="BN220" s="27">
        <v>11</v>
      </c>
      <c r="BO220" s="27"/>
      <c r="BP220" s="27"/>
      <c r="BQ220" s="27"/>
      <c r="BR220" s="27"/>
    </row>
    <row r="221" spans="1:79" s="1" customFormat="1" ht="15.75" hidden="1" customHeight="1" x14ac:dyDescent="0.2">
      <c r="A221" s="39" t="s">
        <v>57</v>
      </c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1"/>
      <c r="U221" s="26" t="s">
        <v>65</v>
      </c>
      <c r="V221" s="26"/>
      <c r="W221" s="26"/>
      <c r="X221" s="26"/>
      <c r="Y221" s="26"/>
      <c r="Z221" s="30" t="s">
        <v>66</v>
      </c>
      <c r="AA221" s="30"/>
      <c r="AB221" s="30"/>
      <c r="AC221" s="30"/>
      <c r="AD221" s="30"/>
      <c r="AE221" s="26" t="s">
        <v>67</v>
      </c>
      <c r="AF221" s="26"/>
      <c r="AG221" s="26"/>
      <c r="AH221" s="26"/>
      <c r="AI221" s="26"/>
      <c r="AJ221" s="30" t="s">
        <v>68</v>
      </c>
      <c r="AK221" s="30"/>
      <c r="AL221" s="30"/>
      <c r="AM221" s="30"/>
      <c r="AN221" s="30"/>
      <c r="AO221" s="26" t="s">
        <v>58</v>
      </c>
      <c r="AP221" s="26"/>
      <c r="AQ221" s="26"/>
      <c r="AR221" s="26"/>
      <c r="AS221" s="26"/>
      <c r="AT221" s="30" t="s">
        <v>59</v>
      </c>
      <c r="AU221" s="30"/>
      <c r="AV221" s="30"/>
      <c r="AW221" s="30"/>
      <c r="AX221" s="30"/>
      <c r="AY221" s="26" t="s">
        <v>60</v>
      </c>
      <c r="AZ221" s="26"/>
      <c r="BA221" s="26"/>
      <c r="BB221" s="26"/>
      <c r="BC221" s="26"/>
      <c r="BD221" s="30" t="s">
        <v>61</v>
      </c>
      <c r="BE221" s="30"/>
      <c r="BF221" s="30"/>
      <c r="BG221" s="30"/>
      <c r="BH221" s="30"/>
      <c r="BI221" s="26" t="s">
        <v>62</v>
      </c>
      <c r="BJ221" s="26"/>
      <c r="BK221" s="26"/>
      <c r="BL221" s="26"/>
      <c r="BM221" s="26"/>
      <c r="BN221" s="30" t="s">
        <v>63</v>
      </c>
      <c r="BO221" s="30"/>
      <c r="BP221" s="30"/>
      <c r="BQ221" s="30"/>
      <c r="BR221" s="30"/>
      <c r="CA221" t="s">
        <v>41</v>
      </c>
    </row>
    <row r="222" spans="1:79" s="6" customFormat="1" ht="12.75" customHeight="1" x14ac:dyDescent="0.2">
      <c r="A222" s="87" t="s">
        <v>147</v>
      </c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9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2"/>
      <c r="BE222" s="112"/>
      <c r="BF222" s="112"/>
      <c r="BG222" s="112"/>
      <c r="BH222" s="112"/>
      <c r="BI222" s="112"/>
      <c r="BJ222" s="112"/>
      <c r="BK222" s="112"/>
      <c r="BL222" s="112"/>
      <c r="BM222" s="112"/>
      <c r="BN222" s="112"/>
      <c r="BO222" s="112"/>
      <c r="BP222" s="112"/>
      <c r="BQ222" s="112"/>
      <c r="BR222" s="112"/>
      <c r="CA222" s="6" t="s">
        <v>42</v>
      </c>
    </row>
    <row r="223" spans="1:79" s="100" customFormat="1" ht="38.25" customHeight="1" x14ac:dyDescent="0.2">
      <c r="A223" s="93" t="s">
        <v>227</v>
      </c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5"/>
      <c r="U223" s="113" t="s">
        <v>173</v>
      </c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 t="s">
        <v>173</v>
      </c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 t="s">
        <v>173</v>
      </c>
      <c r="AP223" s="113"/>
      <c r="AQ223" s="113"/>
      <c r="AR223" s="113"/>
      <c r="AS223" s="113"/>
      <c r="AT223" s="113"/>
      <c r="AU223" s="113"/>
      <c r="AV223" s="113"/>
      <c r="AW223" s="113"/>
      <c r="AX223" s="113"/>
      <c r="AY223" s="113" t="s">
        <v>173</v>
      </c>
      <c r="AZ223" s="113"/>
      <c r="BA223" s="113"/>
      <c r="BB223" s="113"/>
      <c r="BC223" s="113"/>
      <c r="BD223" s="113"/>
      <c r="BE223" s="113"/>
      <c r="BF223" s="113"/>
      <c r="BG223" s="113"/>
      <c r="BH223" s="113"/>
      <c r="BI223" s="113" t="s">
        <v>173</v>
      </c>
      <c r="BJ223" s="113"/>
      <c r="BK223" s="113"/>
      <c r="BL223" s="113"/>
      <c r="BM223" s="113"/>
      <c r="BN223" s="113"/>
      <c r="BO223" s="113"/>
      <c r="BP223" s="113"/>
      <c r="BQ223" s="113"/>
      <c r="BR223" s="113"/>
    </row>
    <row r="226" spans="1:79" ht="14.25" customHeight="1" x14ac:dyDescent="0.2">
      <c r="A226" s="29" t="s">
        <v>125</v>
      </c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</row>
    <row r="227" spans="1:79" ht="15" customHeight="1" x14ac:dyDescent="0.2">
      <c r="A227" s="51" t="s">
        <v>6</v>
      </c>
      <c r="B227" s="52"/>
      <c r="C227" s="52"/>
      <c r="D227" s="51" t="s">
        <v>10</v>
      </c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3"/>
      <c r="W227" s="27" t="s">
        <v>244</v>
      </c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 t="s">
        <v>248</v>
      </c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 t="s">
        <v>260</v>
      </c>
      <c r="AV227" s="27"/>
      <c r="AW227" s="27"/>
      <c r="AX227" s="27"/>
      <c r="AY227" s="27"/>
      <c r="AZ227" s="27"/>
      <c r="BA227" s="27" t="s">
        <v>266</v>
      </c>
      <c r="BB227" s="27"/>
      <c r="BC227" s="27"/>
      <c r="BD227" s="27"/>
      <c r="BE227" s="27"/>
      <c r="BF227" s="27"/>
      <c r="BG227" s="27" t="s">
        <v>275</v>
      </c>
      <c r="BH227" s="27"/>
      <c r="BI227" s="27"/>
      <c r="BJ227" s="27"/>
      <c r="BK227" s="27"/>
      <c r="BL227" s="27"/>
    </row>
    <row r="228" spans="1:79" ht="15" customHeight="1" x14ac:dyDescent="0.2">
      <c r="A228" s="71"/>
      <c r="B228" s="72"/>
      <c r="C228" s="72"/>
      <c r="D228" s="71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3"/>
      <c r="W228" s="27" t="s">
        <v>4</v>
      </c>
      <c r="X228" s="27"/>
      <c r="Y228" s="27"/>
      <c r="Z228" s="27"/>
      <c r="AA228" s="27"/>
      <c r="AB228" s="27"/>
      <c r="AC228" s="27" t="s">
        <v>3</v>
      </c>
      <c r="AD228" s="27"/>
      <c r="AE228" s="27"/>
      <c r="AF228" s="27"/>
      <c r="AG228" s="27"/>
      <c r="AH228" s="27"/>
      <c r="AI228" s="27" t="s">
        <v>4</v>
      </c>
      <c r="AJ228" s="27"/>
      <c r="AK228" s="27"/>
      <c r="AL228" s="27"/>
      <c r="AM228" s="27"/>
      <c r="AN228" s="27"/>
      <c r="AO228" s="27" t="s">
        <v>3</v>
      </c>
      <c r="AP228" s="27"/>
      <c r="AQ228" s="27"/>
      <c r="AR228" s="27"/>
      <c r="AS228" s="27"/>
      <c r="AT228" s="27"/>
      <c r="AU228" s="74" t="s">
        <v>4</v>
      </c>
      <c r="AV228" s="74"/>
      <c r="AW228" s="74"/>
      <c r="AX228" s="74" t="s">
        <v>3</v>
      </c>
      <c r="AY228" s="74"/>
      <c r="AZ228" s="74"/>
      <c r="BA228" s="74" t="s">
        <v>4</v>
      </c>
      <c r="BB228" s="74"/>
      <c r="BC228" s="74"/>
      <c r="BD228" s="74" t="s">
        <v>3</v>
      </c>
      <c r="BE228" s="74"/>
      <c r="BF228" s="74"/>
      <c r="BG228" s="74" t="s">
        <v>4</v>
      </c>
      <c r="BH228" s="74"/>
      <c r="BI228" s="74"/>
      <c r="BJ228" s="74" t="s">
        <v>3</v>
      </c>
      <c r="BK228" s="74"/>
      <c r="BL228" s="74"/>
    </row>
    <row r="229" spans="1:79" ht="57" customHeight="1" x14ac:dyDescent="0.2">
      <c r="A229" s="54"/>
      <c r="B229" s="55"/>
      <c r="C229" s="55"/>
      <c r="D229" s="54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6"/>
      <c r="W229" s="27" t="s">
        <v>12</v>
      </c>
      <c r="X229" s="27"/>
      <c r="Y229" s="27"/>
      <c r="Z229" s="27" t="s">
        <v>11</v>
      </c>
      <c r="AA229" s="27"/>
      <c r="AB229" s="27"/>
      <c r="AC229" s="27" t="s">
        <v>12</v>
      </c>
      <c r="AD229" s="27"/>
      <c r="AE229" s="27"/>
      <c r="AF229" s="27" t="s">
        <v>11</v>
      </c>
      <c r="AG229" s="27"/>
      <c r="AH229" s="27"/>
      <c r="AI229" s="27" t="s">
        <v>12</v>
      </c>
      <c r="AJ229" s="27"/>
      <c r="AK229" s="27"/>
      <c r="AL229" s="27" t="s">
        <v>11</v>
      </c>
      <c r="AM229" s="27"/>
      <c r="AN229" s="27"/>
      <c r="AO229" s="27" t="s">
        <v>12</v>
      </c>
      <c r="AP229" s="27"/>
      <c r="AQ229" s="27"/>
      <c r="AR229" s="27" t="s">
        <v>11</v>
      </c>
      <c r="AS229" s="27"/>
      <c r="AT229" s="27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</row>
    <row r="230" spans="1:79" ht="15" customHeight="1" x14ac:dyDescent="0.2">
      <c r="A230" s="36">
        <v>1</v>
      </c>
      <c r="B230" s="37"/>
      <c r="C230" s="37"/>
      <c r="D230" s="36">
        <v>2</v>
      </c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8"/>
      <c r="W230" s="27">
        <v>3</v>
      </c>
      <c r="X230" s="27"/>
      <c r="Y230" s="27"/>
      <c r="Z230" s="27">
        <v>4</v>
      </c>
      <c r="AA230" s="27"/>
      <c r="AB230" s="27"/>
      <c r="AC230" s="27">
        <v>5</v>
      </c>
      <c r="AD230" s="27"/>
      <c r="AE230" s="27"/>
      <c r="AF230" s="27">
        <v>6</v>
      </c>
      <c r="AG230" s="27"/>
      <c r="AH230" s="27"/>
      <c r="AI230" s="27">
        <v>7</v>
      </c>
      <c r="AJ230" s="27"/>
      <c r="AK230" s="27"/>
      <c r="AL230" s="27">
        <v>8</v>
      </c>
      <c r="AM230" s="27"/>
      <c r="AN230" s="27"/>
      <c r="AO230" s="27">
        <v>9</v>
      </c>
      <c r="AP230" s="27"/>
      <c r="AQ230" s="27"/>
      <c r="AR230" s="27">
        <v>10</v>
      </c>
      <c r="AS230" s="27"/>
      <c r="AT230" s="27"/>
      <c r="AU230" s="27">
        <v>11</v>
      </c>
      <c r="AV230" s="27"/>
      <c r="AW230" s="27"/>
      <c r="AX230" s="27">
        <v>12</v>
      </c>
      <c r="AY230" s="27"/>
      <c r="AZ230" s="27"/>
      <c r="BA230" s="27">
        <v>13</v>
      </c>
      <c r="BB230" s="27"/>
      <c r="BC230" s="27"/>
      <c r="BD230" s="27">
        <v>14</v>
      </c>
      <c r="BE230" s="27"/>
      <c r="BF230" s="27"/>
      <c r="BG230" s="27">
        <v>15</v>
      </c>
      <c r="BH230" s="27"/>
      <c r="BI230" s="27"/>
      <c r="BJ230" s="27">
        <v>16</v>
      </c>
      <c r="BK230" s="27"/>
      <c r="BL230" s="27"/>
    </row>
    <row r="231" spans="1:79" s="1" customFormat="1" ht="12.75" hidden="1" customHeight="1" x14ac:dyDescent="0.2">
      <c r="A231" s="39" t="s">
        <v>69</v>
      </c>
      <c r="B231" s="40"/>
      <c r="C231" s="40"/>
      <c r="D231" s="39" t="s">
        <v>57</v>
      </c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1"/>
      <c r="W231" s="26" t="s">
        <v>72</v>
      </c>
      <c r="X231" s="26"/>
      <c r="Y231" s="26"/>
      <c r="Z231" s="26" t="s">
        <v>73</v>
      </c>
      <c r="AA231" s="26"/>
      <c r="AB231" s="26"/>
      <c r="AC231" s="30" t="s">
        <v>74</v>
      </c>
      <c r="AD231" s="30"/>
      <c r="AE231" s="30"/>
      <c r="AF231" s="30" t="s">
        <v>75</v>
      </c>
      <c r="AG231" s="30"/>
      <c r="AH231" s="30"/>
      <c r="AI231" s="26" t="s">
        <v>76</v>
      </c>
      <c r="AJ231" s="26"/>
      <c r="AK231" s="26"/>
      <c r="AL231" s="26" t="s">
        <v>77</v>
      </c>
      <c r="AM231" s="26"/>
      <c r="AN231" s="26"/>
      <c r="AO231" s="30" t="s">
        <v>104</v>
      </c>
      <c r="AP231" s="30"/>
      <c r="AQ231" s="30"/>
      <c r="AR231" s="30" t="s">
        <v>78</v>
      </c>
      <c r="AS231" s="30"/>
      <c r="AT231" s="30"/>
      <c r="AU231" s="26" t="s">
        <v>105</v>
      </c>
      <c r="AV231" s="26"/>
      <c r="AW231" s="26"/>
      <c r="AX231" s="30" t="s">
        <v>106</v>
      </c>
      <c r="AY231" s="30"/>
      <c r="AZ231" s="30"/>
      <c r="BA231" s="26" t="s">
        <v>107</v>
      </c>
      <c r="BB231" s="26"/>
      <c r="BC231" s="26"/>
      <c r="BD231" s="30" t="s">
        <v>108</v>
      </c>
      <c r="BE231" s="30"/>
      <c r="BF231" s="30"/>
      <c r="BG231" s="26" t="s">
        <v>109</v>
      </c>
      <c r="BH231" s="26"/>
      <c r="BI231" s="26"/>
      <c r="BJ231" s="30" t="s">
        <v>110</v>
      </c>
      <c r="BK231" s="30"/>
      <c r="BL231" s="30"/>
      <c r="CA231" s="1" t="s">
        <v>103</v>
      </c>
    </row>
    <row r="232" spans="1:79" s="6" customFormat="1" ht="12.75" customHeight="1" x14ac:dyDescent="0.2">
      <c r="A232" s="87">
        <v>1</v>
      </c>
      <c r="B232" s="88"/>
      <c r="C232" s="88"/>
      <c r="D232" s="101" t="s">
        <v>228</v>
      </c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3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14"/>
      <c r="AH232" s="114"/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  <c r="AS232" s="114"/>
      <c r="AT232" s="114"/>
      <c r="AU232" s="114"/>
      <c r="AV232" s="114"/>
      <c r="AW232" s="114"/>
      <c r="AX232" s="114"/>
      <c r="AY232" s="114"/>
      <c r="AZ232" s="114"/>
      <c r="BA232" s="114"/>
      <c r="BB232" s="114"/>
      <c r="BC232" s="114"/>
      <c r="BD232" s="114"/>
      <c r="BE232" s="114"/>
      <c r="BF232" s="114"/>
      <c r="BG232" s="114"/>
      <c r="BH232" s="114"/>
      <c r="BI232" s="114"/>
      <c r="BJ232" s="114"/>
      <c r="BK232" s="114"/>
      <c r="BL232" s="114"/>
      <c r="CA232" s="6" t="s">
        <v>43</v>
      </c>
    </row>
    <row r="233" spans="1:79" s="100" customFormat="1" ht="25.5" customHeight="1" x14ac:dyDescent="0.2">
      <c r="A233" s="90">
        <v>2</v>
      </c>
      <c r="B233" s="91"/>
      <c r="C233" s="91"/>
      <c r="D233" s="93" t="s">
        <v>229</v>
      </c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5"/>
      <c r="W233" s="115" t="s">
        <v>173</v>
      </c>
      <c r="X233" s="115"/>
      <c r="Y233" s="115"/>
      <c r="Z233" s="115" t="s">
        <v>173</v>
      </c>
      <c r="AA233" s="115"/>
      <c r="AB233" s="115"/>
      <c r="AC233" s="115"/>
      <c r="AD233" s="115"/>
      <c r="AE233" s="115"/>
      <c r="AF233" s="115"/>
      <c r="AG233" s="115"/>
      <c r="AH233" s="115"/>
      <c r="AI233" s="115" t="s">
        <v>173</v>
      </c>
      <c r="AJ233" s="115"/>
      <c r="AK233" s="115"/>
      <c r="AL233" s="115" t="s">
        <v>173</v>
      </c>
      <c r="AM233" s="115"/>
      <c r="AN233" s="115"/>
      <c r="AO233" s="115"/>
      <c r="AP233" s="115"/>
      <c r="AQ233" s="115"/>
      <c r="AR233" s="115"/>
      <c r="AS233" s="115"/>
      <c r="AT233" s="115"/>
      <c r="AU233" s="115" t="s">
        <v>173</v>
      </c>
      <c r="AV233" s="115"/>
      <c r="AW233" s="115"/>
      <c r="AX233" s="115"/>
      <c r="AY233" s="115"/>
      <c r="AZ233" s="115"/>
      <c r="BA233" s="115" t="s">
        <v>173</v>
      </c>
      <c r="BB233" s="115"/>
      <c r="BC233" s="115"/>
      <c r="BD233" s="115"/>
      <c r="BE233" s="115"/>
      <c r="BF233" s="115"/>
      <c r="BG233" s="115" t="s">
        <v>173</v>
      </c>
      <c r="BH233" s="115"/>
      <c r="BI233" s="115"/>
      <c r="BJ233" s="115"/>
      <c r="BK233" s="115"/>
      <c r="BL233" s="115"/>
    </row>
    <row r="236" spans="1:79" ht="14.25" customHeight="1" x14ac:dyDescent="0.2">
      <c r="A236" s="29" t="s">
        <v>153</v>
      </c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</row>
    <row r="237" spans="1:79" ht="14.25" customHeight="1" x14ac:dyDescent="0.2">
      <c r="A237" s="29" t="s">
        <v>261</v>
      </c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</row>
    <row r="238" spans="1:79" ht="15" customHeight="1" x14ac:dyDescent="0.2">
      <c r="A238" s="31" t="s">
        <v>243</v>
      </c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</row>
    <row r="239" spans="1:79" ht="15" customHeight="1" x14ac:dyDescent="0.2">
      <c r="A239" s="27" t="s">
        <v>6</v>
      </c>
      <c r="B239" s="27"/>
      <c r="C239" s="27"/>
      <c r="D239" s="27"/>
      <c r="E239" s="27"/>
      <c r="F239" s="27"/>
      <c r="G239" s="27" t="s">
        <v>126</v>
      </c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 t="s">
        <v>13</v>
      </c>
      <c r="U239" s="27"/>
      <c r="V239" s="27"/>
      <c r="W239" s="27"/>
      <c r="X239" s="27"/>
      <c r="Y239" s="27"/>
      <c r="Z239" s="27"/>
      <c r="AA239" s="36" t="s">
        <v>244</v>
      </c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8"/>
      <c r="AP239" s="36" t="s">
        <v>247</v>
      </c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8"/>
      <c r="BE239" s="36" t="s">
        <v>255</v>
      </c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8"/>
    </row>
    <row r="240" spans="1:79" ht="32.1" customHeight="1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 t="s">
        <v>4</v>
      </c>
      <c r="AB240" s="27"/>
      <c r="AC240" s="27"/>
      <c r="AD240" s="27"/>
      <c r="AE240" s="27"/>
      <c r="AF240" s="27" t="s">
        <v>3</v>
      </c>
      <c r="AG240" s="27"/>
      <c r="AH240" s="27"/>
      <c r="AI240" s="27"/>
      <c r="AJ240" s="27"/>
      <c r="AK240" s="27" t="s">
        <v>89</v>
      </c>
      <c r="AL240" s="27"/>
      <c r="AM240" s="27"/>
      <c r="AN240" s="27"/>
      <c r="AO240" s="27"/>
      <c r="AP240" s="27" t="s">
        <v>4</v>
      </c>
      <c r="AQ240" s="27"/>
      <c r="AR240" s="27"/>
      <c r="AS240" s="27"/>
      <c r="AT240" s="27"/>
      <c r="AU240" s="27" t="s">
        <v>3</v>
      </c>
      <c r="AV240" s="27"/>
      <c r="AW240" s="27"/>
      <c r="AX240" s="27"/>
      <c r="AY240" s="27"/>
      <c r="AZ240" s="27" t="s">
        <v>96</v>
      </c>
      <c r="BA240" s="27"/>
      <c r="BB240" s="27"/>
      <c r="BC240" s="27"/>
      <c r="BD240" s="27"/>
      <c r="BE240" s="27" t="s">
        <v>4</v>
      </c>
      <c r="BF240" s="27"/>
      <c r="BG240" s="27"/>
      <c r="BH240" s="27"/>
      <c r="BI240" s="27"/>
      <c r="BJ240" s="27" t="s">
        <v>3</v>
      </c>
      <c r="BK240" s="27"/>
      <c r="BL240" s="27"/>
      <c r="BM240" s="27"/>
      <c r="BN240" s="27"/>
      <c r="BO240" s="27" t="s">
        <v>127</v>
      </c>
      <c r="BP240" s="27"/>
      <c r="BQ240" s="27"/>
      <c r="BR240" s="27"/>
      <c r="BS240" s="27"/>
    </row>
    <row r="241" spans="1:79" ht="15" customHeight="1" x14ac:dyDescent="0.2">
      <c r="A241" s="27">
        <v>1</v>
      </c>
      <c r="B241" s="27"/>
      <c r="C241" s="27"/>
      <c r="D241" s="27"/>
      <c r="E241" s="27"/>
      <c r="F241" s="27"/>
      <c r="G241" s="27">
        <v>2</v>
      </c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>
        <v>3</v>
      </c>
      <c r="U241" s="27"/>
      <c r="V241" s="27"/>
      <c r="W241" s="27"/>
      <c r="X241" s="27"/>
      <c r="Y241" s="27"/>
      <c r="Z241" s="27"/>
      <c r="AA241" s="27">
        <v>4</v>
      </c>
      <c r="AB241" s="27"/>
      <c r="AC241" s="27"/>
      <c r="AD241" s="27"/>
      <c r="AE241" s="27"/>
      <c r="AF241" s="27">
        <v>5</v>
      </c>
      <c r="AG241" s="27"/>
      <c r="AH241" s="27"/>
      <c r="AI241" s="27"/>
      <c r="AJ241" s="27"/>
      <c r="AK241" s="27">
        <v>6</v>
      </c>
      <c r="AL241" s="27"/>
      <c r="AM241" s="27"/>
      <c r="AN241" s="27"/>
      <c r="AO241" s="27"/>
      <c r="AP241" s="27">
        <v>7</v>
      </c>
      <c r="AQ241" s="27"/>
      <c r="AR241" s="27"/>
      <c r="AS241" s="27"/>
      <c r="AT241" s="27"/>
      <c r="AU241" s="27">
        <v>8</v>
      </c>
      <c r="AV241" s="27"/>
      <c r="AW241" s="27"/>
      <c r="AX241" s="27"/>
      <c r="AY241" s="27"/>
      <c r="AZ241" s="27">
        <v>9</v>
      </c>
      <c r="BA241" s="27"/>
      <c r="BB241" s="27"/>
      <c r="BC241" s="27"/>
      <c r="BD241" s="27"/>
      <c r="BE241" s="27">
        <v>10</v>
      </c>
      <c r="BF241" s="27"/>
      <c r="BG241" s="27"/>
      <c r="BH241" s="27"/>
      <c r="BI241" s="27"/>
      <c r="BJ241" s="27">
        <v>11</v>
      </c>
      <c r="BK241" s="27"/>
      <c r="BL241" s="27"/>
      <c r="BM241" s="27"/>
      <c r="BN241" s="27"/>
      <c r="BO241" s="27">
        <v>12</v>
      </c>
      <c r="BP241" s="27"/>
      <c r="BQ241" s="27"/>
      <c r="BR241" s="27"/>
      <c r="BS241" s="27"/>
    </row>
    <row r="242" spans="1:79" s="1" customFormat="1" ht="15" hidden="1" customHeight="1" x14ac:dyDescent="0.2">
      <c r="A242" s="26" t="s">
        <v>69</v>
      </c>
      <c r="B242" s="26"/>
      <c r="C242" s="26"/>
      <c r="D242" s="26"/>
      <c r="E242" s="26"/>
      <c r="F242" s="26"/>
      <c r="G242" s="67" t="s">
        <v>57</v>
      </c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 t="s">
        <v>79</v>
      </c>
      <c r="U242" s="67"/>
      <c r="V242" s="67"/>
      <c r="W242" s="67"/>
      <c r="X242" s="67"/>
      <c r="Y242" s="67"/>
      <c r="Z242" s="67"/>
      <c r="AA242" s="30" t="s">
        <v>65</v>
      </c>
      <c r="AB242" s="30"/>
      <c r="AC242" s="30"/>
      <c r="AD242" s="30"/>
      <c r="AE242" s="30"/>
      <c r="AF242" s="30" t="s">
        <v>66</v>
      </c>
      <c r="AG242" s="30"/>
      <c r="AH242" s="30"/>
      <c r="AI242" s="30"/>
      <c r="AJ242" s="30"/>
      <c r="AK242" s="50" t="s">
        <v>122</v>
      </c>
      <c r="AL242" s="50"/>
      <c r="AM242" s="50"/>
      <c r="AN242" s="50"/>
      <c r="AO242" s="50"/>
      <c r="AP242" s="30" t="s">
        <v>67</v>
      </c>
      <c r="AQ242" s="30"/>
      <c r="AR242" s="30"/>
      <c r="AS242" s="30"/>
      <c r="AT242" s="30"/>
      <c r="AU242" s="30" t="s">
        <v>68</v>
      </c>
      <c r="AV242" s="30"/>
      <c r="AW242" s="30"/>
      <c r="AX242" s="30"/>
      <c r="AY242" s="30"/>
      <c r="AZ242" s="50" t="s">
        <v>122</v>
      </c>
      <c r="BA242" s="50"/>
      <c r="BB242" s="50"/>
      <c r="BC242" s="50"/>
      <c r="BD242" s="50"/>
      <c r="BE242" s="30" t="s">
        <v>58</v>
      </c>
      <c r="BF242" s="30"/>
      <c r="BG242" s="30"/>
      <c r="BH242" s="30"/>
      <c r="BI242" s="30"/>
      <c r="BJ242" s="30" t="s">
        <v>59</v>
      </c>
      <c r="BK242" s="30"/>
      <c r="BL242" s="30"/>
      <c r="BM242" s="30"/>
      <c r="BN242" s="30"/>
      <c r="BO242" s="50" t="s">
        <v>122</v>
      </c>
      <c r="BP242" s="50"/>
      <c r="BQ242" s="50"/>
      <c r="BR242" s="50"/>
      <c r="BS242" s="50"/>
      <c r="CA242" s="1" t="s">
        <v>44</v>
      </c>
    </row>
    <row r="243" spans="1:79" s="6" customFormat="1" ht="12.75" customHeight="1" x14ac:dyDescent="0.2">
      <c r="A243" s="86"/>
      <c r="B243" s="86"/>
      <c r="C243" s="86"/>
      <c r="D243" s="86"/>
      <c r="E243" s="86"/>
      <c r="F243" s="86"/>
      <c r="G243" s="116" t="s">
        <v>147</v>
      </c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7"/>
      <c r="U243" s="117"/>
      <c r="V243" s="117"/>
      <c r="W243" s="117"/>
      <c r="X243" s="117"/>
      <c r="Y243" s="117"/>
      <c r="Z243" s="117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>
        <f>IF(ISNUMBER(AA243),AA243,0)+IF(ISNUMBER(AF243),AF243,0)</f>
        <v>0</v>
      </c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>
        <f>IF(ISNUMBER(AP243),AP243,0)+IF(ISNUMBER(AU243),AU243,0)</f>
        <v>0</v>
      </c>
      <c r="BA243" s="112"/>
      <c r="BB243" s="112"/>
      <c r="BC243" s="112"/>
      <c r="BD243" s="112"/>
      <c r="BE243" s="112"/>
      <c r="BF243" s="112"/>
      <c r="BG243" s="112"/>
      <c r="BH243" s="112"/>
      <c r="BI243" s="112"/>
      <c r="BJ243" s="112"/>
      <c r="BK243" s="112"/>
      <c r="BL243" s="112"/>
      <c r="BM243" s="112"/>
      <c r="BN243" s="112"/>
      <c r="BO243" s="112">
        <f>IF(ISNUMBER(BE243),BE243,0)+IF(ISNUMBER(BJ243),BJ243,0)</f>
        <v>0</v>
      </c>
      <c r="BP243" s="112"/>
      <c r="BQ243" s="112"/>
      <c r="BR243" s="112"/>
      <c r="BS243" s="112"/>
      <c r="CA243" s="6" t="s">
        <v>45</v>
      </c>
    </row>
    <row r="245" spans="1:79" ht="13.5" customHeight="1" x14ac:dyDescent="0.2">
      <c r="A245" s="29" t="s">
        <v>276</v>
      </c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</row>
    <row r="246" spans="1:79" ht="15" customHeight="1" x14ac:dyDescent="0.2">
      <c r="A246" s="44" t="s">
        <v>243</v>
      </c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</row>
    <row r="247" spans="1:79" ht="15" customHeight="1" x14ac:dyDescent="0.2">
      <c r="A247" s="27" t="s">
        <v>6</v>
      </c>
      <c r="B247" s="27"/>
      <c r="C247" s="27"/>
      <c r="D247" s="27"/>
      <c r="E247" s="27"/>
      <c r="F247" s="27"/>
      <c r="G247" s="27" t="s">
        <v>126</v>
      </c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 t="s">
        <v>13</v>
      </c>
      <c r="U247" s="27"/>
      <c r="V247" s="27"/>
      <c r="W247" s="27"/>
      <c r="X247" s="27"/>
      <c r="Y247" s="27"/>
      <c r="Z247" s="27"/>
      <c r="AA247" s="36" t="s">
        <v>265</v>
      </c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8"/>
      <c r="AP247" s="36" t="s">
        <v>270</v>
      </c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8"/>
    </row>
    <row r="248" spans="1:79" ht="32.1" customHeight="1" x14ac:dyDescent="0.2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 t="s">
        <v>4</v>
      </c>
      <c r="AB248" s="27"/>
      <c r="AC248" s="27"/>
      <c r="AD248" s="27"/>
      <c r="AE248" s="27"/>
      <c r="AF248" s="27" t="s">
        <v>3</v>
      </c>
      <c r="AG248" s="27"/>
      <c r="AH248" s="27"/>
      <c r="AI248" s="27"/>
      <c r="AJ248" s="27"/>
      <c r="AK248" s="27" t="s">
        <v>89</v>
      </c>
      <c r="AL248" s="27"/>
      <c r="AM248" s="27"/>
      <c r="AN248" s="27"/>
      <c r="AO248" s="27"/>
      <c r="AP248" s="27" t="s">
        <v>4</v>
      </c>
      <c r="AQ248" s="27"/>
      <c r="AR248" s="27"/>
      <c r="AS248" s="27"/>
      <c r="AT248" s="27"/>
      <c r="AU248" s="27" t="s">
        <v>3</v>
      </c>
      <c r="AV248" s="27"/>
      <c r="AW248" s="27"/>
      <c r="AX248" s="27"/>
      <c r="AY248" s="27"/>
      <c r="AZ248" s="27" t="s">
        <v>96</v>
      </c>
      <c r="BA248" s="27"/>
      <c r="BB248" s="27"/>
      <c r="BC248" s="27"/>
      <c r="BD248" s="27"/>
    </row>
    <row r="249" spans="1:79" ht="15" customHeight="1" x14ac:dyDescent="0.2">
      <c r="A249" s="27">
        <v>1</v>
      </c>
      <c r="B249" s="27"/>
      <c r="C249" s="27"/>
      <c r="D249" s="27"/>
      <c r="E249" s="27"/>
      <c r="F249" s="27"/>
      <c r="G249" s="27">
        <v>2</v>
      </c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>
        <v>3</v>
      </c>
      <c r="U249" s="27"/>
      <c r="V249" s="27"/>
      <c r="W249" s="27"/>
      <c r="X249" s="27"/>
      <c r="Y249" s="27"/>
      <c r="Z249" s="27"/>
      <c r="AA249" s="27">
        <v>4</v>
      </c>
      <c r="AB249" s="27"/>
      <c r="AC249" s="27"/>
      <c r="AD249" s="27"/>
      <c r="AE249" s="27"/>
      <c r="AF249" s="27">
        <v>5</v>
      </c>
      <c r="AG249" s="27"/>
      <c r="AH249" s="27"/>
      <c r="AI249" s="27"/>
      <c r="AJ249" s="27"/>
      <c r="AK249" s="27">
        <v>6</v>
      </c>
      <c r="AL249" s="27"/>
      <c r="AM249" s="27"/>
      <c r="AN249" s="27"/>
      <c r="AO249" s="27"/>
      <c r="AP249" s="27">
        <v>7</v>
      </c>
      <c r="AQ249" s="27"/>
      <c r="AR249" s="27"/>
      <c r="AS249" s="27"/>
      <c r="AT249" s="27"/>
      <c r="AU249" s="27">
        <v>8</v>
      </c>
      <c r="AV249" s="27"/>
      <c r="AW249" s="27"/>
      <c r="AX249" s="27"/>
      <c r="AY249" s="27"/>
      <c r="AZ249" s="27">
        <v>9</v>
      </c>
      <c r="BA249" s="27"/>
      <c r="BB249" s="27"/>
      <c r="BC249" s="27"/>
      <c r="BD249" s="27"/>
    </row>
    <row r="250" spans="1:79" s="1" customFormat="1" ht="12" hidden="1" customHeight="1" x14ac:dyDescent="0.2">
      <c r="A250" s="26" t="s">
        <v>69</v>
      </c>
      <c r="B250" s="26"/>
      <c r="C250" s="26"/>
      <c r="D250" s="26"/>
      <c r="E250" s="26"/>
      <c r="F250" s="26"/>
      <c r="G250" s="67" t="s">
        <v>57</v>
      </c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 t="s">
        <v>79</v>
      </c>
      <c r="U250" s="67"/>
      <c r="V250" s="67"/>
      <c r="W250" s="67"/>
      <c r="X250" s="67"/>
      <c r="Y250" s="67"/>
      <c r="Z250" s="67"/>
      <c r="AA250" s="30" t="s">
        <v>60</v>
      </c>
      <c r="AB250" s="30"/>
      <c r="AC250" s="30"/>
      <c r="AD250" s="30"/>
      <c r="AE250" s="30"/>
      <c r="AF250" s="30" t="s">
        <v>61</v>
      </c>
      <c r="AG250" s="30"/>
      <c r="AH250" s="30"/>
      <c r="AI250" s="30"/>
      <c r="AJ250" s="30"/>
      <c r="AK250" s="50" t="s">
        <v>122</v>
      </c>
      <c r="AL250" s="50"/>
      <c r="AM250" s="50"/>
      <c r="AN250" s="50"/>
      <c r="AO250" s="50"/>
      <c r="AP250" s="30" t="s">
        <v>62</v>
      </c>
      <c r="AQ250" s="30"/>
      <c r="AR250" s="30"/>
      <c r="AS250" s="30"/>
      <c r="AT250" s="30"/>
      <c r="AU250" s="30" t="s">
        <v>63</v>
      </c>
      <c r="AV250" s="30"/>
      <c r="AW250" s="30"/>
      <c r="AX250" s="30"/>
      <c r="AY250" s="30"/>
      <c r="AZ250" s="50" t="s">
        <v>122</v>
      </c>
      <c r="BA250" s="50"/>
      <c r="BB250" s="50"/>
      <c r="BC250" s="50"/>
      <c r="BD250" s="50"/>
      <c r="CA250" s="1" t="s">
        <v>46</v>
      </c>
    </row>
    <row r="251" spans="1:79" s="6" customFormat="1" x14ac:dyDescent="0.2">
      <c r="A251" s="86"/>
      <c r="B251" s="86"/>
      <c r="C251" s="86"/>
      <c r="D251" s="86"/>
      <c r="E251" s="86"/>
      <c r="F251" s="86"/>
      <c r="G251" s="116" t="s">
        <v>147</v>
      </c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7"/>
      <c r="U251" s="117"/>
      <c r="V251" s="117"/>
      <c r="W251" s="117"/>
      <c r="X251" s="117"/>
      <c r="Y251" s="117"/>
      <c r="Z251" s="117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>
        <f>IF(ISNUMBER(AA251),AA251,0)+IF(ISNUMBER(AF251),AF251,0)</f>
        <v>0</v>
      </c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>
        <f>IF(ISNUMBER(AP251),AP251,0)+IF(ISNUMBER(AU251),AU251,0)</f>
        <v>0</v>
      </c>
      <c r="BA251" s="112"/>
      <c r="BB251" s="112"/>
      <c r="BC251" s="112"/>
      <c r="BD251" s="112"/>
      <c r="CA251" s="6" t="s">
        <v>47</v>
      </c>
    </row>
    <row r="254" spans="1:79" ht="14.25" customHeight="1" x14ac:dyDescent="0.2">
      <c r="A254" s="29" t="s">
        <v>277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</row>
    <row r="255" spans="1:79" ht="15" customHeight="1" x14ac:dyDescent="0.2">
      <c r="A255" s="44" t="s">
        <v>243</v>
      </c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75"/>
      <c r="BI255" s="75"/>
      <c r="BJ255" s="75"/>
      <c r="BK255" s="75"/>
      <c r="BL255" s="75"/>
      <c r="BM255" s="75"/>
    </row>
    <row r="256" spans="1:79" ht="23.1" customHeight="1" x14ac:dyDescent="0.2">
      <c r="A256" s="27" t="s">
        <v>128</v>
      </c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51" t="s">
        <v>129</v>
      </c>
      <c r="O256" s="52"/>
      <c r="P256" s="52"/>
      <c r="Q256" s="52"/>
      <c r="R256" s="52"/>
      <c r="S256" s="52"/>
      <c r="T256" s="52"/>
      <c r="U256" s="53"/>
      <c r="V256" s="51" t="s">
        <v>130</v>
      </c>
      <c r="W256" s="52"/>
      <c r="X256" s="52"/>
      <c r="Y256" s="52"/>
      <c r="Z256" s="53"/>
      <c r="AA256" s="27" t="s">
        <v>244</v>
      </c>
      <c r="AB256" s="27"/>
      <c r="AC256" s="27"/>
      <c r="AD256" s="27"/>
      <c r="AE256" s="27"/>
      <c r="AF256" s="27"/>
      <c r="AG256" s="27"/>
      <c r="AH256" s="27"/>
      <c r="AI256" s="27"/>
      <c r="AJ256" s="27" t="s">
        <v>247</v>
      </c>
      <c r="AK256" s="27"/>
      <c r="AL256" s="27"/>
      <c r="AM256" s="27"/>
      <c r="AN256" s="27"/>
      <c r="AO256" s="27"/>
      <c r="AP256" s="27"/>
      <c r="AQ256" s="27"/>
      <c r="AR256" s="27"/>
      <c r="AS256" s="27" t="s">
        <v>255</v>
      </c>
      <c r="AT256" s="27"/>
      <c r="AU256" s="27"/>
      <c r="AV256" s="27"/>
      <c r="AW256" s="27"/>
      <c r="AX256" s="27"/>
      <c r="AY256" s="27"/>
      <c r="AZ256" s="27"/>
      <c r="BA256" s="27"/>
      <c r="BB256" s="27" t="s">
        <v>265</v>
      </c>
      <c r="BC256" s="27"/>
      <c r="BD256" s="27"/>
      <c r="BE256" s="27"/>
      <c r="BF256" s="27"/>
      <c r="BG256" s="27"/>
      <c r="BH256" s="27"/>
      <c r="BI256" s="27"/>
      <c r="BJ256" s="27"/>
      <c r="BK256" s="27" t="s">
        <v>270</v>
      </c>
      <c r="BL256" s="27"/>
      <c r="BM256" s="27"/>
      <c r="BN256" s="27"/>
      <c r="BO256" s="27"/>
      <c r="BP256" s="27"/>
      <c r="BQ256" s="27"/>
      <c r="BR256" s="27"/>
      <c r="BS256" s="27"/>
    </row>
    <row r="257" spans="1:79" ht="95.25" customHeight="1" x14ac:dyDescent="0.2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54"/>
      <c r="O257" s="55"/>
      <c r="P257" s="55"/>
      <c r="Q257" s="55"/>
      <c r="R257" s="55"/>
      <c r="S257" s="55"/>
      <c r="T257" s="55"/>
      <c r="U257" s="56"/>
      <c r="V257" s="54"/>
      <c r="W257" s="55"/>
      <c r="X257" s="55"/>
      <c r="Y257" s="55"/>
      <c r="Z257" s="56"/>
      <c r="AA257" s="74" t="s">
        <v>133</v>
      </c>
      <c r="AB257" s="74"/>
      <c r="AC257" s="74"/>
      <c r="AD257" s="74"/>
      <c r="AE257" s="74"/>
      <c r="AF257" s="74" t="s">
        <v>134</v>
      </c>
      <c r="AG257" s="74"/>
      <c r="AH257" s="74"/>
      <c r="AI257" s="74"/>
      <c r="AJ257" s="74" t="s">
        <v>133</v>
      </c>
      <c r="AK257" s="74"/>
      <c r="AL257" s="74"/>
      <c r="AM257" s="74"/>
      <c r="AN257" s="74"/>
      <c r="AO257" s="74" t="s">
        <v>134</v>
      </c>
      <c r="AP257" s="74"/>
      <c r="AQ257" s="74"/>
      <c r="AR257" s="74"/>
      <c r="AS257" s="74" t="s">
        <v>133</v>
      </c>
      <c r="AT257" s="74"/>
      <c r="AU257" s="74"/>
      <c r="AV257" s="74"/>
      <c r="AW257" s="74"/>
      <c r="AX257" s="74" t="s">
        <v>134</v>
      </c>
      <c r="AY257" s="74"/>
      <c r="AZ257" s="74"/>
      <c r="BA257" s="74"/>
      <c r="BB257" s="74" t="s">
        <v>133</v>
      </c>
      <c r="BC257" s="74"/>
      <c r="BD257" s="74"/>
      <c r="BE257" s="74"/>
      <c r="BF257" s="74"/>
      <c r="BG257" s="74" t="s">
        <v>134</v>
      </c>
      <c r="BH257" s="74"/>
      <c r="BI257" s="74"/>
      <c r="BJ257" s="74"/>
      <c r="BK257" s="74" t="s">
        <v>133</v>
      </c>
      <c r="BL257" s="74"/>
      <c r="BM257" s="74"/>
      <c r="BN257" s="74"/>
      <c r="BO257" s="74"/>
      <c r="BP257" s="74" t="s">
        <v>134</v>
      </c>
      <c r="BQ257" s="74"/>
      <c r="BR257" s="74"/>
      <c r="BS257" s="74"/>
    </row>
    <row r="258" spans="1:79" ht="15" customHeight="1" x14ac:dyDescent="0.2">
      <c r="A258" s="27">
        <v>1</v>
      </c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36">
        <v>2</v>
      </c>
      <c r="O258" s="37"/>
      <c r="P258" s="37"/>
      <c r="Q258" s="37"/>
      <c r="R258" s="37"/>
      <c r="S258" s="37"/>
      <c r="T258" s="37"/>
      <c r="U258" s="38"/>
      <c r="V258" s="27">
        <v>3</v>
      </c>
      <c r="W258" s="27"/>
      <c r="X258" s="27"/>
      <c r="Y258" s="27"/>
      <c r="Z258" s="27"/>
      <c r="AA258" s="27">
        <v>4</v>
      </c>
      <c r="AB258" s="27"/>
      <c r="AC258" s="27"/>
      <c r="AD258" s="27"/>
      <c r="AE258" s="27"/>
      <c r="AF258" s="27">
        <v>5</v>
      </c>
      <c r="AG258" s="27"/>
      <c r="AH258" s="27"/>
      <c r="AI258" s="27"/>
      <c r="AJ258" s="27">
        <v>6</v>
      </c>
      <c r="AK258" s="27"/>
      <c r="AL258" s="27"/>
      <c r="AM258" s="27"/>
      <c r="AN258" s="27"/>
      <c r="AO258" s="27">
        <v>7</v>
      </c>
      <c r="AP258" s="27"/>
      <c r="AQ258" s="27"/>
      <c r="AR258" s="27"/>
      <c r="AS258" s="27">
        <v>8</v>
      </c>
      <c r="AT258" s="27"/>
      <c r="AU258" s="27"/>
      <c r="AV258" s="27"/>
      <c r="AW258" s="27"/>
      <c r="AX258" s="27">
        <v>9</v>
      </c>
      <c r="AY258" s="27"/>
      <c r="AZ258" s="27"/>
      <c r="BA258" s="27"/>
      <c r="BB258" s="27">
        <v>10</v>
      </c>
      <c r="BC258" s="27"/>
      <c r="BD258" s="27"/>
      <c r="BE258" s="27"/>
      <c r="BF258" s="27"/>
      <c r="BG258" s="27">
        <v>11</v>
      </c>
      <c r="BH258" s="27"/>
      <c r="BI258" s="27"/>
      <c r="BJ258" s="27"/>
      <c r="BK258" s="27">
        <v>12</v>
      </c>
      <c r="BL258" s="27"/>
      <c r="BM258" s="27"/>
      <c r="BN258" s="27"/>
      <c r="BO258" s="27"/>
      <c r="BP258" s="27">
        <v>13</v>
      </c>
      <c r="BQ258" s="27"/>
      <c r="BR258" s="27"/>
      <c r="BS258" s="27"/>
    </row>
    <row r="259" spans="1:79" s="1" customFormat="1" ht="12" hidden="1" customHeight="1" x14ac:dyDescent="0.2">
      <c r="A259" s="67" t="s">
        <v>146</v>
      </c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26" t="s">
        <v>131</v>
      </c>
      <c r="O259" s="26"/>
      <c r="P259" s="26"/>
      <c r="Q259" s="26"/>
      <c r="R259" s="26"/>
      <c r="S259" s="26"/>
      <c r="T259" s="26"/>
      <c r="U259" s="26"/>
      <c r="V259" s="26" t="s">
        <v>132</v>
      </c>
      <c r="W259" s="26"/>
      <c r="X259" s="26"/>
      <c r="Y259" s="26"/>
      <c r="Z259" s="26"/>
      <c r="AA259" s="30" t="s">
        <v>65</v>
      </c>
      <c r="AB259" s="30"/>
      <c r="AC259" s="30"/>
      <c r="AD259" s="30"/>
      <c r="AE259" s="30"/>
      <c r="AF259" s="30" t="s">
        <v>66</v>
      </c>
      <c r="AG259" s="30"/>
      <c r="AH259" s="30"/>
      <c r="AI259" s="30"/>
      <c r="AJ259" s="30" t="s">
        <v>67</v>
      </c>
      <c r="AK259" s="30"/>
      <c r="AL259" s="30"/>
      <c r="AM259" s="30"/>
      <c r="AN259" s="30"/>
      <c r="AO259" s="30" t="s">
        <v>68</v>
      </c>
      <c r="AP259" s="30"/>
      <c r="AQ259" s="30"/>
      <c r="AR259" s="30"/>
      <c r="AS259" s="30" t="s">
        <v>58</v>
      </c>
      <c r="AT259" s="30"/>
      <c r="AU259" s="30"/>
      <c r="AV259" s="30"/>
      <c r="AW259" s="30"/>
      <c r="AX259" s="30" t="s">
        <v>59</v>
      </c>
      <c r="AY259" s="30"/>
      <c r="AZ259" s="30"/>
      <c r="BA259" s="30"/>
      <c r="BB259" s="30" t="s">
        <v>60</v>
      </c>
      <c r="BC259" s="30"/>
      <c r="BD259" s="30"/>
      <c r="BE259" s="30"/>
      <c r="BF259" s="30"/>
      <c r="BG259" s="30" t="s">
        <v>61</v>
      </c>
      <c r="BH259" s="30"/>
      <c r="BI259" s="30"/>
      <c r="BJ259" s="30"/>
      <c r="BK259" s="30" t="s">
        <v>62</v>
      </c>
      <c r="BL259" s="30"/>
      <c r="BM259" s="30"/>
      <c r="BN259" s="30"/>
      <c r="BO259" s="30"/>
      <c r="BP259" s="30" t="s">
        <v>63</v>
      </c>
      <c r="BQ259" s="30"/>
      <c r="BR259" s="30"/>
      <c r="BS259" s="30"/>
      <c r="CA259" s="1" t="s">
        <v>48</v>
      </c>
    </row>
    <row r="260" spans="1:79" s="6" customFormat="1" ht="12.75" customHeight="1" x14ac:dyDescent="0.2">
      <c r="A260" s="116" t="s">
        <v>147</v>
      </c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87"/>
      <c r="O260" s="88"/>
      <c r="P260" s="88"/>
      <c r="Q260" s="88"/>
      <c r="R260" s="88"/>
      <c r="S260" s="88"/>
      <c r="T260" s="88"/>
      <c r="U260" s="89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AQ260" s="118"/>
      <c r="AR260" s="118"/>
      <c r="AS260" s="118"/>
      <c r="AT260" s="118"/>
      <c r="AU260" s="118"/>
      <c r="AV260" s="118"/>
      <c r="AW260" s="118"/>
      <c r="AX260" s="118"/>
      <c r="AY260" s="118"/>
      <c r="AZ260" s="118"/>
      <c r="BA260" s="118"/>
      <c r="BB260" s="118"/>
      <c r="BC260" s="118"/>
      <c r="BD260" s="118"/>
      <c r="BE260" s="118"/>
      <c r="BF260" s="118"/>
      <c r="BG260" s="118"/>
      <c r="BH260" s="118"/>
      <c r="BI260" s="118"/>
      <c r="BJ260" s="118"/>
      <c r="BK260" s="118"/>
      <c r="BL260" s="118"/>
      <c r="BM260" s="118"/>
      <c r="BN260" s="118"/>
      <c r="BO260" s="118"/>
      <c r="BP260" s="119"/>
      <c r="BQ260" s="120"/>
      <c r="BR260" s="120"/>
      <c r="BS260" s="121"/>
      <c r="CA260" s="6" t="s">
        <v>49</v>
      </c>
    </row>
    <row r="263" spans="1:79" ht="35.25" customHeight="1" x14ac:dyDescent="0.2">
      <c r="A263" s="29" t="s">
        <v>278</v>
      </c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</row>
    <row r="264" spans="1:79" ht="90" customHeight="1" x14ac:dyDescent="0.2">
      <c r="A264" s="122" t="s">
        <v>234</v>
      </c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  <c r="AE264" s="123"/>
      <c r="AF264" s="123"/>
      <c r="AG264" s="123"/>
      <c r="AH264" s="123"/>
      <c r="AI264" s="123"/>
      <c r="AJ264" s="123"/>
      <c r="AK264" s="123"/>
      <c r="AL264" s="123"/>
      <c r="AM264" s="123"/>
      <c r="AN264" s="123"/>
      <c r="AO264" s="123"/>
      <c r="AP264" s="123"/>
      <c r="AQ264" s="123"/>
      <c r="AR264" s="123"/>
      <c r="AS264" s="123"/>
      <c r="AT264" s="123"/>
      <c r="AU264" s="123"/>
      <c r="AV264" s="123"/>
      <c r="AW264" s="123"/>
      <c r="AX264" s="123"/>
      <c r="AY264" s="123"/>
      <c r="AZ264" s="123"/>
      <c r="BA264" s="123"/>
      <c r="BB264" s="123"/>
      <c r="BC264" s="123"/>
      <c r="BD264" s="123"/>
      <c r="BE264" s="123"/>
      <c r="BF264" s="123"/>
      <c r="BG264" s="123"/>
      <c r="BH264" s="123"/>
      <c r="BI264" s="123"/>
      <c r="BJ264" s="123"/>
      <c r="BK264" s="123"/>
      <c r="BL264" s="123"/>
    </row>
    <row r="265" spans="1:79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</row>
    <row r="267" spans="1:79" ht="28.5" customHeight="1" x14ac:dyDescent="0.2">
      <c r="A267" s="34" t="s">
        <v>262</v>
      </c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</row>
    <row r="268" spans="1:79" ht="14.25" customHeight="1" x14ac:dyDescent="0.2">
      <c r="A268" s="29" t="s">
        <v>245</v>
      </c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</row>
    <row r="269" spans="1:79" ht="15" customHeight="1" x14ac:dyDescent="0.2">
      <c r="A269" s="31" t="s">
        <v>243</v>
      </c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</row>
    <row r="270" spans="1:79" ht="42.95" customHeight="1" x14ac:dyDescent="0.2">
      <c r="A270" s="74" t="s">
        <v>135</v>
      </c>
      <c r="B270" s="74"/>
      <c r="C270" s="74"/>
      <c r="D270" s="74"/>
      <c r="E270" s="74"/>
      <c r="F270" s="74"/>
      <c r="G270" s="27" t="s">
        <v>19</v>
      </c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 t="s">
        <v>15</v>
      </c>
      <c r="U270" s="27"/>
      <c r="V270" s="27"/>
      <c r="W270" s="27"/>
      <c r="X270" s="27"/>
      <c r="Y270" s="27"/>
      <c r="Z270" s="27" t="s">
        <v>14</v>
      </c>
      <c r="AA270" s="27"/>
      <c r="AB270" s="27"/>
      <c r="AC270" s="27"/>
      <c r="AD270" s="27"/>
      <c r="AE270" s="27" t="s">
        <v>136</v>
      </c>
      <c r="AF270" s="27"/>
      <c r="AG270" s="27"/>
      <c r="AH270" s="27"/>
      <c r="AI270" s="27"/>
      <c r="AJ270" s="27"/>
      <c r="AK270" s="27" t="s">
        <v>137</v>
      </c>
      <c r="AL270" s="27"/>
      <c r="AM270" s="27"/>
      <c r="AN270" s="27"/>
      <c r="AO270" s="27"/>
      <c r="AP270" s="27"/>
      <c r="AQ270" s="27" t="s">
        <v>138</v>
      </c>
      <c r="AR270" s="27"/>
      <c r="AS270" s="27"/>
      <c r="AT270" s="27"/>
      <c r="AU270" s="27"/>
      <c r="AV270" s="27"/>
      <c r="AW270" s="27" t="s">
        <v>98</v>
      </c>
      <c r="AX270" s="27"/>
      <c r="AY270" s="27"/>
      <c r="AZ270" s="27"/>
      <c r="BA270" s="27"/>
      <c r="BB270" s="27"/>
      <c r="BC270" s="27"/>
      <c r="BD270" s="27"/>
      <c r="BE270" s="27"/>
      <c r="BF270" s="27"/>
      <c r="BG270" s="27" t="s">
        <v>139</v>
      </c>
      <c r="BH270" s="27"/>
      <c r="BI270" s="27"/>
      <c r="BJ270" s="27"/>
      <c r="BK270" s="27"/>
      <c r="BL270" s="27"/>
    </row>
    <row r="271" spans="1:79" ht="39.950000000000003" customHeight="1" x14ac:dyDescent="0.2">
      <c r="A271" s="74"/>
      <c r="B271" s="74"/>
      <c r="C271" s="74"/>
      <c r="D271" s="74"/>
      <c r="E271" s="74"/>
      <c r="F271" s="74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 t="s">
        <v>17</v>
      </c>
      <c r="AX271" s="27"/>
      <c r="AY271" s="27"/>
      <c r="AZ271" s="27"/>
      <c r="BA271" s="27"/>
      <c r="BB271" s="27" t="s">
        <v>16</v>
      </c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</row>
    <row r="272" spans="1:79" ht="15" customHeight="1" x14ac:dyDescent="0.2">
      <c r="A272" s="27">
        <v>1</v>
      </c>
      <c r="B272" s="27"/>
      <c r="C272" s="27"/>
      <c r="D272" s="27"/>
      <c r="E272" s="27"/>
      <c r="F272" s="27"/>
      <c r="G272" s="27">
        <v>2</v>
      </c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>
        <v>3</v>
      </c>
      <c r="U272" s="27"/>
      <c r="V272" s="27"/>
      <c r="W272" s="27"/>
      <c r="X272" s="27"/>
      <c r="Y272" s="27"/>
      <c r="Z272" s="27">
        <v>4</v>
      </c>
      <c r="AA272" s="27"/>
      <c r="AB272" s="27"/>
      <c r="AC272" s="27"/>
      <c r="AD272" s="27"/>
      <c r="AE272" s="27">
        <v>5</v>
      </c>
      <c r="AF272" s="27"/>
      <c r="AG272" s="27"/>
      <c r="AH272" s="27"/>
      <c r="AI272" s="27"/>
      <c r="AJ272" s="27"/>
      <c r="AK272" s="27">
        <v>6</v>
      </c>
      <c r="AL272" s="27"/>
      <c r="AM272" s="27"/>
      <c r="AN272" s="27"/>
      <c r="AO272" s="27"/>
      <c r="AP272" s="27"/>
      <c r="AQ272" s="27">
        <v>7</v>
      </c>
      <c r="AR272" s="27"/>
      <c r="AS272" s="27"/>
      <c r="AT272" s="27"/>
      <c r="AU272" s="27"/>
      <c r="AV272" s="27"/>
      <c r="AW272" s="27">
        <v>8</v>
      </c>
      <c r="AX272" s="27"/>
      <c r="AY272" s="27"/>
      <c r="AZ272" s="27"/>
      <c r="BA272" s="27"/>
      <c r="BB272" s="27">
        <v>9</v>
      </c>
      <c r="BC272" s="27"/>
      <c r="BD272" s="27"/>
      <c r="BE272" s="27"/>
      <c r="BF272" s="27"/>
      <c r="BG272" s="27">
        <v>10</v>
      </c>
      <c r="BH272" s="27"/>
      <c r="BI272" s="27"/>
      <c r="BJ272" s="27"/>
      <c r="BK272" s="27"/>
      <c r="BL272" s="27"/>
    </row>
    <row r="273" spans="1:79" s="1" customFormat="1" ht="12" hidden="1" customHeight="1" x14ac:dyDescent="0.2">
      <c r="A273" s="26" t="s">
        <v>64</v>
      </c>
      <c r="B273" s="26"/>
      <c r="C273" s="26"/>
      <c r="D273" s="26"/>
      <c r="E273" s="26"/>
      <c r="F273" s="26"/>
      <c r="G273" s="67" t="s">
        <v>57</v>
      </c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30" t="s">
        <v>80</v>
      </c>
      <c r="U273" s="30"/>
      <c r="V273" s="30"/>
      <c r="W273" s="30"/>
      <c r="X273" s="30"/>
      <c r="Y273" s="30"/>
      <c r="Z273" s="30" t="s">
        <v>81</v>
      </c>
      <c r="AA273" s="30"/>
      <c r="AB273" s="30"/>
      <c r="AC273" s="30"/>
      <c r="AD273" s="30"/>
      <c r="AE273" s="30" t="s">
        <v>82</v>
      </c>
      <c r="AF273" s="30"/>
      <c r="AG273" s="30"/>
      <c r="AH273" s="30"/>
      <c r="AI273" s="30"/>
      <c r="AJ273" s="30"/>
      <c r="AK273" s="30" t="s">
        <v>83</v>
      </c>
      <c r="AL273" s="30"/>
      <c r="AM273" s="30"/>
      <c r="AN273" s="30"/>
      <c r="AO273" s="30"/>
      <c r="AP273" s="30"/>
      <c r="AQ273" s="79" t="s">
        <v>99</v>
      </c>
      <c r="AR273" s="30"/>
      <c r="AS273" s="30"/>
      <c r="AT273" s="30"/>
      <c r="AU273" s="30"/>
      <c r="AV273" s="30"/>
      <c r="AW273" s="30" t="s">
        <v>84</v>
      </c>
      <c r="AX273" s="30"/>
      <c r="AY273" s="30"/>
      <c r="AZ273" s="30"/>
      <c r="BA273" s="30"/>
      <c r="BB273" s="30" t="s">
        <v>85</v>
      </c>
      <c r="BC273" s="30"/>
      <c r="BD273" s="30"/>
      <c r="BE273" s="30"/>
      <c r="BF273" s="30"/>
      <c r="BG273" s="79" t="s">
        <v>100</v>
      </c>
      <c r="BH273" s="30"/>
      <c r="BI273" s="30"/>
      <c r="BJ273" s="30"/>
      <c r="BK273" s="30"/>
      <c r="BL273" s="30"/>
      <c r="CA273" s="1" t="s">
        <v>50</v>
      </c>
    </row>
    <row r="274" spans="1:79" s="6" customFormat="1" ht="12.75" customHeight="1" x14ac:dyDescent="0.2">
      <c r="A274" s="86"/>
      <c r="B274" s="86"/>
      <c r="C274" s="86"/>
      <c r="D274" s="86"/>
      <c r="E274" s="86"/>
      <c r="F274" s="86"/>
      <c r="G274" s="116" t="s">
        <v>147</v>
      </c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>
        <f>IF(ISNUMBER(AK274),AK274,0)-IF(ISNUMBER(AE274),AE274,0)</f>
        <v>0</v>
      </c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>
        <f>IF(ISNUMBER(Z274),Z274,0)+IF(ISNUMBER(AK274),AK274,0)</f>
        <v>0</v>
      </c>
      <c r="BH274" s="112"/>
      <c r="BI274" s="112"/>
      <c r="BJ274" s="112"/>
      <c r="BK274" s="112"/>
      <c r="BL274" s="112"/>
      <c r="CA274" s="6" t="s">
        <v>51</v>
      </c>
    </row>
    <row r="276" spans="1:79" ht="14.25" customHeight="1" x14ac:dyDescent="0.2">
      <c r="A276" s="29" t="s">
        <v>263</v>
      </c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</row>
    <row r="277" spans="1:79" ht="15" customHeight="1" x14ac:dyDescent="0.2">
      <c r="A277" s="31" t="s">
        <v>243</v>
      </c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</row>
    <row r="278" spans="1:79" ht="18" customHeight="1" x14ac:dyDescent="0.2">
      <c r="A278" s="27" t="s">
        <v>135</v>
      </c>
      <c r="B278" s="27"/>
      <c r="C278" s="27"/>
      <c r="D278" s="27"/>
      <c r="E278" s="27"/>
      <c r="F278" s="27"/>
      <c r="G278" s="27" t="s">
        <v>19</v>
      </c>
      <c r="H278" s="27"/>
      <c r="I278" s="27"/>
      <c r="J278" s="27"/>
      <c r="K278" s="27"/>
      <c r="L278" s="27"/>
      <c r="M278" s="27"/>
      <c r="N278" s="27"/>
      <c r="O278" s="27"/>
      <c r="P278" s="27"/>
      <c r="Q278" s="27" t="s">
        <v>249</v>
      </c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 t="s">
        <v>260</v>
      </c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</row>
    <row r="279" spans="1:79" ht="42.95" customHeight="1" x14ac:dyDescent="0.2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 t="s">
        <v>140</v>
      </c>
      <c r="R279" s="27"/>
      <c r="S279" s="27"/>
      <c r="T279" s="27"/>
      <c r="U279" s="27"/>
      <c r="V279" s="74" t="s">
        <v>141</v>
      </c>
      <c r="W279" s="74"/>
      <c r="X279" s="74"/>
      <c r="Y279" s="74"/>
      <c r="Z279" s="27" t="s">
        <v>142</v>
      </c>
      <c r="AA279" s="27"/>
      <c r="AB279" s="27"/>
      <c r="AC279" s="27"/>
      <c r="AD279" s="27"/>
      <c r="AE279" s="27"/>
      <c r="AF279" s="27"/>
      <c r="AG279" s="27"/>
      <c r="AH279" s="27"/>
      <c r="AI279" s="27"/>
      <c r="AJ279" s="27" t="s">
        <v>143</v>
      </c>
      <c r="AK279" s="27"/>
      <c r="AL279" s="27"/>
      <c r="AM279" s="27"/>
      <c r="AN279" s="27"/>
      <c r="AO279" s="27" t="s">
        <v>20</v>
      </c>
      <c r="AP279" s="27"/>
      <c r="AQ279" s="27"/>
      <c r="AR279" s="27"/>
      <c r="AS279" s="27"/>
      <c r="AT279" s="74" t="s">
        <v>144</v>
      </c>
      <c r="AU279" s="74"/>
      <c r="AV279" s="74"/>
      <c r="AW279" s="74"/>
      <c r="AX279" s="27" t="s">
        <v>142</v>
      </c>
      <c r="AY279" s="27"/>
      <c r="AZ279" s="27"/>
      <c r="BA279" s="27"/>
      <c r="BB279" s="27"/>
      <c r="BC279" s="27"/>
      <c r="BD279" s="27"/>
      <c r="BE279" s="27"/>
      <c r="BF279" s="27"/>
      <c r="BG279" s="27"/>
      <c r="BH279" s="27" t="s">
        <v>145</v>
      </c>
      <c r="BI279" s="27"/>
      <c r="BJ279" s="27"/>
      <c r="BK279" s="27"/>
      <c r="BL279" s="27"/>
    </row>
    <row r="280" spans="1:79" ht="63" customHeight="1" x14ac:dyDescent="0.2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74"/>
      <c r="W280" s="74"/>
      <c r="X280" s="74"/>
      <c r="Y280" s="74"/>
      <c r="Z280" s="27" t="s">
        <v>17</v>
      </c>
      <c r="AA280" s="27"/>
      <c r="AB280" s="27"/>
      <c r="AC280" s="27"/>
      <c r="AD280" s="27"/>
      <c r="AE280" s="27" t="s">
        <v>16</v>
      </c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74"/>
      <c r="AU280" s="74"/>
      <c r="AV280" s="74"/>
      <c r="AW280" s="74"/>
      <c r="AX280" s="27" t="s">
        <v>17</v>
      </c>
      <c r="AY280" s="27"/>
      <c r="AZ280" s="27"/>
      <c r="BA280" s="27"/>
      <c r="BB280" s="27"/>
      <c r="BC280" s="27" t="s">
        <v>16</v>
      </c>
      <c r="BD280" s="27"/>
      <c r="BE280" s="27"/>
      <c r="BF280" s="27"/>
      <c r="BG280" s="27"/>
      <c r="BH280" s="27"/>
      <c r="BI280" s="27"/>
      <c r="BJ280" s="27"/>
      <c r="BK280" s="27"/>
      <c r="BL280" s="27"/>
    </row>
    <row r="281" spans="1:79" ht="15" customHeight="1" x14ac:dyDescent="0.2">
      <c r="A281" s="27">
        <v>1</v>
      </c>
      <c r="B281" s="27"/>
      <c r="C281" s="27"/>
      <c r="D281" s="27"/>
      <c r="E281" s="27"/>
      <c r="F281" s="27"/>
      <c r="G281" s="27">
        <v>2</v>
      </c>
      <c r="H281" s="27"/>
      <c r="I281" s="27"/>
      <c r="J281" s="27"/>
      <c r="K281" s="27"/>
      <c r="L281" s="27"/>
      <c r="M281" s="27"/>
      <c r="N281" s="27"/>
      <c r="O281" s="27"/>
      <c r="P281" s="27"/>
      <c r="Q281" s="27">
        <v>3</v>
      </c>
      <c r="R281" s="27"/>
      <c r="S281" s="27"/>
      <c r="T281" s="27"/>
      <c r="U281" s="27"/>
      <c r="V281" s="27">
        <v>4</v>
      </c>
      <c r="W281" s="27"/>
      <c r="X281" s="27"/>
      <c r="Y281" s="27"/>
      <c r="Z281" s="27">
        <v>5</v>
      </c>
      <c r="AA281" s="27"/>
      <c r="AB281" s="27"/>
      <c r="AC281" s="27"/>
      <c r="AD281" s="27"/>
      <c r="AE281" s="27">
        <v>6</v>
      </c>
      <c r="AF281" s="27"/>
      <c r="AG281" s="27"/>
      <c r="AH281" s="27"/>
      <c r="AI281" s="27"/>
      <c r="AJ281" s="27">
        <v>7</v>
      </c>
      <c r="AK281" s="27"/>
      <c r="AL281" s="27"/>
      <c r="AM281" s="27"/>
      <c r="AN281" s="27"/>
      <c r="AO281" s="27">
        <v>8</v>
      </c>
      <c r="AP281" s="27"/>
      <c r="AQ281" s="27"/>
      <c r="AR281" s="27"/>
      <c r="AS281" s="27"/>
      <c r="AT281" s="27">
        <v>9</v>
      </c>
      <c r="AU281" s="27"/>
      <c r="AV281" s="27"/>
      <c r="AW281" s="27"/>
      <c r="AX281" s="27">
        <v>10</v>
      </c>
      <c r="AY281" s="27"/>
      <c r="AZ281" s="27"/>
      <c r="BA281" s="27"/>
      <c r="BB281" s="27"/>
      <c r="BC281" s="27">
        <v>11</v>
      </c>
      <c r="BD281" s="27"/>
      <c r="BE281" s="27"/>
      <c r="BF281" s="27"/>
      <c r="BG281" s="27"/>
      <c r="BH281" s="27">
        <v>12</v>
      </c>
      <c r="BI281" s="27"/>
      <c r="BJ281" s="27"/>
      <c r="BK281" s="27"/>
      <c r="BL281" s="27"/>
    </row>
    <row r="282" spans="1:79" s="1" customFormat="1" ht="12" hidden="1" customHeight="1" x14ac:dyDescent="0.2">
      <c r="A282" s="26" t="s">
        <v>64</v>
      </c>
      <c r="B282" s="26"/>
      <c r="C282" s="26"/>
      <c r="D282" s="26"/>
      <c r="E282" s="26"/>
      <c r="F282" s="26"/>
      <c r="G282" s="67" t="s">
        <v>57</v>
      </c>
      <c r="H282" s="67"/>
      <c r="I282" s="67"/>
      <c r="J282" s="67"/>
      <c r="K282" s="67"/>
      <c r="L282" s="67"/>
      <c r="M282" s="67"/>
      <c r="N282" s="67"/>
      <c r="O282" s="67"/>
      <c r="P282" s="67"/>
      <c r="Q282" s="30" t="s">
        <v>80</v>
      </c>
      <c r="R282" s="30"/>
      <c r="S282" s="30"/>
      <c r="T282" s="30"/>
      <c r="U282" s="30"/>
      <c r="V282" s="30" t="s">
        <v>81</v>
      </c>
      <c r="W282" s="30"/>
      <c r="X282" s="30"/>
      <c r="Y282" s="30"/>
      <c r="Z282" s="30" t="s">
        <v>82</v>
      </c>
      <c r="AA282" s="30"/>
      <c r="AB282" s="30"/>
      <c r="AC282" s="30"/>
      <c r="AD282" s="30"/>
      <c r="AE282" s="30" t="s">
        <v>83</v>
      </c>
      <c r="AF282" s="30"/>
      <c r="AG282" s="30"/>
      <c r="AH282" s="30"/>
      <c r="AI282" s="30"/>
      <c r="AJ282" s="79" t="s">
        <v>101</v>
      </c>
      <c r="AK282" s="30"/>
      <c r="AL282" s="30"/>
      <c r="AM282" s="30"/>
      <c r="AN282" s="30"/>
      <c r="AO282" s="30" t="s">
        <v>84</v>
      </c>
      <c r="AP282" s="30"/>
      <c r="AQ282" s="30"/>
      <c r="AR282" s="30"/>
      <c r="AS282" s="30"/>
      <c r="AT282" s="79" t="s">
        <v>102</v>
      </c>
      <c r="AU282" s="30"/>
      <c r="AV282" s="30"/>
      <c r="AW282" s="30"/>
      <c r="AX282" s="30" t="s">
        <v>85</v>
      </c>
      <c r="AY282" s="30"/>
      <c r="AZ282" s="30"/>
      <c r="BA282" s="30"/>
      <c r="BB282" s="30"/>
      <c r="BC282" s="30" t="s">
        <v>86</v>
      </c>
      <c r="BD282" s="30"/>
      <c r="BE282" s="30"/>
      <c r="BF282" s="30"/>
      <c r="BG282" s="30"/>
      <c r="BH282" s="79" t="s">
        <v>101</v>
      </c>
      <c r="BI282" s="30"/>
      <c r="BJ282" s="30"/>
      <c r="BK282" s="30"/>
      <c r="BL282" s="30"/>
      <c r="CA282" s="1" t="s">
        <v>52</v>
      </c>
    </row>
    <row r="283" spans="1:79" s="6" customFormat="1" ht="12.75" customHeight="1" x14ac:dyDescent="0.2">
      <c r="A283" s="86"/>
      <c r="B283" s="86"/>
      <c r="C283" s="86"/>
      <c r="D283" s="86"/>
      <c r="E283" s="86"/>
      <c r="F283" s="86"/>
      <c r="G283" s="116" t="s">
        <v>147</v>
      </c>
      <c r="H283" s="116"/>
      <c r="I283" s="116"/>
      <c r="J283" s="116"/>
      <c r="K283" s="116"/>
      <c r="L283" s="116"/>
      <c r="M283" s="116"/>
      <c r="N283" s="116"/>
      <c r="O283" s="116"/>
      <c r="P283" s="116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>
        <f>IF(ISNUMBER(Q283),Q283,0)-IF(ISNUMBER(Z283),Z283,0)</f>
        <v>0</v>
      </c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>
        <f>IF(ISNUMBER(V283),V283,0)-IF(ISNUMBER(Z283),Z283,0)-IF(ISNUMBER(AE283),AE283,0)</f>
        <v>0</v>
      </c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>
        <f>IF(ISNUMBER(AO283),AO283,0)-IF(ISNUMBER(AX283),AX283,0)</f>
        <v>0</v>
      </c>
      <c r="BI283" s="112"/>
      <c r="BJ283" s="112"/>
      <c r="BK283" s="112"/>
      <c r="BL283" s="112"/>
      <c r="CA283" s="6" t="s">
        <v>53</v>
      </c>
    </row>
    <row r="285" spans="1:79" ht="14.25" customHeight="1" x14ac:dyDescent="0.2">
      <c r="A285" s="29" t="s">
        <v>250</v>
      </c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</row>
    <row r="286" spans="1:79" ht="15" customHeight="1" x14ac:dyDescent="0.2">
      <c r="A286" s="31" t="s">
        <v>243</v>
      </c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</row>
    <row r="287" spans="1:79" ht="42.95" customHeight="1" x14ac:dyDescent="0.2">
      <c r="A287" s="74" t="s">
        <v>135</v>
      </c>
      <c r="B287" s="74"/>
      <c r="C287" s="74"/>
      <c r="D287" s="74"/>
      <c r="E287" s="74"/>
      <c r="F287" s="74"/>
      <c r="G287" s="27" t="s">
        <v>19</v>
      </c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 t="s">
        <v>15</v>
      </c>
      <c r="U287" s="27"/>
      <c r="V287" s="27"/>
      <c r="W287" s="27"/>
      <c r="X287" s="27"/>
      <c r="Y287" s="27"/>
      <c r="Z287" s="27" t="s">
        <v>14</v>
      </c>
      <c r="AA287" s="27"/>
      <c r="AB287" s="27"/>
      <c r="AC287" s="27"/>
      <c r="AD287" s="27"/>
      <c r="AE287" s="27" t="s">
        <v>246</v>
      </c>
      <c r="AF287" s="27"/>
      <c r="AG287" s="27"/>
      <c r="AH287" s="27"/>
      <c r="AI287" s="27"/>
      <c r="AJ287" s="27"/>
      <c r="AK287" s="27" t="s">
        <v>251</v>
      </c>
      <c r="AL287" s="27"/>
      <c r="AM287" s="27"/>
      <c r="AN287" s="27"/>
      <c r="AO287" s="27"/>
      <c r="AP287" s="27"/>
      <c r="AQ287" s="27" t="s">
        <v>264</v>
      </c>
      <c r="AR287" s="27"/>
      <c r="AS287" s="27"/>
      <c r="AT287" s="27"/>
      <c r="AU287" s="27"/>
      <c r="AV287" s="27"/>
      <c r="AW287" s="27" t="s">
        <v>18</v>
      </c>
      <c r="AX287" s="27"/>
      <c r="AY287" s="27"/>
      <c r="AZ287" s="27"/>
      <c r="BA287" s="27"/>
      <c r="BB287" s="27"/>
      <c r="BC287" s="27"/>
      <c r="BD287" s="27"/>
      <c r="BE287" s="27" t="s">
        <v>156</v>
      </c>
      <c r="BF287" s="27"/>
      <c r="BG287" s="27"/>
      <c r="BH287" s="27"/>
      <c r="BI287" s="27"/>
      <c r="BJ287" s="27"/>
      <c r="BK287" s="27"/>
      <c r="BL287" s="27"/>
    </row>
    <row r="288" spans="1:79" ht="21.75" customHeight="1" x14ac:dyDescent="0.2">
      <c r="A288" s="74"/>
      <c r="B288" s="74"/>
      <c r="C288" s="74"/>
      <c r="D288" s="74"/>
      <c r="E288" s="74"/>
      <c r="F288" s="74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</row>
    <row r="289" spans="1:79" ht="15" customHeight="1" x14ac:dyDescent="0.2">
      <c r="A289" s="27">
        <v>1</v>
      </c>
      <c r="B289" s="27"/>
      <c r="C289" s="27"/>
      <c r="D289" s="27"/>
      <c r="E289" s="27"/>
      <c r="F289" s="27"/>
      <c r="G289" s="27">
        <v>2</v>
      </c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>
        <v>3</v>
      </c>
      <c r="U289" s="27"/>
      <c r="V289" s="27"/>
      <c r="W289" s="27"/>
      <c r="X289" s="27"/>
      <c r="Y289" s="27"/>
      <c r="Z289" s="27">
        <v>4</v>
      </c>
      <c r="AA289" s="27"/>
      <c r="AB289" s="27"/>
      <c r="AC289" s="27"/>
      <c r="AD289" s="27"/>
      <c r="AE289" s="27">
        <v>5</v>
      </c>
      <c r="AF289" s="27"/>
      <c r="AG289" s="27"/>
      <c r="AH289" s="27"/>
      <c r="AI289" s="27"/>
      <c r="AJ289" s="27"/>
      <c r="AK289" s="27">
        <v>6</v>
      </c>
      <c r="AL289" s="27"/>
      <c r="AM289" s="27"/>
      <c r="AN289" s="27"/>
      <c r="AO289" s="27"/>
      <c r="AP289" s="27"/>
      <c r="AQ289" s="27">
        <v>7</v>
      </c>
      <c r="AR289" s="27"/>
      <c r="AS289" s="27"/>
      <c r="AT289" s="27"/>
      <c r="AU289" s="27"/>
      <c r="AV289" s="27"/>
      <c r="AW289" s="26">
        <v>8</v>
      </c>
      <c r="AX289" s="26"/>
      <c r="AY289" s="26"/>
      <c r="AZ289" s="26"/>
      <c r="BA289" s="26"/>
      <c r="BB289" s="26"/>
      <c r="BC289" s="26"/>
      <c r="BD289" s="26"/>
      <c r="BE289" s="26">
        <v>9</v>
      </c>
      <c r="BF289" s="26"/>
      <c r="BG289" s="26"/>
      <c r="BH289" s="26"/>
      <c r="BI289" s="26"/>
      <c r="BJ289" s="26"/>
      <c r="BK289" s="26"/>
      <c r="BL289" s="26"/>
    </row>
    <row r="290" spans="1:79" s="1" customFormat="1" ht="18.75" hidden="1" customHeight="1" x14ac:dyDescent="0.2">
      <c r="A290" s="26" t="s">
        <v>64</v>
      </c>
      <c r="B290" s="26"/>
      <c r="C290" s="26"/>
      <c r="D290" s="26"/>
      <c r="E290" s="26"/>
      <c r="F290" s="26"/>
      <c r="G290" s="67" t="s">
        <v>57</v>
      </c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30" t="s">
        <v>80</v>
      </c>
      <c r="U290" s="30"/>
      <c r="V290" s="30"/>
      <c r="W290" s="30"/>
      <c r="X290" s="30"/>
      <c r="Y290" s="30"/>
      <c r="Z290" s="30" t="s">
        <v>81</v>
      </c>
      <c r="AA290" s="30"/>
      <c r="AB290" s="30"/>
      <c r="AC290" s="30"/>
      <c r="AD290" s="30"/>
      <c r="AE290" s="30" t="s">
        <v>82</v>
      </c>
      <c r="AF290" s="30"/>
      <c r="AG290" s="30"/>
      <c r="AH290" s="30"/>
      <c r="AI290" s="30"/>
      <c r="AJ290" s="30"/>
      <c r="AK290" s="30" t="s">
        <v>83</v>
      </c>
      <c r="AL290" s="30"/>
      <c r="AM290" s="30"/>
      <c r="AN290" s="30"/>
      <c r="AO290" s="30"/>
      <c r="AP290" s="30"/>
      <c r="AQ290" s="30" t="s">
        <v>84</v>
      </c>
      <c r="AR290" s="30"/>
      <c r="AS290" s="30"/>
      <c r="AT290" s="30"/>
      <c r="AU290" s="30"/>
      <c r="AV290" s="30"/>
      <c r="AW290" s="67" t="s">
        <v>87</v>
      </c>
      <c r="AX290" s="67"/>
      <c r="AY290" s="67"/>
      <c r="AZ290" s="67"/>
      <c r="BA290" s="67"/>
      <c r="BB290" s="67"/>
      <c r="BC290" s="67"/>
      <c r="BD290" s="67"/>
      <c r="BE290" s="67" t="s">
        <v>88</v>
      </c>
      <c r="BF290" s="67"/>
      <c r="BG290" s="67"/>
      <c r="BH290" s="67"/>
      <c r="BI290" s="67"/>
      <c r="BJ290" s="67"/>
      <c r="BK290" s="67"/>
      <c r="BL290" s="67"/>
      <c r="CA290" s="1" t="s">
        <v>54</v>
      </c>
    </row>
    <row r="291" spans="1:79" s="6" customFormat="1" ht="12.75" customHeight="1" x14ac:dyDescent="0.2">
      <c r="A291" s="86"/>
      <c r="B291" s="86"/>
      <c r="C291" s="86"/>
      <c r="D291" s="86"/>
      <c r="E291" s="86"/>
      <c r="F291" s="86"/>
      <c r="G291" s="116" t="s">
        <v>147</v>
      </c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6"/>
      <c r="AX291" s="116"/>
      <c r="AY291" s="116"/>
      <c r="AZ291" s="116"/>
      <c r="BA291" s="116"/>
      <c r="BB291" s="116"/>
      <c r="BC291" s="116"/>
      <c r="BD291" s="116"/>
      <c r="BE291" s="116"/>
      <c r="BF291" s="116"/>
      <c r="BG291" s="116"/>
      <c r="BH291" s="116"/>
      <c r="BI291" s="116"/>
      <c r="BJ291" s="116"/>
      <c r="BK291" s="116"/>
      <c r="BL291" s="116"/>
      <c r="CA291" s="6" t="s">
        <v>55</v>
      </c>
    </row>
    <row r="293" spans="1:79" ht="14.25" customHeight="1" x14ac:dyDescent="0.2">
      <c r="A293" s="29" t="s">
        <v>252</v>
      </c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</row>
    <row r="294" spans="1:79" ht="105" customHeight="1" x14ac:dyDescent="0.2">
      <c r="A294" s="122" t="s">
        <v>233</v>
      </c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  <c r="AB294" s="123"/>
      <c r="AC294" s="123"/>
      <c r="AD294" s="123"/>
      <c r="AE294" s="123"/>
      <c r="AF294" s="123"/>
      <c r="AG294" s="123"/>
      <c r="AH294" s="123"/>
      <c r="AI294" s="123"/>
      <c r="AJ294" s="123"/>
      <c r="AK294" s="123"/>
      <c r="AL294" s="123"/>
      <c r="AM294" s="123"/>
      <c r="AN294" s="123"/>
      <c r="AO294" s="123"/>
      <c r="AP294" s="123"/>
      <c r="AQ294" s="123"/>
      <c r="AR294" s="123"/>
      <c r="AS294" s="123"/>
      <c r="AT294" s="123"/>
      <c r="AU294" s="123"/>
      <c r="AV294" s="123"/>
      <c r="AW294" s="123"/>
      <c r="AX294" s="123"/>
      <c r="AY294" s="123"/>
      <c r="AZ294" s="123"/>
      <c r="BA294" s="123"/>
      <c r="BB294" s="123"/>
      <c r="BC294" s="123"/>
      <c r="BD294" s="123"/>
      <c r="BE294" s="123"/>
      <c r="BF294" s="123"/>
      <c r="BG294" s="123"/>
      <c r="BH294" s="123"/>
      <c r="BI294" s="123"/>
      <c r="BJ294" s="123"/>
      <c r="BK294" s="123"/>
      <c r="BL294" s="123"/>
    </row>
    <row r="295" spans="1:79" ht="1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</row>
    <row r="297" spans="1:79" ht="14.25" x14ac:dyDescent="0.2">
      <c r="A297" s="29" t="s">
        <v>279</v>
      </c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</row>
    <row r="298" spans="1:79" ht="14.25" x14ac:dyDescent="0.2">
      <c r="A298" s="29" t="s">
        <v>253</v>
      </c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</row>
    <row r="299" spans="1:79" ht="15" customHeight="1" x14ac:dyDescent="0.2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</row>
    <row r="300" spans="1:79" ht="1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</row>
    <row r="303" spans="1:79" ht="18.95" customHeight="1" x14ac:dyDescent="0.2">
      <c r="A303" s="126" t="s">
        <v>237</v>
      </c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22"/>
      <c r="AC303" s="22"/>
      <c r="AD303" s="22"/>
      <c r="AE303" s="22"/>
      <c r="AF303" s="22"/>
      <c r="AG303" s="22"/>
      <c r="AH303" s="42"/>
      <c r="AI303" s="42"/>
      <c r="AJ303" s="42"/>
      <c r="AK303" s="42"/>
      <c r="AL303" s="42"/>
      <c r="AM303" s="42"/>
      <c r="AN303" s="42"/>
      <c r="AO303" s="42"/>
      <c r="AP303" s="42"/>
      <c r="AQ303" s="22"/>
      <c r="AR303" s="22"/>
      <c r="AS303" s="22"/>
      <c r="AT303" s="22"/>
      <c r="AU303" s="127" t="s">
        <v>239</v>
      </c>
      <c r="AV303" s="125"/>
      <c r="AW303" s="125"/>
      <c r="AX303" s="125"/>
      <c r="AY303" s="125"/>
      <c r="AZ303" s="125"/>
      <c r="BA303" s="125"/>
      <c r="BB303" s="125"/>
      <c r="BC303" s="125"/>
      <c r="BD303" s="125"/>
      <c r="BE303" s="125"/>
      <c r="BF303" s="125"/>
    </row>
    <row r="304" spans="1:79" ht="12.75" customHeight="1" x14ac:dyDescent="0.2">
      <c r="AB304" s="23"/>
      <c r="AC304" s="23"/>
      <c r="AD304" s="23"/>
      <c r="AE304" s="23"/>
      <c r="AF304" s="23"/>
      <c r="AG304" s="23"/>
      <c r="AH304" s="28" t="s">
        <v>1</v>
      </c>
      <c r="AI304" s="28"/>
      <c r="AJ304" s="28"/>
      <c r="AK304" s="28"/>
      <c r="AL304" s="28"/>
      <c r="AM304" s="28"/>
      <c r="AN304" s="28"/>
      <c r="AO304" s="28"/>
      <c r="AP304" s="28"/>
      <c r="AQ304" s="23"/>
      <c r="AR304" s="23"/>
      <c r="AS304" s="23"/>
      <c r="AT304" s="23"/>
      <c r="AU304" s="28" t="s">
        <v>171</v>
      </c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</row>
    <row r="305" spans="1:58" ht="15" x14ac:dyDescent="0.2">
      <c r="AB305" s="23"/>
      <c r="AC305" s="23"/>
      <c r="AD305" s="23"/>
      <c r="AE305" s="23"/>
      <c r="AF305" s="23"/>
      <c r="AG305" s="23"/>
      <c r="AH305" s="24"/>
      <c r="AI305" s="24"/>
      <c r="AJ305" s="24"/>
      <c r="AK305" s="24"/>
      <c r="AL305" s="24"/>
      <c r="AM305" s="24"/>
      <c r="AN305" s="24"/>
      <c r="AO305" s="24"/>
      <c r="AP305" s="24"/>
      <c r="AQ305" s="23"/>
      <c r="AR305" s="23"/>
      <c r="AS305" s="23"/>
      <c r="AT305" s="23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</row>
    <row r="306" spans="1:58" ht="18" customHeight="1" x14ac:dyDescent="0.2">
      <c r="A306" s="126" t="s">
        <v>238</v>
      </c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  <c r="AB306" s="23"/>
      <c r="AC306" s="23"/>
      <c r="AD306" s="23"/>
      <c r="AE306" s="23"/>
      <c r="AF306" s="23"/>
      <c r="AG306" s="23"/>
      <c r="AH306" s="43"/>
      <c r="AI306" s="43"/>
      <c r="AJ306" s="43"/>
      <c r="AK306" s="43"/>
      <c r="AL306" s="43"/>
      <c r="AM306" s="43"/>
      <c r="AN306" s="43"/>
      <c r="AO306" s="43"/>
      <c r="AP306" s="43"/>
      <c r="AQ306" s="23"/>
      <c r="AR306" s="23"/>
      <c r="AS306" s="23"/>
      <c r="AT306" s="23"/>
      <c r="AU306" s="128" t="s">
        <v>240</v>
      </c>
      <c r="AV306" s="125"/>
      <c r="AW306" s="125"/>
      <c r="AX306" s="125"/>
      <c r="AY306" s="125"/>
      <c r="AZ306" s="125"/>
      <c r="BA306" s="125"/>
      <c r="BB306" s="125"/>
      <c r="BC306" s="125"/>
      <c r="BD306" s="125"/>
      <c r="BE306" s="125"/>
      <c r="BF306" s="125"/>
    </row>
    <row r="307" spans="1:58" ht="12" customHeight="1" x14ac:dyDescent="0.2">
      <c r="AB307" s="23"/>
      <c r="AC307" s="23"/>
      <c r="AD307" s="23"/>
      <c r="AE307" s="23"/>
      <c r="AF307" s="23"/>
      <c r="AG307" s="23"/>
      <c r="AH307" s="28" t="s">
        <v>1</v>
      </c>
      <c r="AI307" s="28"/>
      <c r="AJ307" s="28"/>
      <c r="AK307" s="28"/>
      <c r="AL307" s="28"/>
      <c r="AM307" s="28"/>
      <c r="AN307" s="28"/>
      <c r="AO307" s="28"/>
      <c r="AP307" s="28"/>
      <c r="AQ307" s="23"/>
      <c r="AR307" s="23"/>
      <c r="AS307" s="23"/>
      <c r="AT307" s="23"/>
      <c r="AU307" s="28" t="s">
        <v>171</v>
      </c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</row>
  </sheetData>
  <mergeCells count="2308">
    <mergeCell ref="BJ233:BL233"/>
    <mergeCell ref="AR233:AT233"/>
    <mergeCell ref="AU233:AW233"/>
    <mergeCell ref="AX233:AZ233"/>
    <mergeCell ref="BA233:BC233"/>
    <mergeCell ref="BD233:BF233"/>
    <mergeCell ref="BG233:BI233"/>
    <mergeCell ref="A233:C233"/>
    <mergeCell ref="D233:V233"/>
    <mergeCell ref="W233:Y233"/>
    <mergeCell ref="Z233:AB233"/>
    <mergeCell ref="AC233:AE233"/>
    <mergeCell ref="A223:T223"/>
    <mergeCell ref="U223:Y223"/>
    <mergeCell ref="Z223:AD223"/>
    <mergeCell ref="AE223:AI223"/>
    <mergeCell ref="AJ223:AN223"/>
    <mergeCell ref="AO223:AS223"/>
    <mergeCell ref="AT223:AX223"/>
    <mergeCell ref="AT198:AX198"/>
    <mergeCell ref="AY198:BC198"/>
    <mergeCell ref="BD198:BH198"/>
    <mergeCell ref="AT197:AX197"/>
    <mergeCell ref="AY197:BC197"/>
    <mergeCell ref="BD197:BH197"/>
    <mergeCell ref="A198:C198"/>
    <mergeCell ref="D198:T198"/>
    <mergeCell ref="U198:Y198"/>
    <mergeCell ref="Z198:AD198"/>
    <mergeCell ref="AE198:AI198"/>
    <mergeCell ref="AJ198:AN198"/>
    <mergeCell ref="AO198:AS198"/>
    <mergeCell ref="AT196:AX196"/>
    <mergeCell ref="AY196:BC196"/>
    <mergeCell ref="BD196:BH196"/>
    <mergeCell ref="A197:C197"/>
    <mergeCell ref="D197:T197"/>
    <mergeCell ref="U197:Y197"/>
    <mergeCell ref="Z197:AD197"/>
    <mergeCell ref="AE197:AI197"/>
    <mergeCell ref="AJ197:AN197"/>
    <mergeCell ref="AO197:AS197"/>
    <mergeCell ref="AT195:AX195"/>
    <mergeCell ref="AY195:BC195"/>
    <mergeCell ref="BD195:BH195"/>
    <mergeCell ref="A196:C196"/>
    <mergeCell ref="D196:T196"/>
    <mergeCell ref="U196:Y196"/>
    <mergeCell ref="Z196:AD196"/>
    <mergeCell ref="AE196:AI196"/>
    <mergeCell ref="AJ196:AN196"/>
    <mergeCell ref="AO196:AS196"/>
    <mergeCell ref="AT194:AX194"/>
    <mergeCell ref="AY194:BC194"/>
    <mergeCell ref="BD194:BH194"/>
    <mergeCell ref="A195:C195"/>
    <mergeCell ref="D195:T195"/>
    <mergeCell ref="U195:Y195"/>
    <mergeCell ref="Z195:AD195"/>
    <mergeCell ref="AE195:AI195"/>
    <mergeCell ref="AJ195:AN195"/>
    <mergeCell ref="AO195:AS195"/>
    <mergeCell ref="AT193:AX193"/>
    <mergeCell ref="AY193:BC193"/>
    <mergeCell ref="BD193:BH193"/>
    <mergeCell ref="A194:C194"/>
    <mergeCell ref="D194:T194"/>
    <mergeCell ref="U194:Y194"/>
    <mergeCell ref="Z194:AD194"/>
    <mergeCell ref="AE194:AI194"/>
    <mergeCell ref="AJ194:AN194"/>
    <mergeCell ref="AO194:AS194"/>
    <mergeCell ref="AT192:AX192"/>
    <mergeCell ref="AY192:BC192"/>
    <mergeCell ref="BD192:BH192"/>
    <mergeCell ref="A193:C193"/>
    <mergeCell ref="D193:T193"/>
    <mergeCell ref="U193:Y193"/>
    <mergeCell ref="Z193:AD193"/>
    <mergeCell ref="AE193:AI193"/>
    <mergeCell ref="AJ193:AN193"/>
    <mergeCell ref="AO193:AS193"/>
    <mergeCell ref="AT191:AX191"/>
    <mergeCell ref="AY191:BC191"/>
    <mergeCell ref="BD191:BH191"/>
    <mergeCell ref="A192:C192"/>
    <mergeCell ref="D192:T192"/>
    <mergeCell ref="U192:Y192"/>
    <mergeCell ref="Z192:AD192"/>
    <mergeCell ref="AE192:AI192"/>
    <mergeCell ref="AJ192:AN192"/>
    <mergeCell ref="AO192:AS192"/>
    <mergeCell ref="AT190:AX190"/>
    <mergeCell ref="AY190:BC190"/>
    <mergeCell ref="BD190:BH190"/>
    <mergeCell ref="A191:C191"/>
    <mergeCell ref="D191:T191"/>
    <mergeCell ref="U191:Y191"/>
    <mergeCell ref="Z191:AD191"/>
    <mergeCell ref="AE191:AI191"/>
    <mergeCell ref="AJ191:AN191"/>
    <mergeCell ref="AO191:AS191"/>
    <mergeCell ref="AT189:AX189"/>
    <mergeCell ref="AY189:BC189"/>
    <mergeCell ref="BD189:BH189"/>
    <mergeCell ref="A190:C190"/>
    <mergeCell ref="D190:T190"/>
    <mergeCell ref="U190:Y190"/>
    <mergeCell ref="Z190:AD190"/>
    <mergeCell ref="AE190:AI190"/>
    <mergeCell ref="AJ190:AN190"/>
    <mergeCell ref="AO190:AS190"/>
    <mergeCell ref="AT188:AX188"/>
    <mergeCell ref="AY188:BC188"/>
    <mergeCell ref="BD188:BH188"/>
    <mergeCell ref="A189:C189"/>
    <mergeCell ref="D189:T189"/>
    <mergeCell ref="U189:Y189"/>
    <mergeCell ref="Z189:AD189"/>
    <mergeCell ref="AE189:AI189"/>
    <mergeCell ref="AJ189:AN189"/>
    <mergeCell ref="AO189:AS189"/>
    <mergeCell ref="AT187:AX187"/>
    <mergeCell ref="AY187:BC187"/>
    <mergeCell ref="BD187:BH187"/>
    <mergeCell ref="A188:C188"/>
    <mergeCell ref="D188:T188"/>
    <mergeCell ref="U188:Y188"/>
    <mergeCell ref="Z188:AD188"/>
    <mergeCell ref="AE188:AI188"/>
    <mergeCell ref="AJ188:AN188"/>
    <mergeCell ref="AO188:AS188"/>
    <mergeCell ref="AT186:AX186"/>
    <mergeCell ref="AY186:BC186"/>
    <mergeCell ref="BD186:BH186"/>
    <mergeCell ref="A187:C187"/>
    <mergeCell ref="D187:T187"/>
    <mergeCell ref="U187:Y187"/>
    <mergeCell ref="Z187:AD187"/>
    <mergeCell ref="AE187:AI187"/>
    <mergeCell ref="AJ187:AN187"/>
    <mergeCell ref="AO187:AS187"/>
    <mergeCell ref="AT185:AX185"/>
    <mergeCell ref="AY185:BC185"/>
    <mergeCell ref="BD185:BH185"/>
    <mergeCell ref="A186:C186"/>
    <mergeCell ref="D186:T186"/>
    <mergeCell ref="U186:Y186"/>
    <mergeCell ref="Z186:AD186"/>
    <mergeCell ref="AE186:AI186"/>
    <mergeCell ref="AJ186:AN186"/>
    <mergeCell ref="AO186:AS186"/>
    <mergeCell ref="AT184:AX184"/>
    <mergeCell ref="AY184:BC184"/>
    <mergeCell ref="BD184:BH184"/>
    <mergeCell ref="A185:C185"/>
    <mergeCell ref="D185:T185"/>
    <mergeCell ref="U185:Y185"/>
    <mergeCell ref="Z185:AD185"/>
    <mergeCell ref="AE185:AI185"/>
    <mergeCell ref="AJ185:AN185"/>
    <mergeCell ref="AO185:AS185"/>
    <mergeCell ref="AT183:AX183"/>
    <mergeCell ref="AY183:BC183"/>
    <mergeCell ref="BD183:BH183"/>
    <mergeCell ref="A184:C184"/>
    <mergeCell ref="D184:T184"/>
    <mergeCell ref="U184:Y184"/>
    <mergeCell ref="Z184:AD184"/>
    <mergeCell ref="AE184:AI184"/>
    <mergeCell ref="AJ184:AN184"/>
    <mergeCell ref="AO184:AS184"/>
    <mergeCell ref="AT182:AX182"/>
    <mergeCell ref="AY182:BC182"/>
    <mergeCell ref="BD182:BH182"/>
    <mergeCell ref="A183:C183"/>
    <mergeCell ref="D183:T183"/>
    <mergeCell ref="U183:Y183"/>
    <mergeCell ref="Z183:AD183"/>
    <mergeCell ref="AE183:AI183"/>
    <mergeCell ref="AJ183:AN183"/>
    <mergeCell ref="AO183:AS183"/>
    <mergeCell ref="AT181:AX181"/>
    <mergeCell ref="AY181:BC181"/>
    <mergeCell ref="BD181:BH181"/>
    <mergeCell ref="A182:C182"/>
    <mergeCell ref="D182:T182"/>
    <mergeCell ref="U182:Y182"/>
    <mergeCell ref="Z182:AD182"/>
    <mergeCell ref="AE182:AI182"/>
    <mergeCell ref="AJ182:AN182"/>
    <mergeCell ref="AO182:AS182"/>
    <mergeCell ref="AT180:AX180"/>
    <mergeCell ref="AY180:BC180"/>
    <mergeCell ref="BD180:BH180"/>
    <mergeCell ref="A181:C181"/>
    <mergeCell ref="D181:T181"/>
    <mergeCell ref="U181:Y181"/>
    <mergeCell ref="Z181:AD181"/>
    <mergeCell ref="AE181:AI181"/>
    <mergeCell ref="AJ181:AN181"/>
    <mergeCell ref="AO181:AS181"/>
    <mergeCell ref="AT179:AX179"/>
    <mergeCell ref="AY179:BC179"/>
    <mergeCell ref="BD179:BH179"/>
    <mergeCell ref="A180:C180"/>
    <mergeCell ref="D180:T180"/>
    <mergeCell ref="U180:Y180"/>
    <mergeCell ref="Z180:AD180"/>
    <mergeCell ref="AE180:AI180"/>
    <mergeCell ref="AJ180:AN180"/>
    <mergeCell ref="AO180:AS180"/>
    <mergeCell ref="AT178:AX178"/>
    <mergeCell ref="AY178:BC178"/>
    <mergeCell ref="BD178:BH178"/>
    <mergeCell ref="A179:C179"/>
    <mergeCell ref="D179:T179"/>
    <mergeCell ref="U179:Y179"/>
    <mergeCell ref="Z179:AD179"/>
    <mergeCell ref="AE179:AI179"/>
    <mergeCell ref="AJ179:AN179"/>
    <mergeCell ref="AO179:AS179"/>
    <mergeCell ref="AT177:AX177"/>
    <mergeCell ref="AY177:BC177"/>
    <mergeCell ref="BD177:BH177"/>
    <mergeCell ref="A178:C178"/>
    <mergeCell ref="D178:T178"/>
    <mergeCell ref="U178:Y178"/>
    <mergeCell ref="Z178:AD178"/>
    <mergeCell ref="AE178:AI178"/>
    <mergeCell ref="AJ178:AN178"/>
    <mergeCell ref="AO178:AS178"/>
    <mergeCell ref="AT176:AX176"/>
    <mergeCell ref="AY176:BC176"/>
    <mergeCell ref="BD176:BH176"/>
    <mergeCell ref="A177:C177"/>
    <mergeCell ref="D177:T177"/>
    <mergeCell ref="U177:Y177"/>
    <mergeCell ref="Z177:AD177"/>
    <mergeCell ref="AE177:AI177"/>
    <mergeCell ref="AJ177:AN177"/>
    <mergeCell ref="AO177:AS177"/>
    <mergeCell ref="AT175:AX175"/>
    <mergeCell ref="AY175:BC175"/>
    <mergeCell ref="BD175:BH175"/>
    <mergeCell ref="A176:C176"/>
    <mergeCell ref="D176:T176"/>
    <mergeCell ref="U176:Y176"/>
    <mergeCell ref="Z176:AD176"/>
    <mergeCell ref="AE176:AI176"/>
    <mergeCell ref="AJ176:AN176"/>
    <mergeCell ref="AO176:AS176"/>
    <mergeCell ref="AT174:AX174"/>
    <mergeCell ref="AY174:BC174"/>
    <mergeCell ref="BD174:BH174"/>
    <mergeCell ref="A175:C175"/>
    <mergeCell ref="D175:T175"/>
    <mergeCell ref="U175:Y175"/>
    <mergeCell ref="Z175:AD175"/>
    <mergeCell ref="AE175:AI175"/>
    <mergeCell ref="AJ175:AN175"/>
    <mergeCell ref="AO175:AS175"/>
    <mergeCell ref="AT173:AX173"/>
    <mergeCell ref="AY173:BC173"/>
    <mergeCell ref="BD173:BH173"/>
    <mergeCell ref="A174:C174"/>
    <mergeCell ref="D174:T174"/>
    <mergeCell ref="U174:Y174"/>
    <mergeCell ref="Z174:AD174"/>
    <mergeCell ref="AE174:AI174"/>
    <mergeCell ref="AJ174:AN174"/>
    <mergeCell ref="AO174:AS174"/>
    <mergeCell ref="AT172:AX172"/>
    <mergeCell ref="AY172:BC172"/>
    <mergeCell ref="BD172:BH172"/>
    <mergeCell ref="A173:C173"/>
    <mergeCell ref="D173:T173"/>
    <mergeCell ref="U173:Y173"/>
    <mergeCell ref="Z173:AD173"/>
    <mergeCell ref="AE173:AI173"/>
    <mergeCell ref="AJ173:AN173"/>
    <mergeCell ref="AO173:AS173"/>
    <mergeCell ref="AT171:AX171"/>
    <mergeCell ref="AY171:BC171"/>
    <mergeCell ref="BD171:BH171"/>
    <mergeCell ref="A172:C172"/>
    <mergeCell ref="D172:T172"/>
    <mergeCell ref="U172:Y172"/>
    <mergeCell ref="Z172:AD172"/>
    <mergeCell ref="AE172:AI172"/>
    <mergeCell ref="AJ172:AN172"/>
    <mergeCell ref="AO172:AS172"/>
    <mergeCell ref="AT170:AX170"/>
    <mergeCell ref="AY170:BC170"/>
    <mergeCell ref="BD170:BH170"/>
    <mergeCell ref="A171:C171"/>
    <mergeCell ref="D171:T171"/>
    <mergeCell ref="U171:Y171"/>
    <mergeCell ref="Z171:AD171"/>
    <mergeCell ref="AE171:AI171"/>
    <mergeCell ref="AJ171:AN171"/>
    <mergeCell ref="AO171:AS171"/>
    <mergeCell ref="AT169:AX169"/>
    <mergeCell ref="AY169:BC169"/>
    <mergeCell ref="BD169:BH169"/>
    <mergeCell ref="A170:C170"/>
    <mergeCell ref="D170:T170"/>
    <mergeCell ref="U170:Y170"/>
    <mergeCell ref="Z170:AD170"/>
    <mergeCell ref="AE170:AI170"/>
    <mergeCell ref="AJ170:AN170"/>
    <mergeCell ref="AO170:AS170"/>
    <mergeCell ref="AT168:AX168"/>
    <mergeCell ref="AY168:BC168"/>
    <mergeCell ref="BD168:BH168"/>
    <mergeCell ref="A169:C169"/>
    <mergeCell ref="D169:T169"/>
    <mergeCell ref="U169:Y169"/>
    <mergeCell ref="Z169:AD169"/>
    <mergeCell ref="AE169:AI169"/>
    <mergeCell ref="AJ169:AN169"/>
    <mergeCell ref="AO169:AS169"/>
    <mergeCell ref="AT167:AX167"/>
    <mergeCell ref="AY167:BC167"/>
    <mergeCell ref="BD167:BH167"/>
    <mergeCell ref="A168:C168"/>
    <mergeCell ref="D168:T168"/>
    <mergeCell ref="U168:Y168"/>
    <mergeCell ref="Z168:AD168"/>
    <mergeCell ref="AE168:AI168"/>
    <mergeCell ref="AJ168:AN168"/>
    <mergeCell ref="AO168:AS168"/>
    <mergeCell ref="AT166:AX166"/>
    <mergeCell ref="AY166:BC166"/>
    <mergeCell ref="BD166:BH166"/>
    <mergeCell ref="A167:C167"/>
    <mergeCell ref="D167:T167"/>
    <mergeCell ref="U167:Y167"/>
    <mergeCell ref="Z167:AD167"/>
    <mergeCell ref="AE167:AI167"/>
    <mergeCell ref="AJ167:AN167"/>
    <mergeCell ref="AO167:AS167"/>
    <mergeCell ref="AT165:AX165"/>
    <mergeCell ref="AY165:BC165"/>
    <mergeCell ref="BD165:BH165"/>
    <mergeCell ref="A166:C166"/>
    <mergeCell ref="D166:T166"/>
    <mergeCell ref="U166:Y166"/>
    <mergeCell ref="Z166:AD166"/>
    <mergeCell ref="AE166:AI166"/>
    <mergeCell ref="AJ166:AN166"/>
    <mergeCell ref="AO166:AS166"/>
    <mergeCell ref="AT164:AX164"/>
    <mergeCell ref="AY164:BC164"/>
    <mergeCell ref="BD164:BH164"/>
    <mergeCell ref="A165:C165"/>
    <mergeCell ref="D165:T165"/>
    <mergeCell ref="U165:Y165"/>
    <mergeCell ref="Z165:AD165"/>
    <mergeCell ref="AE165:AI165"/>
    <mergeCell ref="AJ165:AN165"/>
    <mergeCell ref="AO165:AS165"/>
    <mergeCell ref="AT163:AX163"/>
    <mergeCell ref="AY163:BC163"/>
    <mergeCell ref="BD163:BH163"/>
    <mergeCell ref="A164:C164"/>
    <mergeCell ref="D164:T164"/>
    <mergeCell ref="U164:Y164"/>
    <mergeCell ref="Z164:AD164"/>
    <mergeCell ref="AE164:AI164"/>
    <mergeCell ref="AJ164:AN164"/>
    <mergeCell ref="AO164:AS164"/>
    <mergeCell ref="AT162:AX162"/>
    <mergeCell ref="AY162:BC162"/>
    <mergeCell ref="BD162:BH162"/>
    <mergeCell ref="A163:C163"/>
    <mergeCell ref="D163:T163"/>
    <mergeCell ref="U163:Y163"/>
    <mergeCell ref="Z163:AD163"/>
    <mergeCell ref="AE163:AI163"/>
    <mergeCell ref="AJ163:AN163"/>
    <mergeCell ref="AO163:AS163"/>
    <mergeCell ref="AT161:AX161"/>
    <mergeCell ref="AY161:BC161"/>
    <mergeCell ref="BD161:BH161"/>
    <mergeCell ref="A162:C162"/>
    <mergeCell ref="D162:T162"/>
    <mergeCell ref="U162:Y162"/>
    <mergeCell ref="Z162:AD162"/>
    <mergeCell ref="AE162:AI162"/>
    <mergeCell ref="AJ162:AN162"/>
    <mergeCell ref="AO162:AS162"/>
    <mergeCell ref="AT160:AX160"/>
    <mergeCell ref="AY160:BC160"/>
    <mergeCell ref="BD160:BH160"/>
    <mergeCell ref="A161:C161"/>
    <mergeCell ref="D161:T161"/>
    <mergeCell ref="U161:Y161"/>
    <mergeCell ref="Z161:AD161"/>
    <mergeCell ref="AE161:AI161"/>
    <mergeCell ref="AJ161:AN161"/>
    <mergeCell ref="AO161:AS161"/>
    <mergeCell ref="AT159:AX159"/>
    <mergeCell ref="AY159:BC159"/>
    <mergeCell ref="BD159:BH159"/>
    <mergeCell ref="A160:C160"/>
    <mergeCell ref="D160:T160"/>
    <mergeCell ref="U160:Y160"/>
    <mergeCell ref="Z160:AD160"/>
    <mergeCell ref="AE160:AI160"/>
    <mergeCell ref="AJ160:AN160"/>
    <mergeCell ref="AO160:AS160"/>
    <mergeCell ref="AT158:AX158"/>
    <mergeCell ref="AY158:BC158"/>
    <mergeCell ref="BD158:BH158"/>
    <mergeCell ref="A159:C159"/>
    <mergeCell ref="D159:T159"/>
    <mergeCell ref="U159:Y159"/>
    <mergeCell ref="Z159:AD159"/>
    <mergeCell ref="AE159:AI159"/>
    <mergeCell ref="AJ159:AN159"/>
    <mergeCell ref="AO159:AS159"/>
    <mergeCell ref="AT157:AX157"/>
    <mergeCell ref="AY157:BC157"/>
    <mergeCell ref="BD157:BH157"/>
    <mergeCell ref="A158:C158"/>
    <mergeCell ref="D158:T158"/>
    <mergeCell ref="U158:Y158"/>
    <mergeCell ref="Z158:AD158"/>
    <mergeCell ref="AE158:AI158"/>
    <mergeCell ref="AJ158:AN158"/>
    <mergeCell ref="AO158:AS158"/>
    <mergeCell ref="D157:T157"/>
    <mergeCell ref="U157:Y157"/>
    <mergeCell ref="Z157:AD157"/>
    <mergeCell ref="AE157:AI157"/>
    <mergeCell ref="AJ157:AN157"/>
    <mergeCell ref="AO157:AS157"/>
    <mergeCell ref="A156:C156"/>
    <mergeCell ref="D156:T156"/>
    <mergeCell ref="U156:Y156"/>
    <mergeCell ref="Z156:AD156"/>
    <mergeCell ref="AE156:AI156"/>
    <mergeCell ref="AJ156:AN156"/>
    <mergeCell ref="AO156:AS156"/>
    <mergeCell ref="BB147:BF147"/>
    <mergeCell ref="BG147:BK147"/>
    <mergeCell ref="BL147:BP147"/>
    <mergeCell ref="BQ147:BT147"/>
    <mergeCell ref="BU147:BY147"/>
    <mergeCell ref="BU146:BY146"/>
    <mergeCell ref="A147:C147"/>
    <mergeCell ref="D147:T147"/>
    <mergeCell ref="U147:Y147"/>
    <mergeCell ref="Z147:AD147"/>
    <mergeCell ref="AE147:AH147"/>
    <mergeCell ref="AI147:AM147"/>
    <mergeCell ref="AN147:AR147"/>
    <mergeCell ref="AS147:AW147"/>
    <mergeCell ref="AX147:BA147"/>
    <mergeCell ref="AS146:AW146"/>
    <mergeCell ref="AX146:BA146"/>
    <mergeCell ref="BB146:BF146"/>
    <mergeCell ref="BG146:BK146"/>
    <mergeCell ref="BL146:BP146"/>
    <mergeCell ref="BQ146:BT146"/>
    <mergeCell ref="BL145:BP145"/>
    <mergeCell ref="BQ145:BT145"/>
    <mergeCell ref="BU145:BY145"/>
    <mergeCell ref="A146:C146"/>
    <mergeCell ref="D146:T146"/>
    <mergeCell ref="U146:Y146"/>
    <mergeCell ref="Z146:AD146"/>
    <mergeCell ref="AE146:AH146"/>
    <mergeCell ref="AI146:AM146"/>
    <mergeCell ref="AN146:AR146"/>
    <mergeCell ref="AI145:AM145"/>
    <mergeCell ref="AN145:AR145"/>
    <mergeCell ref="AS145:AW145"/>
    <mergeCell ref="AX145:BA145"/>
    <mergeCell ref="BB145:BF145"/>
    <mergeCell ref="BG145:BK145"/>
    <mergeCell ref="BB144:BF144"/>
    <mergeCell ref="BG144:BK144"/>
    <mergeCell ref="BL144:BP144"/>
    <mergeCell ref="BQ144:BT144"/>
    <mergeCell ref="BU144:BY144"/>
    <mergeCell ref="A145:C145"/>
    <mergeCell ref="D145:T145"/>
    <mergeCell ref="U145:Y145"/>
    <mergeCell ref="Z145:AD145"/>
    <mergeCell ref="AE145:AH145"/>
    <mergeCell ref="BU143:BY143"/>
    <mergeCell ref="A144:C144"/>
    <mergeCell ref="D144:T144"/>
    <mergeCell ref="U144:Y144"/>
    <mergeCell ref="Z144:AD144"/>
    <mergeCell ref="AE144:AH144"/>
    <mergeCell ref="AI144:AM144"/>
    <mergeCell ref="AN144:AR144"/>
    <mergeCell ref="AS144:AW144"/>
    <mergeCell ref="AX144:BA144"/>
    <mergeCell ref="AS143:AW143"/>
    <mergeCell ref="AX143:BA143"/>
    <mergeCell ref="BB143:BF143"/>
    <mergeCell ref="BG143:BK143"/>
    <mergeCell ref="BL143:BP143"/>
    <mergeCell ref="BQ143:BT143"/>
    <mergeCell ref="BL142:BP142"/>
    <mergeCell ref="BQ142:BT142"/>
    <mergeCell ref="BU142:BY142"/>
    <mergeCell ref="A143:C143"/>
    <mergeCell ref="D143:T143"/>
    <mergeCell ref="U143:Y143"/>
    <mergeCell ref="Z143:AD143"/>
    <mergeCell ref="AE143:AH143"/>
    <mergeCell ref="AI143:AM143"/>
    <mergeCell ref="AN143:AR143"/>
    <mergeCell ref="AI142:AM142"/>
    <mergeCell ref="AN142:AR142"/>
    <mergeCell ref="AS142:AW142"/>
    <mergeCell ref="AX142:BA142"/>
    <mergeCell ref="BB142:BF142"/>
    <mergeCell ref="BG142:BK142"/>
    <mergeCell ref="BB141:BF141"/>
    <mergeCell ref="BG141:BK141"/>
    <mergeCell ref="BL141:BP141"/>
    <mergeCell ref="BQ141:BT141"/>
    <mergeCell ref="BU141:BY141"/>
    <mergeCell ref="A142:C142"/>
    <mergeCell ref="D142:T142"/>
    <mergeCell ref="U142:Y142"/>
    <mergeCell ref="Z142:AD142"/>
    <mergeCell ref="AE142:AH142"/>
    <mergeCell ref="BU140:BY140"/>
    <mergeCell ref="A141:C141"/>
    <mergeCell ref="D141:T141"/>
    <mergeCell ref="U141:Y141"/>
    <mergeCell ref="Z141:AD141"/>
    <mergeCell ref="AE141:AH141"/>
    <mergeCell ref="AI141:AM141"/>
    <mergeCell ref="AN141:AR141"/>
    <mergeCell ref="AS141:AW141"/>
    <mergeCell ref="AX141:BA141"/>
    <mergeCell ref="AS140:AW140"/>
    <mergeCell ref="AX140:BA140"/>
    <mergeCell ref="BB140:BF140"/>
    <mergeCell ref="BG140:BK140"/>
    <mergeCell ref="BL140:BP140"/>
    <mergeCell ref="BQ140:BT140"/>
    <mergeCell ref="BL139:BP139"/>
    <mergeCell ref="BQ139:BT139"/>
    <mergeCell ref="BU139:BY139"/>
    <mergeCell ref="A140:C140"/>
    <mergeCell ref="D140:T140"/>
    <mergeCell ref="U140:Y140"/>
    <mergeCell ref="Z140:AD140"/>
    <mergeCell ref="AE140:AH140"/>
    <mergeCell ref="AI140:AM140"/>
    <mergeCell ref="AN140:AR140"/>
    <mergeCell ref="AI139:AM139"/>
    <mergeCell ref="AN139:AR139"/>
    <mergeCell ref="AS139:AW139"/>
    <mergeCell ref="AX139:BA139"/>
    <mergeCell ref="BB139:BF139"/>
    <mergeCell ref="BG139:BK139"/>
    <mergeCell ref="BB138:BF138"/>
    <mergeCell ref="BG138:BK138"/>
    <mergeCell ref="BL138:BP138"/>
    <mergeCell ref="BQ138:BT138"/>
    <mergeCell ref="BU138:BY138"/>
    <mergeCell ref="A139:C139"/>
    <mergeCell ref="D139:T139"/>
    <mergeCell ref="U139:Y139"/>
    <mergeCell ref="Z139:AD139"/>
    <mergeCell ref="AE139:AH139"/>
    <mergeCell ref="BU137:BY137"/>
    <mergeCell ref="A138:C138"/>
    <mergeCell ref="D138:T138"/>
    <mergeCell ref="U138:Y138"/>
    <mergeCell ref="Z138:AD138"/>
    <mergeCell ref="AE138:AH138"/>
    <mergeCell ref="AI138:AM138"/>
    <mergeCell ref="AN138:AR138"/>
    <mergeCell ref="AS138:AW138"/>
    <mergeCell ref="AX138:BA138"/>
    <mergeCell ref="AS137:AW137"/>
    <mergeCell ref="AX137:BA137"/>
    <mergeCell ref="BB137:BF137"/>
    <mergeCell ref="BG137:BK137"/>
    <mergeCell ref="BL137:BP137"/>
    <mergeCell ref="BQ137:BT137"/>
    <mergeCell ref="BL136:BP136"/>
    <mergeCell ref="BQ136:BT136"/>
    <mergeCell ref="BU136:BY136"/>
    <mergeCell ref="A137:C137"/>
    <mergeCell ref="D137:T137"/>
    <mergeCell ref="U137:Y137"/>
    <mergeCell ref="Z137:AD137"/>
    <mergeCell ref="AE137:AH137"/>
    <mergeCell ref="AI137:AM137"/>
    <mergeCell ref="AN137:AR137"/>
    <mergeCell ref="AI136:AM136"/>
    <mergeCell ref="AN136:AR136"/>
    <mergeCell ref="AS136:AW136"/>
    <mergeCell ref="AX136:BA136"/>
    <mergeCell ref="BB136:BF136"/>
    <mergeCell ref="BG136:BK136"/>
    <mergeCell ref="BB135:BF135"/>
    <mergeCell ref="BG135:BK135"/>
    <mergeCell ref="BL135:BP135"/>
    <mergeCell ref="BQ135:BT135"/>
    <mergeCell ref="BU135:BY135"/>
    <mergeCell ref="A136:C136"/>
    <mergeCell ref="D136:T136"/>
    <mergeCell ref="U136:Y136"/>
    <mergeCell ref="Z136:AD136"/>
    <mergeCell ref="AE136:AH136"/>
    <mergeCell ref="BU134:BY134"/>
    <mergeCell ref="A135:C135"/>
    <mergeCell ref="D135:T135"/>
    <mergeCell ref="U135:Y135"/>
    <mergeCell ref="Z135:AD135"/>
    <mergeCell ref="AE135:AH135"/>
    <mergeCell ref="AI135:AM135"/>
    <mergeCell ref="AN135:AR135"/>
    <mergeCell ref="AS135:AW135"/>
    <mergeCell ref="AX135:BA135"/>
    <mergeCell ref="AS134:AW134"/>
    <mergeCell ref="AX134:BA134"/>
    <mergeCell ref="BB134:BF134"/>
    <mergeCell ref="BG134:BK134"/>
    <mergeCell ref="BL134:BP134"/>
    <mergeCell ref="BQ134:BT134"/>
    <mergeCell ref="BL133:BP133"/>
    <mergeCell ref="BQ133:BT133"/>
    <mergeCell ref="BU133:BY133"/>
    <mergeCell ref="A134:C134"/>
    <mergeCell ref="D134:T134"/>
    <mergeCell ref="U134:Y134"/>
    <mergeCell ref="Z134:AD134"/>
    <mergeCell ref="AE134:AH134"/>
    <mergeCell ref="AI134:AM134"/>
    <mergeCell ref="AN134:AR134"/>
    <mergeCell ref="AI133:AM133"/>
    <mergeCell ref="AN133:AR133"/>
    <mergeCell ref="AS133:AW133"/>
    <mergeCell ref="AX133:BA133"/>
    <mergeCell ref="BB133:BF133"/>
    <mergeCell ref="BG133:BK133"/>
    <mergeCell ref="BB132:BF132"/>
    <mergeCell ref="BG132:BK132"/>
    <mergeCell ref="BL132:BP132"/>
    <mergeCell ref="BQ132:BT132"/>
    <mergeCell ref="BU132:BY132"/>
    <mergeCell ref="A133:C133"/>
    <mergeCell ref="D133:T133"/>
    <mergeCell ref="U133:Y133"/>
    <mergeCell ref="Z133:AD133"/>
    <mergeCell ref="AE133:AH133"/>
    <mergeCell ref="BU131:BY131"/>
    <mergeCell ref="A132:C132"/>
    <mergeCell ref="D132:T132"/>
    <mergeCell ref="U132:Y132"/>
    <mergeCell ref="Z132:AD132"/>
    <mergeCell ref="AE132:AH132"/>
    <mergeCell ref="AI132:AM132"/>
    <mergeCell ref="AN132:AR132"/>
    <mergeCell ref="AS132:AW132"/>
    <mergeCell ref="AX132:BA132"/>
    <mergeCell ref="AS131:AW131"/>
    <mergeCell ref="AX131:BA131"/>
    <mergeCell ref="BB131:BF131"/>
    <mergeCell ref="BG131:BK131"/>
    <mergeCell ref="BL131:BP131"/>
    <mergeCell ref="BQ131:BT131"/>
    <mergeCell ref="BL130:BP130"/>
    <mergeCell ref="BQ130:BT130"/>
    <mergeCell ref="BU130:BY130"/>
    <mergeCell ref="A131:C131"/>
    <mergeCell ref="D131:T131"/>
    <mergeCell ref="U131:Y131"/>
    <mergeCell ref="Z131:AD131"/>
    <mergeCell ref="AE131:AH131"/>
    <mergeCell ref="AI131:AM131"/>
    <mergeCell ref="AN131:AR131"/>
    <mergeCell ref="AI130:AM130"/>
    <mergeCell ref="AN130:AR130"/>
    <mergeCell ref="AS130:AW130"/>
    <mergeCell ref="AX130:BA130"/>
    <mergeCell ref="BB130:BF130"/>
    <mergeCell ref="BG130:BK130"/>
    <mergeCell ref="BB129:BF129"/>
    <mergeCell ref="BG129:BK129"/>
    <mergeCell ref="BL129:BP129"/>
    <mergeCell ref="BQ129:BT129"/>
    <mergeCell ref="BU129:BY129"/>
    <mergeCell ref="A130:C130"/>
    <mergeCell ref="D130:T130"/>
    <mergeCell ref="U130:Y130"/>
    <mergeCell ref="Z130:AD130"/>
    <mergeCell ref="AE130:AH130"/>
    <mergeCell ref="BU128:BY128"/>
    <mergeCell ref="A129:C129"/>
    <mergeCell ref="D129:T129"/>
    <mergeCell ref="U129:Y129"/>
    <mergeCell ref="Z129:AD129"/>
    <mergeCell ref="AE129:AH129"/>
    <mergeCell ref="AI129:AM129"/>
    <mergeCell ref="AN129:AR129"/>
    <mergeCell ref="AS129:AW129"/>
    <mergeCell ref="AX129:BA129"/>
    <mergeCell ref="AS128:AW128"/>
    <mergeCell ref="AX128:BA128"/>
    <mergeCell ref="BB128:BF128"/>
    <mergeCell ref="BG128:BK128"/>
    <mergeCell ref="BL128:BP128"/>
    <mergeCell ref="BQ128:BT128"/>
    <mergeCell ref="BL127:BP127"/>
    <mergeCell ref="BQ127:BT127"/>
    <mergeCell ref="BU127:BY127"/>
    <mergeCell ref="A128:C128"/>
    <mergeCell ref="D128:T128"/>
    <mergeCell ref="U128:Y128"/>
    <mergeCell ref="Z128:AD128"/>
    <mergeCell ref="AE128:AH128"/>
    <mergeCell ref="AI128:AM128"/>
    <mergeCell ref="AN128:AR128"/>
    <mergeCell ref="AI127:AM127"/>
    <mergeCell ref="AN127:AR127"/>
    <mergeCell ref="AS127:AW127"/>
    <mergeCell ref="AX127:BA127"/>
    <mergeCell ref="BB127:BF127"/>
    <mergeCell ref="BG127:BK127"/>
    <mergeCell ref="BB126:BF126"/>
    <mergeCell ref="BG126:BK126"/>
    <mergeCell ref="BL126:BP126"/>
    <mergeCell ref="BQ126:BT126"/>
    <mergeCell ref="BU126:BY126"/>
    <mergeCell ref="A127:C127"/>
    <mergeCell ref="D127:T127"/>
    <mergeCell ref="U127:Y127"/>
    <mergeCell ref="Z127:AD127"/>
    <mergeCell ref="AE127:AH127"/>
    <mergeCell ref="BU125:BY125"/>
    <mergeCell ref="A126:C126"/>
    <mergeCell ref="D126:T126"/>
    <mergeCell ref="U126:Y126"/>
    <mergeCell ref="Z126:AD126"/>
    <mergeCell ref="AE126:AH126"/>
    <mergeCell ref="AI126:AM126"/>
    <mergeCell ref="AN126:AR126"/>
    <mergeCell ref="AS126:AW126"/>
    <mergeCell ref="AX126:BA126"/>
    <mergeCell ref="AS125:AW125"/>
    <mergeCell ref="AX125:BA125"/>
    <mergeCell ref="BB125:BF125"/>
    <mergeCell ref="BG125:BK125"/>
    <mergeCell ref="BL125:BP125"/>
    <mergeCell ref="BQ125:BT125"/>
    <mergeCell ref="BL124:BP124"/>
    <mergeCell ref="BQ124:BT124"/>
    <mergeCell ref="BU124:BY124"/>
    <mergeCell ref="A125:C125"/>
    <mergeCell ref="D125:T125"/>
    <mergeCell ref="U125:Y125"/>
    <mergeCell ref="Z125:AD125"/>
    <mergeCell ref="AE125:AH125"/>
    <mergeCell ref="AI125:AM125"/>
    <mergeCell ref="AN125:AR125"/>
    <mergeCell ref="AI124:AM124"/>
    <mergeCell ref="AN124:AR124"/>
    <mergeCell ref="AS124:AW124"/>
    <mergeCell ref="AX124:BA124"/>
    <mergeCell ref="BB124:BF124"/>
    <mergeCell ref="BG124:BK124"/>
    <mergeCell ref="BB123:BF123"/>
    <mergeCell ref="BG123:BK123"/>
    <mergeCell ref="BL123:BP123"/>
    <mergeCell ref="BQ123:BT123"/>
    <mergeCell ref="BU123:BY123"/>
    <mergeCell ref="A124:C124"/>
    <mergeCell ref="D124:T124"/>
    <mergeCell ref="U124:Y124"/>
    <mergeCell ref="Z124:AD124"/>
    <mergeCell ref="AE124:AH124"/>
    <mergeCell ref="BU122:BY122"/>
    <mergeCell ref="A123:C123"/>
    <mergeCell ref="D123:T123"/>
    <mergeCell ref="U123:Y123"/>
    <mergeCell ref="Z123:AD123"/>
    <mergeCell ref="AE123:AH123"/>
    <mergeCell ref="AI123:AM123"/>
    <mergeCell ref="AN123:AR123"/>
    <mergeCell ref="AS123:AW123"/>
    <mergeCell ref="AX123:BA123"/>
    <mergeCell ref="AS122:AW122"/>
    <mergeCell ref="AX122:BA122"/>
    <mergeCell ref="BB122:BF122"/>
    <mergeCell ref="BG122:BK122"/>
    <mergeCell ref="BL122:BP122"/>
    <mergeCell ref="BQ122:BT122"/>
    <mergeCell ref="BL121:BP121"/>
    <mergeCell ref="BQ121:BT121"/>
    <mergeCell ref="BU121:BY121"/>
    <mergeCell ref="A122:C122"/>
    <mergeCell ref="D122:T122"/>
    <mergeCell ref="U122:Y122"/>
    <mergeCell ref="Z122:AD122"/>
    <mergeCell ref="AE122:AH122"/>
    <mergeCell ref="AI122:AM122"/>
    <mergeCell ref="AN122:AR122"/>
    <mergeCell ref="AI121:AM121"/>
    <mergeCell ref="AN121:AR121"/>
    <mergeCell ref="AS121:AW121"/>
    <mergeCell ref="AX121:BA121"/>
    <mergeCell ref="BB121:BF121"/>
    <mergeCell ref="BG121:BK121"/>
    <mergeCell ref="BB120:BF120"/>
    <mergeCell ref="BG120:BK120"/>
    <mergeCell ref="BL120:BP120"/>
    <mergeCell ref="BQ120:BT120"/>
    <mergeCell ref="BU120:BY120"/>
    <mergeCell ref="A121:C121"/>
    <mergeCell ref="D121:T121"/>
    <mergeCell ref="U121:Y121"/>
    <mergeCell ref="Z121:AD121"/>
    <mergeCell ref="AE121:AH121"/>
    <mergeCell ref="BU119:BY119"/>
    <mergeCell ref="A120:C120"/>
    <mergeCell ref="D120:T120"/>
    <mergeCell ref="U120:Y120"/>
    <mergeCell ref="Z120:AD120"/>
    <mergeCell ref="AE120:AH120"/>
    <mergeCell ref="AI120:AM120"/>
    <mergeCell ref="AN120:AR120"/>
    <mergeCell ref="AS120:AW120"/>
    <mergeCell ref="AX120:BA120"/>
    <mergeCell ref="AS119:AW119"/>
    <mergeCell ref="AX119:BA119"/>
    <mergeCell ref="BB119:BF119"/>
    <mergeCell ref="BG119:BK119"/>
    <mergeCell ref="BL119:BP119"/>
    <mergeCell ref="BQ119:BT119"/>
    <mergeCell ref="BL118:BP118"/>
    <mergeCell ref="BQ118:BT118"/>
    <mergeCell ref="BU118:BY118"/>
    <mergeCell ref="A119:C119"/>
    <mergeCell ref="D119:T119"/>
    <mergeCell ref="U119:Y119"/>
    <mergeCell ref="Z119:AD119"/>
    <mergeCell ref="AE119:AH119"/>
    <mergeCell ref="AI119:AM119"/>
    <mergeCell ref="AN119:AR119"/>
    <mergeCell ref="AI118:AM118"/>
    <mergeCell ref="AN118:AR118"/>
    <mergeCell ref="AS118:AW118"/>
    <mergeCell ref="AX118:BA118"/>
    <mergeCell ref="BB118:BF118"/>
    <mergeCell ref="BG118:BK118"/>
    <mergeCell ref="BB117:BF117"/>
    <mergeCell ref="BG117:BK117"/>
    <mergeCell ref="BL117:BP117"/>
    <mergeCell ref="BQ117:BT117"/>
    <mergeCell ref="BU117:BY117"/>
    <mergeCell ref="A118:C118"/>
    <mergeCell ref="D118:T118"/>
    <mergeCell ref="U118:Y118"/>
    <mergeCell ref="Z118:AD118"/>
    <mergeCell ref="AE118:AH118"/>
    <mergeCell ref="BU116:BY116"/>
    <mergeCell ref="A117:C117"/>
    <mergeCell ref="D117:T117"/>
    <mergeCell ref="U117:Y117"/>
    <mergeCell ref="Z117:AD117"/>
    <mergeCell ref="AE117:AH117"/>
    <mergeCell ref="AI117:AM117"/>
    <mergeCell ref="AN117:AR117"/>
    <mergeCell ref="AS117:AW117"/>
    <mergeCell ref="AX117:BA117"/>
    <mergeCell ref="AS116:AW116"/>
    <mergeCell ref="AX116:BA116"/>
    <mergeCell ref="BB116:BF116"/>
    <mergeCell ref="BG116:BK116"/>
    <mergeCell ref="BL116:BP116"/>
    <mergeCell ref="BQ116:BT116"/>
    <mergeCell ref="BL115:BP115"/>
    <mergeCell ref="BQ115:BT115"/>
    <mergeCell ref="BU115:BY115"/>
    <mergeCell ref="A116:C116"/>
    <mergeCell ref="D116:T116"/>
    <mergeCell ref="U116:Y116"/>
    <mergeCell ref="Z116:AD116"/>
    <mergeCell ref="AE116:AH116"/>
    <mergeCell ref="AI116:AM116"/>
    <mergeCell ref="AN116:AR116"/>
    <mergeCell ref="AI115:AM115"/>
    <mergeCell ref="AN115:AR115"/>
    <mergeCell ref="AS115:AW115"/>
    <mergeCell ref="AX115:BA115"/>
    <mergeCell ref="BB115:BF115"/>
    <mergeCell ref="BG115:BK115"/>
    <mergeCell ref="BB114:BF114"/>
    <mergeCell ref="BG114:BK114"/>
    <mergeCell ref="BL114:BP114"/>
    <mergeCell ref="BQ114:BT114"/>
    <mergeCell ref="BU114:BY114"/>
    <mergeCell ref="A115:C115"/>
    <mergeCell ref="D115:T115"/>
    <mergeCell ref="U115:Y115"/>
    <mergeCell ref="Z115:AD115"/>
    <mergeCell ref="AE115:AH115"/>
    <mergeCell ref="BU113:BY113"/>
    <mergeCell ref="A114:C114"/>
    <mergeCell ref="D114:T114"/>
    <mergeCell ref="U114:Y114"/>
    <mergeCell ref="Z114:AD114"/>
    <mergeCell ref="AE114:AH114"/>
    <mergeCell ref="AI114:AM114"/>
    <mergeCell ref="AN114:AR114"/>
    <mergeCell ref="AS114:AW114"/>
    <mergeCell ref="AX114:BA114"/>
    <mergeCell ref="AS113:AW113"/>
    <mergeCell ref="AX113:BA113"/>
    <mergeCell ref="BB113:BF113"/>
    <mergeCell ref="BG113:BK113"/>
    <mergeCell ref="BL113:BP113"/>
    <mergeCell ref="BQ113:BT113"/>
    <mergeCell ref="BL112:BP112"/>
    <mergeCell ref="BQ112:BT112"/>
    <mergeCell ref="BU112:BY112"/>
    <mergeCell ref="A113:C113"/>
    <mergeCell ref="D113:T113"/>
    <mergeCell ref="U113:Y113"/>
    <mergeCell ref="Z113:AD113"/>
    <mergeCell ref="AE113:AH113"/>
    <mergeCell ref="AI113:AM113"/>
    <mergeCell ref="AN113:AR113"/>
    <mergeCell ref="AI112:AM112"/>
    <mergeCell ref="AN112:AR112"/>
    <mergeCell ref="AS112:AW112"/>
    <mergeCell ref="AX112:BA112"/>
    <mergeCell ref="BB112:BF112"/>
    <mergeCell ref="BG112:BK112"/>
    <mergeCell ref="BB111:BF111"/>
    <mergeCell ref="BG111:BK111"/>
    <mergeCell ref="BL111:BP111"/>
    <mergeCell ref="BQ111:BT111"/>
    <mergeCell ref="BU111:BY111"/>
    <mergeCell ref="A112:C112"/>
    <mergeCell ref="D112:T112"/>
    <mergeCell ref="U112:Y112"/>
    <mergeCell ref="Z112:AD112"/>
    <mergeCell ref="AE112:AH112"/>
    <mergeCell ref="BU110:BY110"/>
    <mergeCell ref="A111:C111"/>
    <mergeCell ref="D111:T111"/>
    <mergeCell ref="U111:Y111"/>
    <mergeCell ref="Z111:AD111"/>
    <mergeCell ref="AE111:AH111"/>
    <mergeCell ref="AI111:AM111"/>
    <mergeCell ref="AN111:AR111"/>
    <mergeCell ref="AS111:AW111"/>
    <mergeCell ref="AX111:BA111"/>
    <mergeCell ref="AS110:AW110"/>
    <mergeCell ref="AX110:BA110"/>
    <mergeCell ref="BB110:BF110"/>
    <mergeCell ref="BG110:BK110"/>
    <mergeCell ref="BL110:BP110"/>
    <mergeCell ref="BQ110:BT110"/>
    <mergeCell ref="BL109:BP109"/>
    <mergeCell ref="BQ109:BT109"/>
    <mergeCell ref="BU109:BY109"/>
    <mergeCell ref="A110:C110"/>
    <mergeCell ref="D110:T110"/>
    <mergeCell ref="U110:Y110"/>
    <mergeCell ref="Z110:AD110"/>
    <mergeCell ref="AE110:AH110"/>
    <mergeCell ref="AI110:AM110"/>
    <mergeCell ref="AN110:AR110"/>
    <mergeCell ref="AI109:AM109"/>
    <mergeCell ref="AN109:AR109"/>
    <mergeCell ref="AS109:AW109"/>
    <mergeCell ref="AX109:BA109"/>
    <mergeCell ref="BB109:BF109"/>
    <mergeCell ref="BG109:BK109"/>
    <mergeCell ref="BB108:BF108"/>
    <mergeCell ref="BG108:BK108"/>
    <mergeCell ref="BL108:BP108"/>
    <mergeCell ref="BQ108:BT108"/>
    <mergeCell ref="BU108:BY108"/>
    <mergeCell ref="A109:C109"/>
    <mergeCell ref="D109:T109"/>
    <mergeCell ref="U109:Y109"/>
    <mergeCell ref="Z109:AD109"/>
    <mergeCell ref="AE109:AH109"/>
    <mergeCell ref="BU107:BY107"/>
    <mergeCell ref="A108:C108"/>
    <mergeCell ref="D108:T108"/>
    <mergeCell ref="U108:Y108"/>
    <mergeCell ref="Z108:AD108"/>
    <mergeCell ref="AE108:AH108"/>
    <mergeCell ref="AI108:AM108"/>
    <mergeCell ref="AN108:AR108"/>
    <mergeCell ref="AS108:AW108"/>
    <mergeCell ref="AX108:BA108"/>
    <mergeCell ref="AS107:AW107"/>
    <mergeCell ref="AX107:BA107"/>
    <mergeCell ref="BB107:BF107"/>
    <mergeCell ref="BG107:BK107"/>
    <mergeCell ref="BL107:BP107"/>
    <mergeCell ref="BQ107:BT107"/>
    <mergeCell ref="BL106:BP106"/>
    <mergeCell ref="BQ106:BT106"/>
    <mergeCell ref="BU106:BY106"/>
    <mergeCell ref="A107:C107"/>
    <mergeCell ref="D107:T107"/>
    <mergeCell ref="U107:Y107"/>
    <mergeCell ref="Z107:AD107"/>
    <mergeCell ref="AE107:AH107"/>
    <mergeCell ref="AI107:AM107"/>
    <mergeCell ref="AN107:AR107"/>
    <mergeCell ref="AI106:AM106"/>
    <mergeCell ref="AN106:AR106"/>
    <mergeCell ref="AS106:AW106"/>
    <mergeCell ref="AX106:BA106"/>
    <mergeCell ref="BB106:BF106"/>
    <mergeCell ref="BG106:BK106"/>
    <mergeCell ref="BB105:BF105"/>
    <mergeCell ref="BG105:BK105"/>
    <mergeCell ref="BL105:BP105"/>
    <mergeCell ref="BQ105:BT105"/>
    <mergeCell ref="BU105:BY105"/>
    <mergeCell ref="A106:C106"/>
    <mergeCell ref="D106:T106"/>
    <mergeCell ref="U106:Y106"/>
    <mergeCell ref="Z106:AD106"/>
    <mergeCell ref="AE106:AH106"/>
    <mergeCell ref="A105:C105"/>
    <mergeCell ref="D105:T105"/>
    <mergeCell ref="U105:Y105"/>
    <mergeCell ref="Z105:AD105"/>
    <mergeCell ref="AE105:AH105"/>
    <mergeCell ref="AI105:AM105"/>
    <mergeCell ref="AN105:AR105"/>
    <mergeCell ref="AS105:AW105"/>
    <mergeCell ref="AX105:BA105"/>
    <mergeCell ref="BG86:BK86"/>
    <mergeCell ref="BG85:BK85"/>
    <mergeCell ref="A86:D86"/>
    <mergeCell ref="E86:W86"/>
    <mergeCell ref="X86:AB86"/>
    <mergeCell ref="AC86:AG86"/>
    <mergeCell ref="AH86:AL86"/>
    <mergeCell ref="AM86:AQ86"/>
    <mergeCell ref="AR86:AV86"/>
    <mergeCell ref="AW86:BA86"/>
    <mergeCell ref="BB86:BF86"/>
    <mergeCell ref="BG84:BK84"/>
    <mergeCell ref="A85:D85"/>
    <mergeCell ref="E85:W85"/>
    <mergeCell ref="X85:AB85"/>
    <mergeCell ref="AC85:AG85"/>
    <mergeCell ref="AH85:AL85"/>
    <mergeCell ref="AM85:AQ85"/>
    <mergeCell ref="AR85:AV85"/>
    <mergeCell ref="AW85:BA85"/>
    <mergeCell ref="BB85:BF85"/>
    <mergeCell ref="BG83:BK83"/>
    <mergeCell ref="A84:D84"/>
    <mergeCell ref="E84:W84"/>
    <mergeCell ref="X84:AB84"/>
    <mergeCell ref="AC84:AG84"/>
    <mergeCell ref="AH84:AL84"/>
    <mergeCell ref="AM84:AQ84"/>
    <mergeCell ref="AR84:AV84"/>
    <mergeCell ref="AW84:BA84"/>
    <mergeCell ref="BB84:BF84"/>
    <mergeCell ref="BG82:BK82"/>
    <mergeCell ref="A83:D83"/>
    <mergeCell ref="E83:W83"/>
    <mergeCell ref="X83:AB83"/>
    <mergeCell ref="AC83:AG83"/>
    <mergeCell ref="AH83:AL83"/>
    <mergeCell ref="AM83:AQ83"/>
    <mergeCell ref="AR83:AV83"/>
    <mergeCell ref="AW83:BA83"/>
    <mergeCell ref="BB83:BF83"/>
    <mergeCell ref="BG81:BK81"/>
    <mergeCell ref="A82:D82"/>
    <mergeCell ref="E82:W82"/>
    <mergeCell ref="X82:AB82"/>
    <mergeCell ref="AC82:AG82"/>
    <mergeCell ref="AH82:AL82"/>
    <mergeCell ref="AM82:AQ82"/>
    <mergeCell ref="AR82:AV82"/>
    <mergeCell ref="AW82:BA82"/>
    <mergeCell ref="BB82:BF82"/>
    <mergeCell ref="BG80:BK80"/>
    <mergeCell ref="A81:D81"/>
    <mergeCell ref="E81:W81"/>
    <mergeCell ref="X81:AB81"/>
    <mergeCell ref="AC81:AG81"/>
    <mergeCell ref="AH81:AL81"/>
    <mergeCell ref="AM81:AQ81"/>
    <mergeCell ref="AR81:AV81"/>
    <mergeCell ref="AW81:BA81"/>
    <mergeCell ref="BB81:BF81"/>
    <mergeCell ref="BG79:BK79"/>
    <mergeCell ref="A80:D80"/>
    <mergeCell ref="E80:W80"/>
    <mergeCell ref="X80:AB80"/>
    <mergeCell ref="AC80:AG80"/>
    <mergeCell ref="AH80:AL80"/>
    <mergeCell ref="AM80:AQ80"/>
    <mergeCell ref="AR80:AV80"/>
    <mergeCell ref="AW80:BA80"/>
    <mergeCell ref="BB80:BF80"/>
    <mergeCell ref="A79:D79"/>
    <mergeCell ref="E79:W79"/>
    <mergeCell ref="X79:AB79"/>
    <mergeCell ref="AC79:AG79"/>
    <mergeCell ref="AH79:AL79"/>
    <mergeCell ref="BL62:BP62"/>
    <mergeCell ref="BQ62:BT62"/>
    <mergeCell ref="BU62:BY62"/>
    <mergeCell ref="AI62:AM62"/>
    <mergeCell ref="AN62:AR62"/>
    <mergeCell ref="AS62:AW62"/>
    <mergeCell ref="AX62:BA62"/>
    <mergeCell ref="BB62:BF62"/>
    <mergeCell ref="BG62:BK62"/>
    <mergeCell ref="BB61:BF61"/>
    <mergeCell ref="BG61:BK61"/>
    <mergeCell ref="BL61:BP61"/>
    <mergeCell ref="BQ61:BT61"/>
    <mergeCell ref="BU61:BY61"/>
    <mergeCell ref="A62:D62"/>
    <mergeCell ref="E62:T62"/>
    <mergeCell ref="U62:Y62"/>
    <mergeCell ref="Z62:AD62"/>
    <mergeCell ref="AE62:AH62"/>
    <mergeCell ref="BU60:BY60"/>
    <mergeCell ref="A61:D61"/>
    <mergeCell ref="E61:T61"/>
    <mergeCell ref="U61:Y61"/>
    <mergeCell ref="Z61:AD61"/>
    <mergeCell ref="AE61:AH61"/>
    <mergeCell ref="AI61:AM61"/>
    <mergeCell ref="AN61:AR61"/>
    <mergeCell ref="AS61:AW61"/>
    <mergeCell ref="AX61:BA61"/>
    <mergeCell ref="AS60:AW60"/>
    <mergeCell ref="AX60:BA60"/>
    <mergeCell ref="BB60:BF60"/>
    <mergeCell ref="BG60:BK60"/>
    <mergeCell ref="BL60:BP60"/>
    <mergeCell ref="BQ60:BT60"/>
    <mergeCell ref="BL59:BP59"/>
    <mergeCell ref="BQ59:BT59"/>
    <mergeCell ref="BU59:BY59"/>
    <mergeCell ref="A60:D60"/>
    <mergeCell ref="E60:T60"/>
    <mergeCell ref="U60:Y60"/>
    <mergeCell ref="Z60:AD60"/>
    <mergeCell ref="AE60:AH60"/>
    <mergeCell ref="AI60:AM60"/>
    <mergeCell ref="AN60:AR60"/>
    <mergeCell ref="AI59:AM59"/>
    <mergeCell ref="AN59:AR59"/>
    <mergeCell ref="AS59:AW59"/>
    <mergeCell ref="AX59:BA59"/>
    <mergeCell ref="BB59:BF59"/>
    <mergeCell ref="BG59:BK59"/>
    <mergeCell ref="BB58:BF58"/>
    <mergeCell ref="BG58:BK58"/>
    <mergeCell ref="BL58:BP58"/>
    <mergeCell ref="BQ58:BT58"/>
    <mergeCell ref="BU58:BY58"/>
    <mergeCell ref="A59:D59"/>
    <mergeCell ref="E59:T59"/>
    <mergeCell ref="U59:Y59"/>
    <mergeCell ref="Z59:AD59"/>
    <mergeCell ref="AE59:AH59"/>
    <mergeCell ref="BU57:BY57"/>
    <mergeCell ref="A58:D58"/>
    <mergeCell ref="E58:T58"/>
    <mergeCell ref="U58:Y58"/>
    <mergeCell ref="Z58:AD58"/>
    <mergeCell ref="AE58:AH58"/>
    <mergeCell ref="AI58:AM58"/>
    <mergeCell ref="AN58:AR58"/>
    <mergeCell ref="AS58:AW58"/>
    <mergeCell ref="AX58:BA58"/>
    <mergeCell ref="AS57:AW57"/>
    <mergeCell ref="AX57:BA57"/>
    <mergeCell ref="BB57:BF57"/>
    <mergeCell ref="BG57:BK57"/>
    <mergeCell ref="BL57:BP57"/>
    <mergeCell ref="BQ57:BT57"/>
    <mergeCell ref="BL56:BP56"/>
    <mergeCell ref="BQ56:BT56"/>
    <mergeCell ref="BU56:BY56"/>
    <mergeCell ref="A57:D57"/>
    <mergeCell ref="E57:T57"/>
    <mergeCell ref="U57:Y57"/>
    <mergeCell ref="Z57:AD57"/>
    <mergeCell ref="AE57:AH57"/>
    <mergeCell ref="AI57:AM57"/>
    <mergeCell ref="AN57:AR57"/>
    <mergeCell ref="AI56:AM56"/>
    <mergeCell ref="AN56:AR56"/>
    <mergeCell ref="AS56:AW56"/>
    <mergeCell ref="AX56:BA56"/>
    <mergeCell ref="BB56:BF56"/>
    <mergeCell ref="BG56:BK56"/>
    <mergeCell ref="BB55:BF55"/>
    <mergeCell ref="BG55:BK55"/>
    <mergeCell ref="BL55:BP55"/>
    <mergeCell ref="BQ55:BT55"/>
    <mergeCell ref="BU55:BY55"/>
    <mergeCell ref="A56:D56"/>
    <mergeCell ref="E56:T56"/>
    <mergeCell ref="U56:Y56"/>
    <mergeCell ref="Z56:AD56"/>
    <mergeCell ref="AE56:AH56"/>
    <mergeCell ref="A55:D55"/>
    <mergeCell ref="E55:T55"/>
    <mergeCell ref="U55:Y55"/>
    <mergeCell ref="Z55:AD55"/>
    <mergeCell ref="AE55:AH55"/>
    <mergeCell ref="AI55:AM55"/>
    <mergeCell ref="AN55:AR55"/>
    <mergeCell ref="AS55:AW55"/>
    <mergeCell ref="AX55:BA55"/>
    <mergeCell ref="BG44:BK44"/>
    <mergeCell ref="BG43:BK43"/>
    <mergeCell ref="A44:D44"/>
    <mergeCell ref="E44:W44"/>
    <mergeCell ref="X44:AB44"/>
    <mergeCell ref="AC44:AG44"/>
    <mergeCell ref="AH44:AL44"/>
    <mergeCell ref="AM44:AQ44"/>
    <mergeCell ref="AR44:AV44"/>
    <mergeCell ref="AW44:BA44"/>
    <mergeCell ref="BB44:BF44"/>
    <mergeCell ref="BG42:BK42"/>
    <mergeCell ref="A43:D43"/>
    <mergeCell ref="E43:W43"/>
    <mergeCell ref="X43:AB43"/>
    <mergeCell ref="AC43:AG43"/>
    <mergeCell ref="AH43:AL43"/>
    <mergeCell ref="AM43:AQ43"/>
    <mergeCell ref="AR43:AV43"/>
    <mergeCell ref="AW43:BA43"/>
    <mergeCell ref="BB43:BF43"/>
    <mergeCell ref="A42:D42"/>
    <mergeCell ref="E42:W42"/>
    <mergeCell ref="X42:AB42"/>
    <mergeCell ref="AC42:AG42"/>
    <mergeCell ref="AH42:AL42"/>
    <mergeCell ref="BU33:BY33"/>
    <mergeCell ref="AS33:AW33"/>
    <mergeCell ref="AX33:BA33"/>
    <mergeCell ref="BB33:BF33"/>
    <mergeCell ref="BG33:BK33"/>
    <mergeCell ref="BL33:BP33"/>
    <mergeCell ref="BQ33:BT33"/>
    <mergeCell ref="BL32:BP32"/>
    <mergeCell ref="BQ32:BT32"/>
    <mergeCell ref="BU32:BY32"/>
    <mergeCell ref="A33:D33"/>
    <mergeCell ref="E33:T33"/>
    <mergeCell ref="U33:Y33"/>
    <mergeCell ref="Z33:AD33"/>
    <mergeCell ref="AE33:AH33"/>
    <mergeCell ref="AI33:AM33"/>
    <mergeCell ref="AN33:AR33"/>
    <mergeCell ref="AI32:AM32"/>
    <mergeCell ref="AN32:AR32"/>
    <mergeCell ref="AS32:AW32"/>
    <mergeCell ref="AX32:BA32"/>
    <mergeCell ref="BB32:BF32"/>
    <mergeCell ref="BG32:BK32"/>
    <mergeCell ref="BB31:BF31"/>
    <mergeCell ref="BG31:BK31"/>
    <mergeCell ref="BL31:BP31"/>
    <mergeCell ref="BQ31:BT31"/>
    <mergeCell ref="BU31:BY31"/>
    <mergeCell ref="A32:D32"/>
    <mergeCell ref="E32:T32"/>
    <mergeCell ref="U32:Y32"/>
    <mergeCell ref="Z32:AD32"/>
    <mergeCell ref="AE32:AH32"/>
    <mergeCell ref="A306:AA306"/>
    <mergeCell ref="AH306:AP306"/>
    <mergeCell ref="AU306:BF306"/>
    <mergeCell ref="AH307:AP307"/>
    <mergeCell ref="AU307:BF307"/>
    <mergeCell ref="A31:D31"/>
    <mergeCell ref="E31:T31"/>
    <mergeCell ref="U31:Y31"/>
    <mergeCell ref="Z31:AD31"/>
    <mergeCell ref="AE31:AH31"/>
    <mergeCell ref="A299:BL299"/>
    <mergeCell ref="A303:AA303"/>
    <mergeCell ref="AH303:AP303"/>
    <mergeCell ref="AU303:BF303"/>
    <mergeCell ref="AH304:AP304"/>
    <mergeCell ref="AU304:BF304"/>
    <mergeCell ref="AW291:BD291"/>
    <mergeCell ref="BE291:BL291"/>
    <mergeCell ref="A293:BL293"/>
    <mergeCell ref="A294:BL294"/>
    <mergeCell ref="A297:BL297"/>
    <mergeCell ref="A298:BL298"/>
    <mergeCell ref="AQ290:AV290"/>
    <mergeCell ref="AW290:BD290"/>
    <mergeCell ref="BE290:BL290"/>
    <mergeCell ref="A291:F291"/>
    <mergeCell ref="G291:S291"/>
    <mergeCell ref="T291:Y291"/>
    <mergeCell ref="Z291:AD291"/>
    <mergeCell ref="AE291:AJ291"/>
    <mergeCell ref="AK291:AP291"/>
    <mergeCell ref="AQ291:AV291"/>
    <mergeCell ref="A290:F290"/>
    <mergeCell ref="G290:S290"/>
    <mergeCell ref="T290:Y290"/>
    <mergeCell ref="Z290:AD290"/>
    <mergeCell ref="AE290:AJ290"/>
    <mergeCell ref="AK290:AP290"/>
    <mergeCell ref="BE287:BL288"/>
    <mergeCell ref="A289:F289"/>
    <mergeCell ref="G289:S289"/>
    <mergeCell ref="T289:Y289"/>
    <mergeCell ref="Z289:AD289"/>
    <mergeCell ref="AE289:AJ289"/>
    <mergeCell ref="AK289:AP289"/>
    <mergeCell ref="AQ289:AV289"/>
    <mergeCell ref="AW289:BD289"/>
    <mergeCell ref="BE289:BL289"/>
    <mergeCell ref="A285:BL285"/>
    <mergeCell ref="A286:BL286"/>
    <mergeCell ref="A287:F288"/>
    <mergeCell ref="G287:S288"/>
    <mergeCell ref="T287:Y288"/>
    <mergeCell ref="Z287:AD288"/>
    <mergeCell ref="AE287:AJ288"/>
    <mergeCell ref="AK287:AP288"/>
    <mergeCell ref="AQ287:AV288"/>
    <mergeCell ref="AW287:BD288"/>
    <mergeCell ref="AJ283:AN283"/>
    <mergeCell ref="AO283:AS283"/>
    <mergeCell ref="AT283:AW283"/>
    <mergeCell ref="AX283:BB283"/>
    <mergeCell ref="BC283:BG283"/>
    <mergeCell ref="BH283:BL283"/>
    <mergeCell ref="A283:F283"/>
    <mergeCell ref="G283:P283"/>
    <mergeCell ref="Q283:U283"/>
    <mergeCell ref="V283:Y283"/>
    <mergeCell ref="Z283:AD283"/>
    <mergeCell ref="AE283:AI283"/>
    <mergeCell ref="AJ282:AN282"/>
    <mergeCell ref="AO282:AS282"/>
    <mergeCell ref="AT282:AW282"/>
    <mergeCell ref="AX282:BB282"/>
    <mergeCell ref="BC282:BG282"/>
    <mergeCell ref="BH282:BL282"/>
    <mergeCell ref="A282:F282"/>
    <mergeCell ref="G282:P282"/>
    <mergeCell ref="Q282:U282"/>
    <mergeCell ref="V282:Y282"/>
    <mergeCell ref="Z282:AD282"/>
    <mergeCell ref="AE282:AI282"/>
    <mergeCell ref="AJ281:AN281"/>
    <mergeCell ref="AO281:AS281"/>
    <mergeCell ref="AT281:AW281"/>
    <mergeCell ref="AX281:BB281"/>
    <mergeCell ref="BC281:BG281"/>
    <mergeCell ref="BH281:BL281"/>
    <mergeCell ref="A281:F281"/>
    <mergeCell ref="G281:P281"/>
    <mergeCell ref="Q281:U281"/>
    <mergeCell ref="V281:Y281"/>
    <mergeCell ref="Z281:AD281"/>
    <mergeCell ref="AE281:AI281"/>
    <mergeCell ref="AT279:AW280"/>
    <mergeCell ref="AX279:BG279"/>
    <mergeCell ref="BH279:BL280"/>
    <mergeCell ref="Z280:AD280"/>
    <mergeCell ref="AE280:AI280"/>
    <mergeCell ref="AX280:BB280"/>
    <mergeCell ref="BC280:BG280"/>
    <mergeCell ref="A277:BL277"/>
    <mergeCell ref="A278:F280"/>
    <mergeCell ref="G278:P280"/>
    <mergeCell ref="Q278:AN278"/>
    <mergeCell ref="AO278:BL278"/>
    <mergeCell ref="Q279:U280"/>
    <mergeCell ref="V279:Y280"/>
    <mergeCell ref="Z279:AI279"/>
    <mergeCell ref="AJ279:AN280"/>
    <mergeCell ref="AO279:AS280"/>
    <mergeCell ref="AK274:AP274"/>
    <mergeCell ref="AQ274:AV274"/>
    <mergeCell ref="AW274:BA274"/>
    <mergeCell ref="BB274:BF274"/>
    <mergeCell ref="BG274:BL274"/>
    <mergeCell ref="A276:BL276"/>
    <mergeCell ref="AK273:AP273"/>
    <mergeCell ref="AQ273:AV273"/>
    <mergeCell ref="AW273:BA273"/>
    <mergeCell ref="BB273:BF273"/>
    <mergeCell ref="BG273:BL273"/>
    <mergeCell ref="A274:F274"/>
    <mergeCell ref="G274:S274"/>
    <mergeCell ref="T274:Y274"/>
    <mergeCell ref="Z274:AD274"/>
    <mergeCell ref="AE274:AJ274"/>
    <mergeCell ref="AK272:AP272"/>
    <mergeCell ref="AQ272:AV272"/>
    <mergeCell ref="AW272:BA272"/>
    <mergeCell ref="BB272:BF272"/>
    <mergeCell ref="BG272:BL272"/>
    <mergeCell ref="A273:F273"/>
    <mergeCell ref="G273:S273"/>
    <mergeCell ref="T273:Y273"/>
    <mergeCell ref="Z273:AD273"/>
    <mergeCell ref="AE273:AJ273"/>
    <mergeCell ref="AQ270:AV271"/>
    <mergeCell ref="AW270:BF270"/>
    <mergeCell ref="BG270:BL271"/>
    <mergeCell ref="AW271:BA271"/>
    <mergeCell ref="BB271:BF271"/>
    <mergeCell ref="A272:F272"/>
    <mergeCell ref="G272:S272"/>
    <mergeCell ref="T272:Y272"/>
    <mergeCell ref="Z272:AD272"/>
    <mergeCell ref="AE272:AJ272"/>
    <mergeCell ref="A270:F271"/>
    <mergeCell ref="G270:S271"/>
    <mergeCell ref="T270:Y271"/>
    <mergeCell ref="Z270:AD271"/>
    <mergeCell ref="AE270:AJ271"/>
    <mergeCell ref="AK270:AP271"/>
    <mergeCell ref="BP260:BS260"/>
    <mergeCell ref="A263:BL263"/>
    <mergeCell ref="A264:BL264"/>
    <mergeCell ref="A267:BL267"/>
    <mergeCell ref="A268:BL268"/>
    <mergeCell ref="A269:BL269"/>
    <mergeCell ref="AO260:AR260"/>
    <mergeCell ref="AS260:AW260"/>
    <mergeCell ref="AX260:BA260"/>
    <mergeCell ref="BB260:BF260"/>
    <mergeCell ref="BG260:BJ260"/>
    <mergeCell ref="BK260:BO260"/>
    <mergeCell ref="BB259:BF259"/>
    <mergeCell ref="BG259:BJ259"/>
    <mergeCell ref="BK259:BO259"/>
    <mergeCell ref="BP259:BS259"/>
    <mergeCell ref="A260:M260"/>
    <mergeCell ref="N260:U260"/>
    <mergeCell ref="V260:Z260"/>
    <mergeCell ref="AA260:AE260"/>
    <mergeCell ref="AF260:AI260"/>
    <mergeCell ref="AJ260:AN260"/>
    <mergeCell ref="BP258:BS258"/>
    <mergeCell ref="A259:M259"/>
    <mergeCell ref="N259:U259"/>
    <mergeCell ref="V259:Z259"/>
    <mergeCell ref="AA259:AE259"/>
    <mergeCell ref="AF259:AI259"/>
    <mergeCell ref="AJ259:AN259"/>
    <mergeCell ref="AO259:AR259"/>
    <mergeCell ref="AS259:AW259"/>
    <mergeCell ref="AX259:BA259"/>
    <mergeCell ref="AO258:AR258"/>
    <mergeCell ref="AS258:AW258"/>
    <mergeCell ref="AX258:BA258"/>
    <mergeCell ref="BB258:BF258"/>
    <mergeCell ref="BG258:BJ258"/>
    <mergeCell ref="BK258:BO258"/>
    <mergeCell ref="BB257:BF257"/>
    <mergeCell ref="BG257:BJ257"/>
    <mergeCell ref="BK257:BO257"/>
    <mergeCell ref="BP257:BS257"/>
    <mergeCell ref="A258:M258"/>
    <mergeCell ref="N258:U258"/>
    <mergeCell ref="V258:Z258"/>
    <mergeCell ref="AA258:AE258"/>
    <mergeCell ref="AF258:AI258"/>
    <mergeCell ref="AJ258:AN258"/>
    <mergeCell ref="AA257:AE257"/>
    <mergeCell ref="AF257:AI257"/>
    <mergeCell ref="AJ257:AN257"/>
    <mergeCell ref="AO257:AR257"/>
    <mergeCell ref="AS257:AW257"/>
    <mergeCell ref="AX257:BA257"/>
    <mergeCell ref="A254:BL254"/>
    <mergeCell ref="A255:BM255"/>
    <mergeCell ref="A256:M257"/>
    <mergeCell ref="N256:U257"/>
    <mergeCell ref="V256:Z257"/>
    <mergeCell ref="AA256:AI256"/>
    <mergeCell ref="AJ256:AR256"/>
    <mergeCell ref="AS256:BA256"/>
    <mergeCell ref="BB256:BJ256"/>
    <mergeCell ref="BK256:BS256"/>
    <mergeCell ref="AZ250:BD250"/>
    <mergeCell ref="A251:F251"/>
    <mergeCell ref="G251:S251"/>
    <mergeCell ref="T251:Z251"/>
    <mergeCell ref="AA251:AE251"/>
    <mergeCell ref="AF251:AJ251"/>
    <mergeCell ref="AK251:AO251"/>
    <mergeCell ref="AP251:AT251"/>
    <mergeCell ref="AU251:AY251"/>
    <mergeCell ref="AZ251:BD251"/>
    <mergeCell ref="AU249:AY249"/>
    <mergeCell ref="AZ249:BD249"/>
    <mergeCell ref="A250:F250"/>
    <mergeCell ref="G250:S250"/>
    <mergeCell ref="T250:Z250"/>
    <mergeCell ref="AA250:AE250"/>
    <mergeCell ref="AF250:AJ250"/>
    <mergeCell ref="AK250:AO250"/>
    <mergeCell ref="AP250:AT250"/>
    <mergeCell ref="AU250:AY250"/>
    <mergeCell ref="AP248:AT248"/>
    <mergeCell ref="AU248:AY248"/>
    <mergeCell ref="AZ248:BD248"/>
    <mergeCell ref="A249:F249"/>
    <mergeCell ref="G249:S249"/>
    <mergeCell ref="T249:Z249"/>
    <mergeCell ref="AA249:AE249"/>
    <mergeCell ref="AF249:AJ249"/>
    <mergeCell ref="AK249:AO249"/>
    <mergeCell ref="AP249:AT249"/>
    <mergeCell ref="A245:BL245"/>
    <mergeCell ref="A246:BD246"/>
    <mergeCell ref="A247:F248"/>
    <mergeCell ref="G247:S248"/>
    <mergeCell ref="T247:Z248"/>
    <mergeCell ref="AA247:AO247"/>
    <mergeCell ref="AP247:BD247"/>
    <mergeCell ref="AA248:AE248"/>
    <mergeCell ref="AF248:AJ248"/>
    <mergeCell ref="AK248:AO248"/>
    <mergeCell ref="AP243:AT243"/>
    <mergeCell ref="AU243:AY243"/>
    <mergeCell ref="AZ243:BD243"/>
    <mergeCell ref="BE243:BI243"/>
    <mergeCell ref="BJ243:BN243"/>
    <mergeCell ref="BO243:BS243"/>
    <mergeCell ref="A243:F243"/>
    <mergeCell ref="G243:S243"/>
    <mergeCell ref="T243:Z243"/>
    <mergeCell ref="AA243:AE243"/>
    <mergeCell ref="AF243:AJ243"/>
    <mergeCell ref="AK243:AO243"/>
    <mergeCell ref="AP242:AT242"/>
    <mergeCell ref="AU242:AY242"/>
    <mergeCell ref="AZ242:BD242"/>
    <mergeCell ref="BE242:BI242"/>
    <mergeCell ref="BJ242:BN242"/>
    <mergeCell ref="BO242:BS242"/>
    <mergeCell ref="A242:F242"/>
    <mergeCell ref="G242:S242"/>
    <mergeCell ref="T242:Z242"/>
    <mergeCell ref="AA242:AE242"/>
    <mergeCell ref="AF242:AJ242"/>
    <mergeCell ref="AK242:AO242"/>
    <mergeCell ref="AP241:AT241"/>
    <mergeCell ref="AU241:AY241"/>
    <mergeCell ref="AZ241:BD241"/>
    <mergeCell ref="BE241:BI241"/>
    <mergeCell ref="BJ241:BN241"/>
    <mergeCell ref="BO241:BS241"/>
    <mergeCell ref="A241:F241"/>
    <mergeCell ref="G241:S241"/>
    <mergeCell ref="T241:Z241"/>
    <mergeCell ref="AA241:AE241"/>
    <mergeCell ref="AF241:AJ241"/>
    <mergeCell ref="AK241:AO241"/>
    <mergeCell ref="AP240:AT240"/>
    <mergeCell ref="AU240:AY240"/>
    <mergeCell ref="AZ240:BD240"/>
    <mergeCell ref="BE240:BI240"/>
    <mergeCell ref="BJ240:BN240"/>
    <mergeCell ref="BO240:BS240"/>
    <mergeCell ref="A238:BS238"/>
    <mergeCell ref="A239:F240"/>
    <mergeCell ref="G239:S240"/>
    <mergeCell ref="T239:Z240"/>
    <mergeCell ref="AA239:AO239"/>
    <mergeCell ref="AP239:BD239"/>
    <mergeCell ref="BE239:BS239"/>
    <mergeCell ref="AA240:AE240"/>
    <mergeCell ref="AF240:AJ240"/>
    <mergeCell ref="AK240:AO240"/>
    <mergeCell ref="BA232:BC232"/>
    <mergeCell ref="BD232:BF232"/>
    <mergeCell ref="BG232:BI232"/>
    <mergeCell ref="BJ232:BL232"/>
    <mergeCell ref="A236:BL236"/>
    <mergeCell ref="A237:BS237"/>
    <mergeCell ref="AF233:AH233"/>
    <mergeCell ref="AI233:AK233"/>
    <mergeCell ref="AL233:AN233"/>
    <mergeCell ref="AO233:AQ233"/>
    <mergeCell ref="AI232:AK232"/>
    <mergeCell ref="AL232:AN232"/>
    <mergeCell ref="AO232:AQ232"/>
    <mergeCell ref="AR232:AT232"/>
    <mergeCell ref="AU232:AW232"/>
    <mergeCell ref="AX232:AZ232"/>
    <mergeCell ref="BA231:BC231"/>
    <mergeCell ref="BD231:BF231"/>
    <mergeCell ref="BG231:BI231"/>
    <mergeCell ref="BJ231:BL231"/>
    <mergeCell ref="A232:C232"/>
    <mergeCell ref="D232:V232"/>
    <mergeCell ref="W232:Y232"/>
    <mergeCell ref="Z232:AB232"/>
    <mergeCell ref="AC232:AE232"/>
    <mergeCell ref="AF232:AH232"/>
    <mergeCell ref="AI231:AK231"/>
    <mergeCell ref="AL231:AN231"/>
    <mergeCell ref="AO231:AQ231"/>
    <mergeCell ref="AR231:AT231"/>
    <mergeCell ref="AU231:AW231"/>
    <mergeCell ref="AX231:AZ231"/>
    <mergeCell ref="BA230:BC230"/>
    <mergeCell ref="BD230:BF230"/>
    <mergeCell ref="BG230:BI230"/>
    <mergeCell ref="BJ230:BL230"/>
    <mergeCell ref="A231:C231"/>
    <mergeCell ref="D231:V231"/>
    <mergeCell ref="W231:Y231"/>
    <mergeCell ref="Z231:AB231"/>
    <mergeCell ref="AC231:AE231"/>
    <mergeCell ref="AF231:AH231"/>
    <mergeCell ref="AI230:AK230"/>
    <mergeCell ref="AL230:AN230"/>
    <mergeCell ref="AO230:AQ230"/>
    <mergeCell ref="AR230:AT230"/>
    <mergeCell ref="AU230:AW230"/>
    <mergeCell ref="AX230:AZ230"/>
    <mergeCell ref="A230:C230"/>
    <mergeCell ref="D230:V230"/>
    <mergeCell ref="W230:Y230"/>
    <mergeCell ref="Z230:AB230"/>
    <mergeCell ref="AC230:AE230"/>
    <mergeCell ref="AF230:AH230"/>
    <mergeCell ref="BJ228:BL229"/>
    <mergeCell ref="W229:Y229"/>
    <mergeCell ref="Z229:AB229"/>
    <mergeCell ref="AC229:AE229"/>
    <mergeCell ref="AF229:AH229"/>
    <mergeCell ref="AI229:AK229"/>
    <mergeCell ref="AL229:AN229"/>
    <mergeCell ref="AO229:AQ229"/>
    <mergeCell ref="AR229:AT229"/>
    <mergeCell ref="BG227:BL227"/>
    <mergeCell ref="W228:AB228"/>
    <mergeCell ref="AC228:AH228"/>
    <mergeCell ref="AI228:AN228"/>
    <mergeCell ref="AO228:AT228"/>
    <mergeCell ref="AU228:AW229"/>
    <mergeCell ref="AX228:AZ229"/>
    <mergeCell ref="BA228:BC229"/>
    <mergeCell ref="BD228:BF229"/>
    <mergeCell ref="BG228:BI229"/>
    <mergeCell ref="A227:C229"/>
    <mergeCell ref="D227:V229"/>
    <mergeCell ref="W227:AH227"/>
    <mergeCell ref="AI227:AT227"/>
    <mergeCell ref="AU227:AZ227"/>
    <mergeCell ref="BA227:BF227"/>
    <mergeCell ref="AT222:AX222"/>
    <mergeCell ref="AY222:BC222"/>
    <mergeCell ref="BD222:BH222"/>
    <mergeCell ref="BI222:BM222"/>
    <mergeCell ref="BN222:BR222"/>
    <mergeCell ref="A226:BL226"/>
    <mergeCell ref="AY223:BC223"/>
    <mergeCell ref="BD223:BH223"/>
    <mergeCell ref="BI223:BM223"/>
    <mergeCell ref="BN223:BR223"/>
    <mergeCell ref="A222:T222"/>
    <mergeCell ref="U222:Y222"/>
    <mergeCell ref="Z222:AD222"/>
    <mergeCell ref="AE222:AI222"/>
    <mergeCell ref="AJ222:AN222"/>
    <mergeCell ref="AO222:AS222"/>
    <mergeCell ref="AO221:AS221"/>
    <mergeCell ref="AT221:AX221"/>
    <mergeCell ref="AY221:BC221"/>
    <mergeCell ref="BD221:BH221"/>
    <mergeCell ref="BI221:BM221"/>
    <mergeCell ref="BN221:BR221"/>
    <mergeCell ref="AT220:AX220"/>
    <mergeCell ref="AY220:BC220"/>
    <mergeCell ref="BD220:BH220"/>
    <mergeCell ref="BI220:BM220"/>
    <mergeCell ref="BN220:BR220"/>
    <mergeCell ref="A221:T221"/>
    <mergeCell ref="U221:Y221"/>
    <mergeCell ref="Z221:AD221"/>
    <mergeCell ref="AE221:AI221"/>
    <mergeCell ref="AJ221:AN221"/>
    <mergeCell ref="A220:T220"/>
    <mergeCell ref="U220:Y220"/>
    <mergeCell ref="Z220:AD220"/>
    <mergeCell ref="AE220:AI220"/>
    <mergeCell ref="AJ220:AN220"/>
    <mergeCell ref="AO220:AS220"/>
    <mergeCell ref="AO219:AS219"/>
    <mergeCell ref="AT219:AX219"/>
    <mergeCell ref="AY219:BC219"/>
    <mergeCell ref="BD219:BH219"/>
    <mergeCell ref="BI219:BM219"/>
    <mergeCell ref="BN219:BR219"/>
    <mergeCell ref="A218:T219"/>
    <mergeCell ref="U218:AD218"/>
    <mergeCell ref="AE218:AN218"/>
    <mergeCell ref="AO218:AX218"/>
    <mergeCell ref="AY218:BH218"/>
    <mergeCell ref="BI218:BR218"/>
    <mergeCell ref="U219:Y219"/>
    <mergeCell ref="Z219:AD219"/>
    <mergeCell ref="AE219:AI219"/>
    <mergeCell ref="AJ219:AN219"/>
    <mergeCell ref="AP214:AT214"/>
    <mergeCell ref="AU214:AY214"/>
    <mergeCell ref="AZ214:BD214"/>
    <mergeCell ref="BE214:BI214"/>
    <mergeCell ref="A216:BL216"/>
    <mergeCell ref="A217:BR217"/>
    <mergeCell ref="AP213:AT213"/>
    <mergeCell ref="AU213:AY213"/>
    <mergeCell ref="AZ213:BD213"/>
    <mergeCell ref="BE213:BI213"/>
    <mergeCell ref="A214:C214"/>
    <mergeCell ref="D214:P214"/>
    <mergeCell ref="Q214:U214"/>
    <mergeCell ref="V214:AE214"/>
    <mergeCell ref="AF214:AJ214"/>
    <mergeCell ref="AK214:AO214"/>
    <mergeCell ref="AP212:AT212"/>
    <mergeCell ref="AU212:AY212"/>
    <mergeCell ref="AZ212:BD212"/>
    <mergeCell ref="BE212:BI212"/>
    <mergeCell ref="A213:C213"/>
    <mergeCell ref="D213:P213"/>
    <mergeCell ref="Q213:U213"/>
    <mergeCell ref="V213:AE213"/>
    <mergeCell ref="AF213:AJ213"/>
    <mergeCell ref="AK213:AO213"/>
    <mergeCell ref="AP211:AT211"/>
    <mergeCell ref="AU211:AY211"/>
    <mergeCell ref="AZ211:BD211"/>
    <mergeCell ref="BE211:BI211"/>
    <mergeCell ref="A212:C212"/>
    <mergeCell ref="D212:P212"/>
    <mergeCell ref="Q212:U212"/>
    <mergeCell ref="V212:AE212"/>
    <mergeCell ref="AF212:AJ212"/>
    <mergeCell ref="AK212:AO212"/>
    <mergeCell ref="BT207:BX207"/>
    <mergeCell ref="A209:BL209"/>
    <mergeCell ref="A210:C211"/>
    <mergeCell ref="D210:P211"/>
    <mergeCell ref="Q210:U211"/>
    <mergeCell ref="V210:AE211"/>
    <mergeCell ref="AF210:AT210"/>
    <mergeCell ref="AU210:BI210"/>
    <mergeCell ref="AF211:AJ211"/>
    <mergeCell ref="AK211:AO211"/>
    <mergeCell ref="AP207:AT207"/>
    <mergeCell ref="AU207:AY207"/>
    <mergeCell ref="AZ207:BD207"/>
    <mergeCell ref="BE207:BI207"/>
    <mergeCell ref="BJ207:BN207"/>
    <mergeCell ref="BO207:BS207"/>
    <mergeCell ref="BE206:BI206"/>
    <mergeCell ref="BJ206:BN206"/>
    <mergeCell ref="BO206:BS206"/>
    <mergeCell ref="BT206:BX206"/>
    <mergeCell ref="A207:C207"/>
    <mergeCell ref="D207:P207"/>
    <mergeCell ref="Q207:U207"/>
    <mergeCell ref="V207:AE207"/>
    <mergeCell ref="AF207:AJ207"/>
    <mergeCell ref="AK207:AO207"/>
    <mergeCell ref="BT205:BX205"/>
    <mergeCell ref="A206:C206"/>
    <mergeCell ref="D206:P206"/>
    <mergeCell ref="Q206:U206"/>
    <mergeCell ref="V206:AE206"/>
    <mergeCell ref="AF206:AJ206"/>
    <mergeCell ref="AK206:AO206"/>
    <mergeCell ref="AP206:AT206"/>
    <mergeCell ref="AU206:AY206"/>
    <mergeCell ref="AZ206:BD206"/>
    <mergeCell ref="AP205:AT205"/>
    <mergeCell ref="AU205:AY205"/>
    <mergeCell ref="AZ205:BD205"/>
    <mergeCell ref="BE205:BI205"/>
    <mergeCell ref="BJ205:BN205"/>
    <mergeCell ref="BO205:BS205"/>
    <mergeCell ref="A205:C205"/>
    <mergeCell ref="D205:P205"/>
    <mergeCell ref="Q205:U205"/>
    <mergeCell ref="V205:AE205"/>
    <mergeCell ref="AF205:AJ205"/>
    <mergeCell ref="AK205:AO205"/>
    <mergeCell ref="BJ203:BX203"/>
    <mergeCell ref="AF204:AJ204"/>
    <mergeCell ref="AK204:AO204"/>
    <mergeCell ref="AP204:AT204"/>
    <mergeCell ref="AU204:AY204"/>
    <mergeCell ref="AZ204:BD204"/>
    <mergeCell ref="BE204:BI204"/>
    <mergeCell ref="BJ204:BN204"/>
    <mergeCell ref="BO204:BS204"/>
    <mergeCell ref="BT204:BX204"/>
    <mergeCell ref="A203:C204"/>
    <mergeCell ref="D203:P204"/>
    <mergeCell ref="Q203:U204"/>
    <mergeCell ref="V203:AE204"/>
    <mergeCell ref="AF203:AT203"/>
    <mergeCell ref="AU203:BI203"/>
    <mergeCell ref="AO155:AS155"/>
    <mergeCell ref="AT155:AX155"/>
    <mergeCell ref="AY155:BC155"/>
    <mergeCell ref="BD155:BH155"/>
    <mergeCell ref="A201:BL201"/>
    <mergeCell ref="A202:BL202"/>
    <mergeCell ref="AT156:AX156"/>
    <mergeCell ref="AY156:BC156"/>
    <mergeCell ref="BD156:BH156"/>
    <mergeCell ref="A157:C157"/>
    <mergeCell ref="AO154:AS154"/>
    <mergeCell ref="AT154:AX154"/>
    <mergeCell ref="AY154:BC154"/>
    <mergeCell ref="BD154:BH154"/>
    <mergeCell ref="A155:C155"/>
    <mergeCell ref="D155:T155"/>
    <mergeCell ref="U155:Y155"/>
    <mergeCell ref="Z155:AD155"/>
    <mergeCell ref="AE155:AI155"/>
    <mergeCell ref="AJ155:AN155"/>
    <mergeCell ref="AO153:AS153"/>
    <mergeCell ref="AT153:AX153"/>
    <mergeCell ref="AY153:BC153"/>
    <mergeCell ref="BD153:BH153"/>
    <mergeCell ref="A154:C154"/>
    <mergeCell ref="D154:T154"/>
    <mergeCell ref="U154:Y154"/>
    <mergeCell ref="Z154:AD154"/>
    <mergeCell ref="AE154:AI154"/>
    <mergeCell ref="AJ154:AN154"/>
    <mergeCell ref="A153:C153"/>
    <mergeCell ref="D153:T153"/>
    <mergeCell ref="U153:Y153"/>
    <mergeCell ref="Z153:AD153"/>
    <mergeCell ref="AE153:AI153"/>
    <mergeCell ref="AJ153:AN153"/>
    <mergeCell ref="AE152:AI152"/>
    <mergeCell ref="AJ152:AN152"/>
    <mergeCell ref="AO152:AS152"/>
    <mergeCell ref="AT152:AX152"/>
    <mergeCell ref="AY152:BC152"/>
    <mergeCell ref="BD152:BH152"/>
    <mergeCell ref="BQ104:BT104"/>
    <mergeCell ref="BU104:BY104"/>
    <mergeCell ref="A149:BL149"/>
    <mergeCell ref="A150:BH150"/>
    <mergeCell ref="A151:C152"/>
    <mergeCell ref="D151:T152"/>
    <mergeCell ref="U151:AN151"/>
    <mergeCell ref="AO151:BH151"/>
    <mergeCell ref="U152:Y152"/>
    <mergeCell ref="Z152:AD152"/>
    <mergeCell ref="AN104:AR104"/>
    <mergeCell ref="AS104:AW104"/>
    <mergeCell ref="AX104:BA104"/>
    <mergeCell ref="BB104:BF104"/>
    <mergeCell ref="BG104:BK104"/>
    <mergeCell ref="BL104:BP104"/>
    <mergeCell ref="A104:C104"/>
    <mergeCell ref="D104:T104"/>
    <mergeCell ref="U104:Y104"/>
    <mergeCell ref="Z104:AD104"/>
    <mergeCell ref="AE104:AH104"/>
    <mergeCell ref="AI104:AM104"/>
    <mergeCell ref="AX103:BA103"/>
    <mergeCell ref="BB103:BF103"/>
    <mergeCell ref="BG103:BK103"/>
    <mergeCell ref="BL103:BP103"/>
    <mergeCell ref="BQ103:BT103"/>
    <mergeCell ref="BU103:BY103"/>
    <mergeCell ref="BQ102:BT102"/>
    <mergeCell ref="BU102:BY102"/>
    <mergeCell ref="A103:C103"/>
    <mergeCell ref="D103:T103"/>
    <mergeCell ref="U103:Y103"/>
    <mergeCell ref="Z103:AD103"/>
    <mergeCell ref="AE103:AH103"/>
    <mergeCell ref="AI103:AM103"/>
    <mergeCell ref="AN103:AR103"/>
    <mergeCell ref="AS103:AW103"/>
    <mergeCell ref="AN102:AR102"/>
    <mergeCell ref="AS102:AW102"/>
    <mergeCell ref="AX102:BA102"/>
    <mergeCell ref="BB102:BF102"/>
    <mergeCell ref="BG102:BK102"/>
    <mergeCell ref="BL102:BP102"/>
    <mergeCell ref="A102:C102"/>
    <mergeCell ref="D102:T102"/>
    <mergeCell ref="U102:Y102"/>
    <mergeCell ref="Z102:AD102"/>
    <mergeCell ref="AE102:AH102"/>
    <mergeCell ref="AI102:AM102"/>
    <mergeCell ref="AX101:BA101"/>
    <mergeCell ref="BB101:BF101"/>
    <mergeCell ref="BG101:BK101"/>
    <mergeCell ref="BL101:BP101"/>
    <mergeCell ref="BQ101:BT101"/>
    <mergeCell ref="BU101:BY101"/>
    <mergeCell ref="U101:Y101"/>
    <mergeCell ref="Z101:AD101"/>
    <mergeCell ref="AE101:AH101"/>
    <mergeCell ref="AI101:AM101"/>
    <mergeCell ref="AN101:AR101"/>
    <mergeCell ref="AS101:AW101"/>
    <mergeCell ref="BB94:BF94"/>
    <mergeCell ref="BG94:BK94"/>
    <mergeCell ref="A97:BL97"/>
    <mergeCell ref="A98:BL98"/>
    <mergeCell ref="A99:BY99"/>
    <mergeCell ref="A100:C101"/>
    <mergeCell ref="D100:T101"/>
    <mergeCell ref="U100:AM100"/>
    <mergeCell ref="AN100:BF100"/>
    <mergeCell ref="BG100:BY100"/>
    <mergeCell ref="BB93:BF93"/>
    <mergeCell ref="BG93:BK93"/>
    <mergeCell ref="A94:E94"/>
    <mergeCell ref="F94:W94"/>
    <mergeCell ref="X94:AB94"/>
    <mergeCell ref="AC94:AG94"/>
    <mergeCell ref="AH94:AL94"/>
    <mergeCell ref="AM94:AQ94"/>
    <mergeCell ref="AR94:AV94"/>
    <mergeCell ref="AW94:BA94"/>
    <mergeCell ref="BB92:BF92"/>
    <mergeCell ref="BG92:BK92"/>
    <mergeCell ref="A93:E93"/>
    <mergeCell ref="F93:W93"/>
    <mergeCell ref="X93:AB93"/>
    <mergeCell ref="AC93:AG93"/>
    <mergeCell ref="AH93:AL93"/>
    <mergeCell ref="AM93:AQ93"/>
    <mergeCell ref="AR93:AV93"/>
    <mergeCell ref="AW93:BA93"/>
    <mergeCell ref="BB91:BF91"/>
    <mergeCell ref="BG91:BK91"/>
    <mergeCell ref="A92:E92"/>
    <mergeCell ref="F92:W92"/>
    <mergeCell ref="X92:AB92"/>
    <mergeCell ref="AC92:AG92"/>
    <mergeCell ref="AH92:AL92"/>
    <mergeCell ref="AM92:AQ92"/>
    <mergeCell ref="AR92:AV92"/>
    <mergeCell ref="AW92:BA92"/>
    <mergeCell ref="A90:E91"/>
    <mergeCell ref="F90:W91"/>
    <mergeCell ref="X90:AQ90"/>
    <mergeCell ref="AR90:BK90"/>
    <mergeCell ref="X91:AB91"/>
    <mergeCell ref="AC91:AG91"/>
    <mergeCell ref="AH91:AL91"/>
    <mergeCell ref="AM91:AQ91"/>
    <mergeCell ref="AR91:AV91"/>
    <mergeCell ref="AW91:BA91"/>
    <mergeCell ref="AR78:AV78"/>
    <mergeCell ref="AW78:BA78"/>
    <mergeCell ref="BB78:BF78"/>
    <mergeCell ref="BG78:BK78"/>
    <mergeCell ref="A88:BL88"/>
    <mergeCell ref="A89:BK89"/>
    <mergeCell ref="AM79:AQ79"/>
    <mergeCell ref="AR79:AV79"/>
    <mergeCell ref="AW79:BA79"/>
    <mergeCell ref="BB79:BF79"/>
    <mergeCell ref="AR77:AV77"/>
    <mergeCell ref="AW77:BA77"/>
    <mergeCell ref="BB77:BF77"/>
    <mergeCell ref="BG77:BK77"/>
    <mergeCell ref="A78:D78"/>
    <mergeCell ref="E78:W78"/>
    <mergeCell ref="X78:AB78"/>
    <mergeCell ref="AC78:AG78"/>
    <mergeCell ref="AH78:AL78"/>
    <mergeCell ref="AM78:AQ78"/>
    <mergeCell ref="AR76:AV76"/>
    <mergeCell ref="AW76:BA76"/>
    <mergeCell ref="BB76:BF76"/>
    <mergeCell ref="BG76:BK76"/>
    <mergeCell ref="A77:D77"/>
    <mergeCell ref="E77:W77"/>
    <mergeCell ref="X77:AB77"/>
    <mergeCell ref="AC77:AG77"/>
    <mergeCell ref="AH77:AL77"/>
    <mergeCell ref="AM77:AQ77"/>
    <mergeCell ref="A76:D76"/>
    <mergeCell ref="E76:W76"/>
    <mergeCell ref="X76:AB76"/>
    <mergeCell ref="AC76:AG76"/>
    <mergeCell ref="AH76:AL76"/>
    <mergeCell ref="AM76:AQ76"/>
    <mergeCell ref="AH75:AL75"/>
    <mergeCell ref="AM75:AQ75"/>
    <mergeCell ref="AR75:AV75"/>
    <mergeCell ref="AW75:BA75"/>
    <mergeCell ref="BB75:BF75"/>
    <mergeCell ref="BG75:BK75"/>
    <mergeCell ref="BQ70:BT70"/>
    <mergeCell ref="BU70:BY70"/>
    <mergeCell ref="A72:BL72"/>
    <mergeCell ref="A73:BK73"/>
    <mergeCell ref="A74:D75"/>
    <mergeCell ref="E74:W75"/>
    <mergeCell ref="X74:AQ74"/>
    <mergeCell ref="AR74:BK74"/>
    <mergeCell ref="X75:AB75"/>
    <mergeCell ref="AC75:AG75"/>
    <mergeCell ref="AN70:AR70"/>
    <mergeCell ref="AS70:AW70"/>
    <mergeCell ref="AX70:BA70"/>
    <mergeCell ref="BB70:BF70"/>
    <mergeCell ref="BG70:BK70"/>
    <mergeCell ref="BL70:BP70"/>
    <mergeCell ref="A70:E70"/>
    <mergeCell ref="F70:T70"/>
    <mergeCell ref="U70:Y70"/>
    <mergeCell ref="Z70:AD70"/>
    <mergeCell ref="AE70:AH70"/>
    <mergeCell ref="AI70:AM70"/>
    <mergeCell ref="AX69:BA69"/>
    <mergeCell ref="BB69:BF69"/>
    <mergeCell ref="BG69:BK69"/>
    <mergeCell ref="BL69:BP69"/>
    <mergeCell ref="BQ69:BT69"/>
    <mergeCell ref="BU69:BY69"/>
    <mergeCell ref="BQ68:BT68"/>
    <mergeCell ref="BU68:BY68"/>
    <mergeCell ref="A69:E69"/>
    <mergeCell ref="F69:T69"/>
    <mergeCell ref="U69:Y69"/>
    <mergeCell ref="Z69:AD69"/>
    <mergeCell ref="AE69:AH69"/>
    <mergeCell ref="AI69:AM69"/>
    <mergeCell ref="AN69:AR69"/>
    <mergeCell ref="AS69:AW69"/>
    <mergeCell ref="AN68:AR68"/>
    <mergeCell ref="AS68:AW68"/>
    <mergeCell ref="AX68:BA68"/>
    <mergeCell ref="BB68:BF68"/>
    <mergeCell ref="BG68:BK68"/>
    <mergeCell ref="BL68:BP68"/>
    <mergeCell ref="BG67:BK67"/>
    <mergeCell ref="BL67:BP67"/>
    <mergeCell ref="BQ67:BT67"/>
    <mergeCell ref="BU67:BY67"/>
    <mergeCell ref="A68:E68"/>
    <mergeCell ref="F68:T68"/>
    <mergeCell ref="U68:Y68"/>
    <mergeCell ref="Z68:AD68"/>
    <mergeCell ref="AE68:AH68"/>
    <mergeCell ref="AI68:AM68"/>
    <mergeCell ref="AE67:AH67"/>
    <mergeCell ref="AI67:AM67"/>
    <mergeCell ref="AN67:AR67"/>
    <mergeCell ref="AS67:AW67"/>
    <mergeCell ref="AX67:BA67"/>
    <mergeCell ref="BB67:BF67"/>
    <mergeCell ref="BU54:BY54"/>
    <mergeCell ref="A64:BL64"/>
    <mergeCell ref="A65:BY65"/>
    <mergeCell ref="A66:E67"/>
    <mergeCell ref="F66:T67"/>
    <mergeCell ref="U66:AM66"/>
    <mergeCell ref="AN66:BF66"/>
    <mergeCell ref="BG66:BY66"/>
    <mergeCell ref="U67:Y67"/>
    <mergeCell ref="Z67:AD67"/>
    <mergeCell ref="AS54:AW54"/>
    <mergeCell ref="AX54:BA54"/>
    <mergeCell ref="BB54:BF54"/>
    <mergeCell ref="BG54:BK54"/>
    <mergeCell ref="BL54:BP54"/>
    <mergeCell ref="BQ54:BT54"/>
    <mergeCell ref="BL53:BP53"/>
    <mergeCell ref="BQ53:BT53"/>
    <mergeCell ref="BU53:BY53"/>
    <mergeCell ref="A54:D54"/>
    <mergeCell ref="E54:T54"/>
    <mergeCell ref="U54:Y54"/>
    <mergeCell ref="Z54:AD54"/>
    <mergeCell ref="AE54:AH54"/>
    <mergeCell ref="AI54:AM54"/>
    <mergeCell ref="AN54:AR54"/>
    <mergeCell ref="AI53:AM53"/>
    <mergeCell ref="AN53:AR53"/>
    <mergeCell ref="AS53:AW53"/>
    <mergeCell ref="AX53:BA53"/>
    <mergeCell ref="BB53:BF53"/>
    <mergeCell ref="BG53:BK53"/>
    <mergeCell ref="BB52:BF52"/>
    <mergeCell ref="BG52:BK52"/>
    <mergeCell ref="BL52:BP52"/>
    <mergeCell ref="BQ52:BT52"/>
    <mergeCell ref="BU52:BY52"/>
    <mergeCell ref="A53:D53"/>
    <mergeCell ref="E53:T53"/>
    <mergeCell ref="U53:Y53"/>
    <mergeCell ref="Z53:AD53"/>
    <mergeCell ref="AE53:AH53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AS51:AW51"/>
    <mergeCell ref="AX51:BA51"/>
    <mergeCell ref="BB51:BF51"/>
    <mergeCell ref="BG51:BK51"/>
    <mergeCell ref="BL51:BP51"/>
    <mergeCell ref="BQ51:BT51"/>
    <mergeCell ref="A50:D51"/>
    <mergeCell ref="E50:T51"/>
    <mergeCell ref="U50:AM50"/>
    <mergeCell ref="AN50:BF50"/>
    <mergeCell ref="BG50:BY50"/>
    <mergeCell ref="U51:Y51"/>
    <mergeCell ref="Z51:AD51"/>
    <mergeCell ref="AE51:AH51"/>
    <mergeCell ref="AI51:AM51"/>
    <mergeCell ref="AN51:AR51"/>
    <mergeCell ref="AW41:BA41"/>
    <mergeCell ref="BB41:BF41"/>
    <mergeCell ref="BG41:BK41"/>
    <mergeCell ref="A47:BY47"/>
    <mergeCell ref="A48:BY48"/>
    <mergeCell ref="A49:BY49"/>
    <mergeCell ref="AM42:AQ42"/>
    <mergeCell ref="AR42:AV42"/>
    <mergeCell ref="AW42:BA42"/>
    <mergeCell ref="BB42:BF42"/>
    <mergeCell ref="AW40:BA40"/>
    <mergeCell ref="BB40:BF40"/>
    <mergeCell ref="BG40:BK40"/>
    <mergeCell ref="A41:D41"/>
    <mergeCell ref="E41:W41"/>
    <mergeCell ref="X41:AB41"/>
    <mergeCell ref="AC41:AG41"/>
    <mergeCell ref="AH41:AL41"/>
    <mergeCell ref="AM41:AQ41"/>
    <mergeCell ref="AR41:AV41"/>
    <mergeCell ref="AW39:BA39"/>
    <mergeCell ref="BB39:BF39"/>
    <mergeCell ref="BG39:BK39"/>
    <mergeCell ref="A40:D40"/>
    <mergeCell ref="E40:W40"/>
    <mergeCell ref="X40:AB40"/>
    <mergeCell ref="AC40:AG40"/>
    <mergeCell ref="AH40:AL40"/>
    <mergeCell ref="AM40:AQ40"/>
    <mergeCell ref="AR40:AV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36:BK36"/>
    <mergeCell ref="A37:D38"/>
    <mergeCell ref="E37:W38"/>
    <mergeCell ref="X37:AQ37"/>
    <mergeCell ref="AR37:BK37"/>
    <mergeCell ref="X38:AB38"/>
    <mergeCell ref="AC38:AG38"/>
    <mergeCell ref="AH38:AL38"/>
    <mergeCell ref="AM38:AQ38"/>
    <mergeCell ref="AR38:AV38"/>
    <mergeCell ref="BB30:BF30"/>
    <mergeCell ref="BG30:BK30"/>
    <mergeCell ref="BL30:BP30"/>
    <mergeCell ref="BQ30:BT30"/>
    <mergeCell ref="BU30:BY30"/>
    <mergeCell ref="A35:BL35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104 A232 A155">
    <cfRule type="cellIs" dxfId="90" priority="91" stopIfTrue="1" operator="equal">
      <formula>A103</formula>
    </cfRule>
  </conditionalFormatting>
  <conditionalFormatting sqref="A207:C207 A214:C214">
    <cfRule type="cellIs" dxfId="89" priority="92" stopIfTrue="1" operator="equal">
      <formula>A206</formula>
    </cfRule>
    <cfRule type="cellIs" dxfId="88" priority="93" stopIfTrue="1" operator="equal">
      <formula>0</formula>
    </cfRule>
  </conditionalFormatting>
  <conditionalFormatting sqref="A105">
    <cfRule type="cellIs" dxfId="87" priority="90" stopIfTrue="1" operator="equal">
      <formula>A104</formula>
    </cfRule>
  </conditionalFormatting>
  <conditionalFormatting sqref="A106">
    <cfRule type="cellIs" dxfId="86" priority="89" stopIfTrue="1" operator="equal">
      <formula>A105</formula>
    </cfRule>
  </conditionalFormatting>
  <conditionalFormatting sqref="A107">
    <cfRule type="cellIs" dxfId="85" priority="88" stopIfTrue="1" operator="equal">
      <formula>A106</formula>
    </cfRule>
  </conditionalFormatting>
  <conditionalFormatting sqref="A108">
    <cfRule type="cellIs" dxfId="84" priority="87" stopIfTrue="1" operator="equal">
      <formula>A107</formula>
    </cfRule>
  </conditionalFormatting>
  <conditionalFormatting sqref="A109">
    <cfRule type="cellIs" dxfId="83" priority="86" stopIfTrue="1" operator="equal">
      <formula>A108</formula>
    </cfRule>
  </conditionalFormatting>
  <conditionalFormatting sqref="A110">
    <cfRule type="cellIs" dxfId="82" priority="85" stopIfTrue="1" operator="equal">
      <formula>A109</formula>
    </cfRule>
  </conditionalFormatting>
  <conditionalFormatting sqref="A111">
    <cfRule type="cellIs" dxfId="81" priority="84" stopIfTrue="1" operator="equal">
      <formula>A110</formula>
    </cfRule>
  </conditionalFormatting>
  <conditionalFormatting sqref="A112">
    <cfRule type="cellIs" dxfId="80" priority="83" stopIfTrue="1" operator="equal">
      <formula>A111</formula>
    </cfRule>
  </conditionalFormatting>
  <conditionalFormatting sqref="A113">
    <cfRule type="cellIs" dxfId="79" priority="82" stopIfTrue="1" operator="equal">
      <formula>A112</formula>
    </cfRule>
  </conditionalFormatting>
  <conditionalFormatting sqref="A114">
    <cfRule type="cellIs" dxfId="78" priority="81" stopIfTrue="1" operator="equal">
      <formula>A113</formula>
    </cfRule>
  </conditionalFormatting>
  <conditionalFormatting sqref="A115">
    <cfRule type="cellIs" dxfId="77" priority="80" stopIfTrue="1" operator="equal">
      <formula>A114</formula>
    </cfRule>
  </conditionalFormatting>
  <conditionalFormatting sqref="A116">
    <cfRule type="cellIs" dxfId="76" priority="79" stopIfTrue="1" operator="equal">
      <formula>A115</formula>
    </cfRule>
  </conditionalFormatting>
  <conditionalFormatting sqref="A117">
    <cfRule type="cellIs" dxfId="75" priority="78" stopIfTrue="1" operator="equal">
      <formula>A116</formula>
    </cfRule>
  </conditionalFormatting>
  <conditionalFormatting sqref="A118">
    <cfRule type="cellIs" dxfId="74" priority="77" stopIfTrue="1" operator="equal">
      <formula>A117</formula>
    </cfRule>
  </conditionalFormatting>
  <conditionalFormatting sqref="A119">
    <cfRule type="cellIs" dxfId="73" priority="76" stopIfTrue="1" operator="equal">
      <formula>A118</formula>
    </cfRule>
  </conditionalFormatting>
  <conditionalFormatting sqref="A120">
    <cfRule type="cellIs" dxfId="72" priority="75" stopIfTrue="1" operator="equal">
      <formula>A119</formula>
    </cfRule>
  </conditionalFormatting>
  <conditionalFormatting sqref="A121">
    <cfRule type="cellIs" dxfId="71" priority="74" stopIfTrue="1" operator="equal">
      <formula>A120</formula>
    </cfRule>
  </conditionalFormatting>
  <conditionalFormatting sqref="A122">
    <cfRule type="cellIs" dxfId="70" priority="73" stopIfTrue="1" operator="equal">
      <formula>A121</formula>
    </cfRule>
  </conditionalFormatting>
  <conditionalFormatting sqref="A123">
    <cfRule type="cellIs" dxfId="69" priority="72" stopIfTrue="1" operator="equal">
      <formula>A122</formula>
    </cfRule>
  </conditionalFormatting>
  <conditionalFormatting sqref="A124">
    <cfRule type="cellIs" dxfId="68" priority="71" stopIfTrue="1" operator="equal">
      <formula>A123</formula>
    </cfRule>
  </conditionalFormatting>
  <conditionalFormatting sqref="A125">
    <cfRule type="cellIs" dxfId="67" priority="70" stopIfTrue="1" operator="equal">
      <formula>A124</formula>
    </cfRule>
  </conditionalFormatting>
  <conditionalFormatting sqref="A126">
    <cfRule type="cellIs" dxfId="66" priority="69" stopIfTrue="1" operator="equal">
      <formula>A125</formula>
    </cfRule>
  </conditionalFormatting>
  <conditionalFormatting sqref="A127">
    <cfRule type="cellIs" dxfId="65" priority="68" stopIfTrue="1" operator="equal">
      <formula>A126</formula>
    </cfRule>
  </conditionalFormatting>
  <conditionalFormatting sqref="A128">
    <cfRule type="cellIs" dxfId="64" priority="67" stopIfTrue="1" operator="equal">
      <formula>A127</formula>
    </cfRule>
  </conditionalFormatting>
  <conditionalFormatting sqref="A129">
    <cfRule type="cellIs" dxfId="63" priority="66" stopIfTrue="1" operator="equal">
      <formula>A128</formula>
    </cfRule>
  </conditionalFormatting>
  <conditionalFormatting sqref="A130">
    <cfRule type="cellIs" dxfId="62" priority="65" stopIfTrue="1" operator="equal">
      <formula>A129</formula>
    </cfRule>
  </conditionalFormatting>
  <conditionalFormatting sqref="A131">
    <cfRule type="cellIs" dxfId="61" priority="64" stopIfTrue="1" operator="equal">
      <formula>A130</formula>
    </cfRule>
  </conditionalFormatting>
  <conditionalFormatting sqref="A132">
    <cfRule type="cellIs" dxfId="60" priority="63" stopIfTrue="1" operator="equal">
      <formula>A131</formula>
    </cfRule>
  </conditionalFormatting>
  <conditionalFormatting sqref="A133">
    <cfRule type="cellIs" dxfId="59" priority="62" stopIfTrue="1" operator="equal">
      <formula>A132</formula>
    </cfRule>
  </conditionalFormatting>
  <conditionalFormatting sqref="A134">
    <cfRule type="cellIs" dxfId="58" priority="61" stopIfTrue="1" operator="equal">
      <formula>A133</formula>
    </cfRule>
  </conditionalFormatting>
  <conditionalFormatting sqref="A135">
    <cfRule type="cellIs" dxfId="57" priority="60" stopIfTrue="1" operator="equal">
      <formula>A134</formula>
    </cfRule>
  </conditionalFormatting>
  <conditionalFormatting sqref="A136">
    <cfRule type="cellIs" dxfId="56" priority="59" stopIfTrue="1" operator="equal">
      <formula>A135</formula>
    </cfRule>
  </conditionalFormatting>
  <conditionalFormatting sqref="A137">
    <cfRule type="cellIs" dxfId="55" priority="58" stopIfTrue="1" operator="equal">
      <formula>A136</formula>
    </cfRule>
  </conditionalFormatting>
  <conditionalFormatting sqref="A138">
    <cfRule type="cellIs" dxfId="54" priority="57" stopIfTrue="1" operator="equal">
      <formula>A137</formula>
    </cfRule>
  </conditionalFormatting>
  <conditionalFormatting sqref="A139">
    <cfRule type="cellIs" dxfId="53" priority="56" stopIfTrue="1" operator="equal">
      <formula>A138</formula>
    </cfRule>
  </conditionalFormatting>
  <conditionalFormatting sqref="A140">
    <cfRule type="cellIs" dxfId="52" priority="55" stopIfTrue="1" operator="equal">
      <formula>A139</formula>
    </cfRule>
  </conditionalFormatting>
  <conditionalFormatting sqref="A141">
    <cfRule type="cellIs" dxfId="51" priority="54" stopIfTrue="1" operator="equal">
      <formula>A140</formula>
    </cfRule>
  </conditionalFormatting>
  <conditionalFormatting sqref="A142">
    <cfRule type="cellIs" dxfId="50" priority="53" stopIfTrue="1" operator="equal">
      <formula>A141</formula>
    </cfRule>
  </conditionalFormatting>
  <conditionalFormatting sqref="A143">
    <cfRule type="cellIs" dxfId="49" priority="52" stopIfTrue="1" operator="equal">
      <formula>A142</formula>
    </cfRule>
  </conditionalFormatting>
  <conditionalFormatting sqref="A144">
    <cfRule type="cellIs" dxfId="48" priority="51" stopIfTrue="1" operator="equal">
      <formula>A143</formula>
    </cfRule>
  </conditionalFormatting>
  <conditionalFormatting sqref="A145">
    <cfRule type="cellIs" dxfId="47" priority="50" stopIfTrue="1" operator="equal">
      <formula>A144</formula>
    </cfRule>
  </conditionalFormatting>
  <conditionalFormatting sqref="A146">
    <cfRule type="cellIs" dxfId="46" priority="49" stopIfTrue="1" operator="equal">
      <formula>A145</formula>
    </cfRule>
  </conditionalFormatting>
  <conditionalFormatting sqref="A147">
    <cfRule type="cellIs" dxfId="45" priority="48" stopIfTrue="1" operator="equal">
      <formula>A146</formula>
    </cfRule>
  </conditionalFormatting>
  <conditionalFormatting sqref="A199">
    <cfRule type="cellIs" dxfId="44" priority="95" stopIfTrue="1" operator="equal">
      <formula>A155</formula>
    </cfRule>
  </conditionalFormatting>
  <conditionalFormatting sqref="A156">
    <cfRule type="cellIs" dxfId="43" priority="46" stopIfTrue="1" operator="equal">
      <formula>A155</formula>
    </cfRule>
  </conditionalFormatting>
  <conditionalFormatting sqref="A157">
    <cfRule type="cellIs" dxfId="42" priority="45" stopIfTrue="1" operator="equal">
      <formula>A156</formula>
    </cfRule>
  </conditionalFormatting>
  <conditionalFormatting sqref="A158">
    <cfRule type="cellIs" dxfId="41" priority="44" stopIfTrue="1" operator="equal">
      <formula>A157</formula>
    </cfRule>
  </conditionalFormatting>
  <conditionalFormatting sqref="A159">
    <cfRule type="cellIs" dxfId="40" priority="43" stopIfTrue="1" operator="equal">
      <formula>A158</formula>
    </cfRule>
  </conditionalFormatting>
  <conditionalFormatting sqref="A160">
    <cfRule type="cellIs" dxfId="39" priority="42" stopIfTrue="1" operator="equal">
      <formula>A159</formula>
    </cfRule>
  </conditionalFormatting>
  <conditionalFormatting sqref="A161">
    <cfRule type="cellIs" dxfId="38" priority="41" stopIfTrue="1" operator="equal">
      <formula>A160</formula>
    </cfRule>
  </conditionalFormatting>
  <conditionalFormatting sqref="A162">
    <cfRule type="cellIs" dxfId="37" priority="40" stopIfTrue="1" operator="equal">
      <formula>A161</formula>
    </cfRule>
  </conditionalFormatting>
  <conditionalFormatting sqref="A163">
    <cfRule type="cellIs" dxfId="36" priority="39" stopIfTrue="1" operator="equal">
      <formula>A162</formula>
    </cfRule>
  </conditionalFormatting>
  <conditionalFormatting sqref="A164">
    <cfRule type="cellIs" dxfId="35" priority="38" stopIfTrue="1" operator="equal">
      <formula>A163</formula>
    </cfRule>
  </conditionalFormatting>
  <conditionalFormatting sqref="A165">
    <cfRule type="cellIs" dxfId="34" priority="37" stopIfTrue="1" operator="equal">
      <formula>A164</formula>
    </cfRule>
  </conditionalFormatting>
  <conditionalFormatting sqref="A166">
    <cfRule type="cellIs" dxfId="33" priority="36" stopIfTrue="1" operator="equal">
      <formula>A165</formula>
    </cfRule>
  </conditionalFormatting>
  <conditionalFormatting sqref="A167">
    <cfRule type="cellIs" dxfId="32" priority="35" stopIfTrue="1" operator="equal">
      <formula>A166</formula>
    </cfRule>
  </conditionalFormatting>
  <conditionalFormatting sqref="A168">
    <cfRule type="cellIs" dxfId="31" priority="34" stopIfTrue="1" operator="equal">
      <formula>A167</formula>
    </cfRule>
  </conditionalFormatting>
  <conditionalFormatting sqref="A169">
    <cfRule type="cellIs" dxfId="30" priority="33" stopIfTrue="1" operator="equal">
      <formula>A168</formula>
    </cfRule>
  </conditionalFormatting>
  <conditionalFormatting sqref="A170">
    <cfRule type="cellIs" dxfId="29" priority="32" stopIfTrue="1" operator="equal">
      <formula>A169</formula>
    </cfRule>
  </conditionalFormatting>
  <conditionalFormatting sqref="A171">
    <cfRule type="cellIs" dxfId="28" priority="31" stopIfTrue="1" operator="equal">
      <formula>A170</formula>
    </cfRule>
  </conditionalFormatting>
  <conditionalFormatting sqref="A172">
    <cfRule type="cellIs" dxfId="27" priority="30" stopIfTrue="1" operator="equal">
      <formula>A171</formula>
    </cfRule>
  </conditionalFormatting>
  <conditionalFormatting sqref="A173">
    <cfRule type="cellIs" dxfId="26" priority="29" stopIfTrue="1" operator="equal">
      <formula>A172</formula>
    </cfRule>
  </conditionalFormatting>
  <conditionalFormatting sqref="A174">
    <cfRule type="cellIs" dxfId="25" priority="28" stopIfTrue="1" operator="equal">
      <formula>A173</formula>
    </cfRule>
  </conditionalFormatting>
  <conditionalFormatting sqref="A175">
    <cfRule type="cellIs" dxfId="24" priority="27" stopIfTrue="1" operator="equal">
      <formula>A174</formula>
    </cfRule>
  </conditionalFormatting>
  <conditionalFormatting sqref="A176">
    <cfRule type="cellIs" dxfId="23" priority="26" stopIfTrue="1" operator="equal">
      <formula>A175</formula>
    </cfRule>
  </conditionalFormatting>
  <conditionalFormatting sqref="A177">
    <cfRule type="cellIs" dxfId="22" priority="25" stopIfTrue="1" operator="equal">
      <formula>A176</formula>
    </cfRule>
  </conditionalFormatting>
  <conditionalFormatting sqref="A178">
    <cfRule type="cellIs" dxfId="21" priority="24" stopIfTrue="1" operator="equal">
      <formula>A177</formula>
    </cfRule>
  </conditionalFormatting>
  <conditionalFormatting sqref="A179">
    <cfRule type="cellIs" dxfId="20" priority="23" stopIfTrue="1" operator="equal">
      <formula>A178</formula>
    </cfRule>
  </conditionalFormatting>
  <conditionalFormatting sqref="A180">
    <cfRule type="cellIs" dxfId="19" priority="22" stopIfTrue="1" operator="equal">
      <formula>A179</formula>
    </cfRule>
  </conditionalFormatting>
  <conditionalFormatting sqref="A181">
    <cfRule type="cellIs" dxfId="18" priority="21" stopIfTrue="1" operator="equal">
      <formula>A180</formula>
    </cfRule>
  </conditionalFormatting>
  <conditionalFormatting sqref="A182">
    <cfRule type="cellIs" dxfId="17" priority="20" stopIfTrue="1" operator="equal">
      <formula>A181</formula>
    </cfRule>
  </conditionalFormatting>
  <conditionalFormatting sqref="A183">
    <cfRule type="cellIs" dxfId="16" priority="19" stopIfTrue="1" operator="equal">
      <formula>A182</formula>
    </cfRule>
  </conditionalFormatting>
  <conditionalFormatting sqref="A184">
    <cfRule type="cellIs" dxfId="15" priority="18" stopIfTrue="1" operator="equal">
      <formula>A183</formula>
    </cfRule>
  </conditionalFormatting>
  <conditionalFormatting sqref="A185">
    <cfRule type="cellIs" dxfId="14" priority="17" stopIfTrue="1" operator="equal">
      <formula>A184</formula>
    </cfRule>
  </conditionalFormatting>
  <conditionalFormatting sqref="A186">
    <cfRule type="cellIs" dxfId="13" priority="16" stopIfTrue="1" operator="equal">
      <formula>A185</formula>
    </cfRule>
  </conditionalFormatting>
  <conditionalFormatting sqref="A187">
    <cfRule type="cellIs" dxfId="12" priority="15" stopIfTrue="1" operator="equal">
      <formula>A186</formula>
    </cfRule>
  </conditionalFormatting>
  <conditionalFormatting sqref="A188">
    <cfRule type="cellIs" dxfId="11" priority="14" stopIfTrue="1" operator="equal">
      <formula>A187</formula>
    </cfRule>
  </conditionalFormatting>
  <conditionalFormatting sqref="A189">
    <cfRule type="cellIs" dxfId="10" priority="13" stopIfTrue="1" operator="equal">
      <formula>A188</formula>
    </cfRule>
  </conditionalFormatting>
  <conditionalFormatting sqref="A190">
    <cfRule type="cellIs" dxfId="9" priority="12" stopIfTrue="1" operator="equal">
      <formula>A189</formula>
    </cfRule>
  </conditionalFormatting>
  <conditionalFormatting sqref="A191">
    <cfRule type="cellIs" dxfId="8" priority="11" stopIfTrue="1" operator="equal">
      <formula>A190</formula>
    </cfRule>
  </conditionalFormatting>
  <conditionalFormatting sqref="A192">
    <cfRule type="cellIs" dxfId="7" priority="10" stopIfTrue="1" operator="equal">
      <formula>A191</formula>
    </cfRule>
  </conditionalFormatting>
  <conditionalFormatting sqref="A193">
    <cfRule type="cellIs" dxfId="6" priority="9" stopIfTrue="1" operator="equal">
      <formula>A192</formula>
    </cfRule>
  </conditionalFormatting>
  <conditionalFormatting sqref="A194">
    <cfRule type="cellIs" dxfId="5" priority="8" stopIfTrue="1" operator="equal">
      <formula>A193</formula>
    </cfRule>
  </conditionalFormatting>
  <conditionalFormatting sqref="A195">
    <cfRule type="cellIs" dxfId="4" priority="7" stopIfTrue="1" operator="equal">
      <formula>A194</formula>
    </cfRule>
  </conditionalFormatting>
  <conditionalFormatting sqref="A196">
    <cfRule type="cellIs" dxfId="3" priority="6" stopIfTrue="1" operator="equal">
      <formula>A195</formula>
    </cfRule>
  </conditionalFormatting>
  <conditionalFormatting sqref="A197">
    <cfRule type="cellIs" dxfId="2" priority="5" stopIfTrue="1" operator="equal">
      <formula>A196</formula>
    </cfRule>
  </conditionalFormatting>
  <conditionalFormatting sqref="A198">
    <cfRule type="cellIs" dxfId="1" priority="4" stopIfTrue="1" operator="equal">
      <formula>A197</formula>
    </cfRule>
  </conditionalFormatting>
  <conditionalFormatting sqref="A233">
    <cfRule type="cellIs" dxfId="0" priority="2" stopIfTrue="1" operator="equal">
      <formula>A232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КПК0116030</vt:lpstr>
      <vt:lpstr>'Додаток2 КПК0116030'!Область_печати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2024-11-11T11:43:56Z</dcterms:modified>
</cp:coreProperties>
</file>